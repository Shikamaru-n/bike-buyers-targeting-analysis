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malac\Desktop\Data\Projects\BikeBuyersTargetingAnalysis\workbook\"/>
    </mc:Choice>
  </mc:AlternateContent>
  <xr:revisionPtr revIDLastSave="0" documentId="13_ncr:1_{800FBDA8-4D2F-4B81-871C-24A863CAA892}" xr6:coauthVersionLast="47" xr6:coauthVersionMax="47" xr10:uidLastSave="{00000000-0000-0000-0000-000000000000}"/>
  <bookViews>
    <workbookView xWindow="-120" yWindow="-120" windowWidth="20730" windowHeight="11040" firstSheet="4" activeTab="6" xr2:uid="{30459036-41BE-43C4-8B00-E1946087C40F}"/>
  </bookViews>
  <sheets>
    <sheet name="Dashboard" sheetId="11" r:id="rId1"/>
    <sheet name="README_Brief" sheetId="2" r:id="rId2"/>
    <sheet name="Data_Dictionary" sheetId="3" r:id="rId3"/>
    <sheet name="Data_Quality_Log" sheetId="4" r:id="rId4"/>
    <sheet name="Clean_Data" sheetId="5" r:id="rId5"/>
    <sheet name="Segment_Analysis" sheetId="6" r:id="rId6"/>
    <sheet name="Significance_Tests" sheetId="7" r:id="rId7"/>
    <sheet name="Lead_Scoring" sheetId="8" r:id="rId8"/>
    <sheet name="Profile_Checker" sheetId="9" r:id="rId9"/>
    <sheet name="Pivot_Analysis" sheetId="10" r:id="rId10"/>
    <sheet name="Recommendations" sheetId="12" r:id="rId11"/>
    <sheet name="Raw_Data" sheetId="1" r:id="rId12"/>
  </sheets>
  <definedNames>
    <definedName name="Baseline_Rate">Segment_Analysis!$F$4</definedName>
    <definedName name="FollowUp_Size">Lead_Scoring!$B$16</definedName>
    <definedName name="Hot_Cutoff">Lead_Scoring!$B$14</definedName>
    <definedName name="Profile_Inputs">Profile_Checker!$B$8:$B$15</definedName>
    <definedName name="Slicer_Education">#N/A</definedName>
    <definedName name="Slicer_Marital_Status">#N/A</definedName>
    <definedName name="Slicer_Region">#N/A</definedName>
    <definedName name="Takeaway_MinN" comment="Minimum customers a segment needs before Dashboard takeaways mention it.">Pivot_Analysis!$F$4</definedName>
    <definedName name="Total_Buyers">Segment_Analysis!$D$4</definedName>
    <definedName name="Total_Customers">Segment_Analysis!$B$4</definedName>
    <definedName name="Warm_Cutoff">Lead_Scoring!$B$15</definedName>
  </definedNames>
  <calcPr calcId="191029"/>
  <pivotCaches>
    <pivotCache cacheId="26"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2" l="1"/>
  <c r="A90" i="8"/>
  <c r="B87" i="8"/>
  <c r="H16" i="9"/>
  <c r="H15" i="9"/>
  <c r="I22" i="9"/>
  <c r="I21" i="9"/>
  <c r="A31" i="9" a="1"/>
  <c r="A31" i="9" s="1"/>
  <c r="C16" i="12"/>
  <c r="A6" i="12"/>
  <c r="A10" i="8"/>
  <c r="N14" i="11"/>
  <c r="F12" i="10"/>
  <c r="F11" i="10"/>
  <c r="F10" i="10"/>
  <c r="F9" i="10"/>
  <c r="C17" i="12"/>
  <c r="C12" i="12"/>
  <c r="B24" i="12" l="1"/>
  <c r="B23" i="12"/>
  <c r="B21" i="12"/>
  <c r="C15" i="12"/>
  <c r="C14" i="12"/>
  <c r="C13" i="12"/>
  <c r="C11" i="12"/>
  <c r="A5" i="12"/>
  <c r="B19" i="11" a="1"/>
  <c r="B19" i="11" s="1"/>
  <c r="B17" i="11" a="1"/>
  <c r="B17" i="11" s="1"/>
  <c r="AE4" i="11" a="1"/>
  <c r="AE4" i="11" s="1"/>
  <c r="AC4" i="11" a="1"/>
  <c r="AC4" i="11" s="1"/>
  <c r="AB4" i="11" a="1"/>
  <c r="AB4" i="11" s="1"/>
  <c r="AA4" i="11" a="1"/>
  <c r="AA4" i="11" s="1"/>
  <c r="N12" i="11"/>
  <c r="B14" i="11"/>
  <c r="B18" i="11"/>
  <c r="J12" i="11"/>
  <c r="F12" i="11"/>
  <c r="J14" i="11" l="1"/>
  <c r="I13" i="9"/>
  <c r="I14" i="9"/>
  <c r="I15" i="9"/>
  <c r="I16" i="9"/>
  <c r="E28" i="9"/>
  <c r="E20" i="9"/>
  <c r="E21" i="9"/>
  <c r="E22" i="9"/>
  <c r="E23" i="9"/>
  <c r="E24" i="9"/>
  <c r="E25" i="9"/>
  <c r="E26" i="9"/>
  <c r="E27" i="9"/>
  <c r="B20" i="9"/>
  <c r="C20" i="9" s="1"/>
  <c r="B21" i="9"/>
  <c r="C21" i="9" s="1"/>
  <c r="D21" i="9" s="1"/>
  <c r="B22" i="9"/>
  <c r="C22" i="9" s="1"/>
  <c r="D22" i="9" s="1"/>
  <c r="B23" i="9"/>
  <c r="C23" i="9" s="1"/>
  <c r="D23" i="9" s="1"/>
  <c r="B24" i="9"/>
  <c r="C24" i="9" s="1"/>
  <c r="D24" i="9" s="1"/>
  <c r="B25" i="9"/>
  <c r="C25" i="9" s="1"/>
  <c r="D25" i="9" s="1"/>
  <c r="B26" i="9"/>
  <c r="C26" i="9" s="1"/>
  <c r="D26" i="9" s="1"/>
  <c r="B27" i="9"/>
  <c r="C27" i="9" s="1"/>
  <c r="D27" i="9" s="1"/>
  <c r="N8" i="9" a="1"/>
  <c r="N8" i="9" s="1"/>
  <c r="M8" i="9" a="1"/>
  <c r="M8" i="9" s="1"/>
  <c r="L7" i="9" a="1"/>
  <c r="L7" i="9" s="1"/>
  <c r="L8" i="9" s="1" a="1"/>
  <c r="L8" i="9" s="1"/>
  <c r="A2" i="9"/>
  <c r="A92" i="8" a="1"/>
  <c r="A92" i="8" s="1"/>
  <c r="H40" i="8"/>
  <c r="H41" i="8"/>
  <c r="H42" i="8"/>
  <c r="H43" i="8"/>
  <c r="H44" i="8"/>
  <c r="H45" i="8"/>
  <c r="H46" i="8"/>
  <c r="H47" i="8"/>
  <c r="H48" i="8"/>
  <c r="H49" i="8"/>
  <c r="G40" i="8"/>
  <c r="G41" i="8"/>
  <c r="G42" i="8"/>
  <c r="G43" i="8"/>
  <c r="G44" i="8"/>
  <c r="G45" i="8"/>
  <c r="G46" i="8"/>
  <c r="G47" i="8"/>
  <c r="G48" i="8"/>
  <c r="G49" i="8"/>
  <c r="F40" i="8"/>
  <c r="F41" i="8"/>
  <c r="F42" i="8"/>
  <c r="F43" i="8"/>
  <c r="F44" i="8"/>
  <c r="F45" i="8"/>
  <c r="F46" i="8"/>
  <c r="F47" i="8"/>
  <c r="F48" i="8"/>
  <c r="F49" i="8"/>
  <c r="E40" i="8"/>
  <c r="E41" i="8"/>
  <c r="E42" i="8"/>
  <c r="E43" i="8"/>
  <c r="E44" i="8"/>
  <c r="E45" i="8"/>
  <c r="E46" i="8"/>
  <c r="E47" i="8"/>
  <c r="E48" i="8"/>
  <c r="E49" i="8"/>
  <c r="D40" i="8"/>
  <c r="D41" i="8"/>
  <c r="D42" i="8"/>
  <c r="D43" i="8"/>
  <c r="D44" i="8"/>
  <c r="D45" i="8"/>
  <c r="D46" i="8"/>
  <c r="D47" i="8"/>
  <c r="D48" i="8"/>
  <c r="D49" i="8"/>
  <c r="C40" i="8"/>
  <c r="C41" i="8"/>
  <c r="C42" i="8"/>
  <c r="C43" i="8"/>
  <c r="C44" i="8"/>
  <c r="C45" i="8"/>
  <c r="C46" i="8"/>
  <c r="C47" i="8"/>
  <c r="C48" i="8"/>
  <c r="C49" i="8"/>
  <c r="B40" i="8"/>
  <c r="B41" i="8"/>
  <c r="B42" i="8"/>
  <c r="B43" i="8"/>
  <c r="B44" i="8"/>
  <c r="B45" i="8"/>
  <c r="B46" i="8"/>
  <c r="B47" i="8"/>
  <c r="B48" i="8"/>
  <c r="B49" i="8"/>
  <c r="F33" i="8"/>
  <c r="F34" i="8"/>
  <c r="F35" i="8"/>
  <c r="E33" i="8"/>
  <c r="E34" i="8"/>
  <c r="E35" i="8"/>
  <c r="D33" i="8"/>
  <c r="D34" i="8"/>
  <c r="D35" i="8"/>
  <c r="C33" i="8"/>
  <c r="C34" i="8"/>
  <c r="C35" i="8"/>
  <c r="B33" i="8"/>
  <c r="B34" i="8"/>
  <c r="B35" i="8"/>
  <c r="K5" i="8" a="1"/>
  <c r="K5" i="8" s="1"/>
  <c r="L5" i="8" a="1"/>
  <c r="M5" i="8" a="1"/>
  <c r="M5" i="8" s="1"/>
  <c r="N5" i="8" a="1"/>
  <c r="N5" i="8" s="1"/>
  <c r="O5" i="8" a="1"/>
  <c r="O5" i="8" s="1"/>
  <c r="P5" i="8" a="1"/>
  <c r="P5" i="8" s="1"/>
  <c r="Q5" i="8" a="1"/>
  <c r="Q5" i="8" s="1"/>
  <c r="R5" i="8" a="1"/>
  <c r="R5" i="8" s="1"/>
  <c r="S5" i="8" a="1"/>
  <c r="S5" i="8" s="1"/>
  <c r="Y5" i="8" a="1"/>
  <c r="Y5" i="8" s="1"/>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B28" i="8"/>
  <c r="C28" i="8"/>
  <c r="B20" i="8"/>
  <c r="C20" i="8" s="1"/>
  <c r="B21" i="8"/>
  <c r="C21" i="8" s="1"/>
  <c r="B22" i="8"/>
  <c r="C22" i="8" s="1"/>
  <c r="B23" i="8"/>
  <c r="C23" i="8" s="1"/>
  <c r="B24" i="8"/>
  <c r="C24" i="8" s="1"/>
  <c r="B25" i="8"/>
  <c r="C25" i="8" s="1"/>
  <c r="B26" i="8"/>
  <c r="C26" i="8" s="1"/>
  <c r="B27" i="8"/>
  <c r="C27" i="8" s="1"/>
  <c r="F11" i="7" a="1"/>
  <c r="F11" i="7" s="1"/>
  <c r="F12" i="7" a="1"/>
  <c r="F12" i="7" s="1"/>
  <c r="F13" i="7" a="1"/>
  <c r="F13" i="7" s="1"/>
  <c r="F14" i="7" a="1"/>
  <c r="F14" i="7" s="1"/>
  <c r="F15" i="7" a="1"/>
  <c r="F15" i="7" s="1"/>
  <c r="F16" i="7" a="1"/>
  <c r="F16" i="7" s="1"/>
  <c r="F17" i="7" a="1"/>
  <c r="F17" i="7" s="1"/>
  <c r="F18" i="7" a="1"/>
  <c r="F18" i="7" s="1"/>
  <c r="F19" i="7" a="1"/>
  <c r="F19" i="7" s="1"/>
  <c r="F20" i="7" a="1"/>
  <c r="F20" i="7" s="1"/>
  <c r="F21" i="7" a="1"/>
  <c r="F21" i="7" s="1"/>
  <c r="F22" i="7" a="1"/>
  <c r="F22" i="7" s="1"/>
  <c r="E11" i="7"/>
  <c r="E12" i="7"/>
  <c r="E13" i="7"/>
  <c r="E14" i="7"/>
  <c r="E15" i="7"/>
  <c r="E16" i="7"/>
  <c r="E17" i="7"/>
  <c r="E18" i="7"/>
  <c r="E19" i="7"/>
  <c r="E20" i="7"/>
  <c r="E21" i="7"/>
  <c r="E22" i="7"/>
  <c r="A11" i="7" a="1"/>
  <c r="A11" i="7" s="1"/>
  <c r="A12" i="7" a="1"/>
  <c r="A12" i="7" s="1"/>
  <c r="A13" i="7" a="1"/>
  <c r="A13" i="7" s="1"/>
  <c r="A14" i="7" a="1"/>
  <c r="A14" i="7" s="1"/>
  <c r="A15" i="7" a="1"/>
  <c r="A15" i="7" s="1"/>
  <c r="A16" i="7" a="1"/>
  <c r="A16" i="7" s="1"/>
  <c r="A17" i="7" a="1"/>
  <c r="A17" i="7" s="1"/>
  <c r="A18" i="7" a="1"/>
  <c r="A18" i="7" s="1"/>
  <c r="A19" i="7" a="1"/>
  <c r="A19" i="7" s="1"/>
  <c r="A20" i="7" a="1"/>
  <c r="A20" i="7" s="1"/>
  <c r="A21" i="7" a="1"/>
  <c r="A21" i="7" s="1"/>
  <c r="A22" i="7" a="1"/>
  <c r="A22" i="7" s="1"/>
  <c r="B26" i="7"/>
  <c r="C26" i="7"/>
  <c r="D26" i="7"/>
  <c r="E26" i="7"/>
  <c r="F26" i="7"/>
  <c r="G26" i="7"/>
  <c r="B27" i="7"/>
  <c r="G27" i="7" s="1"/>
  <c r="C27" i="7"/>
  <c r="D27" i="7"/>
  <c r="E27" i="7"/>
  <c r="F27" i="7"/>
  <c r="B28" i="7"/>
  <c r="C28" i="7"/>
  <c r="G28" i="7" s="1"/>
  <c r="D28" i="7"/>
  <c r="E28" i="7"/>
  <c r="F28" i="7"/>
  <c r="B29" i="7"/>
  <c r="C29" i="7"/>
  <c r="D29" i="7"/>
  <c r="E29" i="7"/>
  <c r="F29" i="7"/>
  <c r="G29" i="7"/>
  <c r="B30" i="7"/>
  <c r="C30" i="7"/>
  <c r="D30" i="7"/>
  <c r="E30" i="7"/>
  <c r="F30" i="7"/>
  <c r="G30" i="7"/>
  <c r="B31" i="7"/>
  <c r="G31" i="7" s="1"/>
  <c r="C31" i="7"/>
  <c r="D31" i="7"/>
  <c r="E31" i="7"/>
  <c r="F31" i="7"/>
  <c r="B32" i="7"/>
  <c r="C32" i="7"/>
  <c r="G32" i="7" s="1"/>
  <c r="D32" i="7"/>
  <c r="E32" i="7"/>
  <c r="F32" i="7"/>
  <c r="B33" i="7"/>
  <c r="C33" i="7"/>
  <c r="D33" i="7"/>
  <c r="E33" i="7"/>
  <c r="F33" i="7"/>
  <c r="G33" i="7"/>
  <c r="B34" i="7"/>
  <c r="C34" i="7"/>
  <c r="D34" i="7"/>
  <c r="E34" i="7"/>
  <c r="F34" i="7"/>
  <c r="G34" i="7"/>
  <c r="B35" i="7"/>
  <c r="G35" i="7" s="1"/>
  <c r="C35" i="7"/>
  <c r="D35" i="7"/>
  <c r="E35" i="7"/>
  <c r="F35" i="7"/>
  <c r="B36" i="7"/>
  <c r="C36" i="7"/>
  <c r="G36" i="7" s="1"/>
  <c r="D36" i="7"/>
  <c r="E36" i="7"/>
  <c r="F36" i="7"/>
  <c r="B37" i="7"/>
  <c r="C37" i="7"/>
  <c r="D37" i="7"/>
  <c r="E37" i="7"/>
  <c r="F37" i="7"/>
  <c r="G37" i="7"/>
  <c r="I132" i="7" a="1"/>
  <c r="I132" i="7" s="1"/>
  <c r="I135" i="7" s="1"/>
  <c r="I133" i="7"/>
  <c r="I134" i="7"/>
  <c r="I136" i="7"/>
  <c r="B135" i="7"/>
  <c r="C135" i="7"/>
  <c r="D135" i="7"/>
  <c r="A133" i="7" a="1"/>
  <c r="A133" i="7" s="1"/>
  <c r="I125" i="7" a="1"/>
  <c r="I125" i="7"/>
  <c r="I128" i="7" s="1"/>
  <c r="I126" i="7"/>
  <c r="I127" i="7"/>
  <c r="I129" i="7"/>
  <c r="B128" i="7"/>
  <c r="C128" i="7"/>
  <c r="D128" i="7"/>
  <c r="A126" i="7" a="1"/>
  <c r="A126" i="7" s="1"/>
  <c r="I116" i="7" a="1"/>
  <c r="I116" i="7"/>
  <c r="I119" i="7" s="1"/>
  <c r="I117" i="7"/>
  <c r="I118" i="7"/>
  <c r="I120" i="7"/>
  <c r="B122" i="7"/>
  <c r="C122" i="7"/>
  <c r="D122" i="7"/>
  <c r="A117" i="7" a="1"/>
  <c r="A117" i="7" s="1"/>
  <c r="I108" i="7" a="1"/>
  <c r="I108" i="7"/>
  <c r="I111" i="7" s="1"/>
  <c r="I109" i="7"/>
  <c r="I110" i="7"/>
  <c r="I112" i="7"/>
  <c r="B113" i="7"/>
  <c r="C113" i="7"/>
  <c r="D113" i="7"/>
  <c r="A109" i="7" a="1"/>
  <c r="A109" i="7" s="1"/>
  <c r="I101" i="7" a="1"/>
  <c r="I101" i="7"/>
  <c r="I104" i="7" s="1"/>
  <c r="I102" i="7"/>
  <c r="I103" i="7"/>
  <c r="I105" i="7"/>
  <c r="B104" i="7"/>
  <c r="C104" i="7"/>
  <c r="D104" i="7"/>
  <c r="A102" i="7" a="1"/>
  <c r="A102" i="7" s="1"/>
  <c r="I94" i="7" a="1"/>
  <c r="I94" i="7" s="1"/>
  <c r="I97" i="7" s="1"/>
  <c r="I95" i="7"/>
  <c r="I96" i="7"/>
  <c r="I98" i="7"/>
  <c r="B98" i="7"/>
  <c r="C98" i="7"/>
  <c r="D98" i="7"/>
  <c r="A95" i="7" a="1"/>
  <c r="A95" i="7" s="1"/>
  <c r="I85" i="7" a="1"/>
  <c r="I85" i="7" s="1"/>
  <c r="I88" i="7" s="1"/>
  <c r="I86" i="7"/>
  <c r="I87" i="7"/>
  <c r="I89" i="7"/>
  <c r="B91" i="7"/>
  <c r="C91" i="7"/>
  <c r="D91" i="7"/>
  <c r="A86" i="7" a="1"/>
  <c r="A86" i="7" s="1"/>
  <c r="I75" i="7" a="1"/>
  <c r="I75" i="7" s="1"/>
  <c r="I78" i="7" s="1"/>
  <c r="I76" i="7"/>
  <c r="I77" i="7"/>
  <c r="I79" i="7"/>
  <c r="B82" i="7"/>
  <c r="C82" i="7"/>
  <c r="D82" i="7"/>
  <c r="A76" i="7" a="1"/>
  <c r="A76" i="7" s="1"/>
  <c r="I66" i="7" a="1"/>
  <c r="I66" i="7" s="1"/>
  <c r="I69" i="7" s="1"/>
  <c r="I67" i="7"/>
  <c r="I68" i="7"/>
  <c r="I70" i="7"/>
  <c r="B72" i="7"/>
  <c r="C72" i="7"/>
  <c r="D72" i="7"/>
  <c r="A67" i="7" a="1"/>
  <c r="A67" i="7" s="1"/>
  <c r="I57" i="7" a="1"/>
  <c r="I57" i="7"/>
  <c r="I60" i="7" s="1"/>
  <c r="I58" i="7"/>
  <c r="I59" i="7"/>
  <c r="I61" i="7"/>
  <c r="B63" i="7"/>
  <c r="C63" i="7"/>
  <c r="D63" i="7"/>
  <c r="A58" i="7" a="1"/>
  <c r="A58" i="7" s="1"/>
  <c r="I48" i="7" a="1"/>
  <c r="I48" i="7"/>
  <c r="I51" i="7" s="1"/>
  <c r="I49" i="7"/>
  <c r="I50" i="7"/>
  <c r="I52" i="7"/>
  <c r="B54" i="7"/>
  <c r="C54" i="7"/>
  <c r="D54" i="7"/>
  <c r="A49" i="7" a="1"/>
  <c r="A49" i="7" s="1"/>
  <c r="I41" i="7" a="1"/>
  <c r="I41" i="7" s="1"/>
  <c r="I44" i="7" s="1"/>
  <c r="I42" i="7"/>
  <c r="I43" i="7"/>
  <c r="I45" i="7"/>
  <c r="B44" i="7"/>
  <c r="C44" i="7"/>
  <c r="D44" i="7"/>
  <c r="A42" i="7" a="1"/>
  <c r="A42" i="7" s="1"/>
  <c r="A7" i="6" a="1"/>
  <c r="A7" i="6" s="1"/>
  <c r="A8" i="6" a="1"/>
  <c r="A8" i="6" s="1"/>
  <c r="A9" i="6" a="1"/>
  <c r="A9" i="6" s="1"/>
  <c r="I13" i="6" a="1"/>
  <c r="I13" i="6" s="1"/>
  <c r="K29" i="6"/>
  <c r="J29" i="6" s="1" a="1"/>
  <c r="J29" i="6" s="1"/>
  <c r="M29" i="6"/>
  <c r="L29" i="6" s="1" a="1"/>
  <c r="L29" i="6" s="1"/>
  <c r="N29" i="6"/>
  <c r="K30" i="6"/>
  <c r="N30" i="6" s="1"/>
  <c r="L30" i="6" a="1"/>
  <c r="L30" i="6" s="1"/>
  <c r="M30" i="6"/>
  <c r="J31" i="6" a="1"/>
  <c r="J31" i="6"/>
  <c r="K31" i="6"/>
  <c r="N31" i="6" s="1"/>
  <c r="L31" i="6" a="1"/>
  <c r="L31" i="6" s="1"/>
  <c r="M31" i="6"/>
  <c r="K32" i="6"/>
  <c r="N32" i="6" s="1"/>
  <c r="M32" i="6"/>
  <c r="L32" i="6" s="1" a="1"/>
  <c r="L32" i="6" s="1"/>
  <c r="K33" i="6"/>
  <c r="N33" i="6" s="1"/>
  <c r="L33" i="6" a="1"/>
  <c r="L33" i="6" s="1"/>
  <c r="M33" i="6"/>
  <c r="K34" i="6"/>
  <c r="J34" i="6" s="1" a="1"/>
  <c r="J34" i="6" s="1"/>
  <c r="L34" i="6" a="1"/>
  <c r="L34" i="6"/>
  <c r="M34" i="6"/>
  <c r="N34" i="6"/>
  <c r="J35" i="6" a="1"/>
  <c r="J35" i="6" s="1"/>
  <c r="K35" i="6"/>
  <c r="M35" i="6"/>
  <c r="N35" i="6" s="1"/>
  <c r="J36" i="6" a="1"/>
  <c r="J36" i="6" s="1"/>
  <c r="K36" i="6"/>
  <c r="M36" i="6"/>
  <c r="L36" i="6" s="1" a="1"/>
  <c r="L36" i="6" s="1"/>
  <c r="N36" i="6"/>
  <c r="K37" i="6"/>
  <c r="J37" i="6" s="1" a="1"/>
  <c r="J37" i="6" s="1"/>
  <c r="M37" i="6"/>
  <c r="L37" i="6" s="1" a="1"/>
  <c r="L37" i="6" s="1"/>
  <c r="N37" i="6"/>
  <c r="J38" i="6" a="1"/>
  <c r="J38" i="6" s="1"/>
  <c r="K38" i="6"/>
  <c r="N38" i="6" s="1"/>
  <c r="L38" i="6" a="1"/>
  <c r="L38" i="6" s="1"/>
  <c r="M38" i="6"/>
  <c r="J39" i="6" a="1"/>
  <c r="J39" i="6"/>
  <c r="K39" i="6"/>
  <c r="N39" i="6" s="1"/>
  <c r="L39" i="6" a="1"/>
  <c r="L39" i="6" s="1"/>
  <c r="M39" i="6"/>
  <c r="K40" i="6"/>
  <c r="N40" i="6" s="1"/>
  <c r="M40" i="6"/>
  <c r="L40" i="6" s="1" a="1"/>
  <c r="L40" i="6" s="1"/>
  <c r="A90" i="6" a="1"/>
  <c r="A90" i="6" s="1"/>
  <c r="A85" i="6" a="1"/>
  <c r="A85" i="6" s="1"/>
  <c r="A77" i="6" a="1"/>
  <c r="A77" i="6" s="1"/>
  <c r="A70" i="6" a="1"/>
  <c r="A70" i="6" s="1"/>
  <c r="A65" i="6" a="1"/>
  <c r="A65" i="6" s="1"/>
  <c r="A59" i="6" a="1"/>
  <c r="A59" i="6" s="1"/>
  <c r="A51" i="6" a="1"/>
  <c r="A51" i="6" s="1"/>
  <c r="A42" i="6" a="1"/>
  <c r="A42" i="6" s="1"/>
  <c r="A34" i="6" a="1"/>
  <c r="A34" i="6" s="1"/>
  <c r="A26" i="6" a="1"/>
  <c r="A26" i="6" s="1"/>
  <c r="A18" i="6" a="1"/>
  <c r="A18" i="6" s="1"/>
  <c r="A13" i="6" a="1"/>
  <c r="A13" i="6" s="1"/>
  <c r="B4" i="6"/>
  <c r="D4" i="6"/>
  <c r="F4" i="6" s="1"/>
  <c r="C24" i="4"/>
  <c r="E16" i="4"/>
  <c r="E17" i="4"/>
  <c r="E18" i="4"/>
  <c r="E19" i="4"/>
  <c r="E20" i="4"/>
  <c r="E21" i="4"/>
  <c r="E22" i="4"/>
  <c r="D16" i="4"/>
  <c r="D17" i="4"/>
  <c r="D18" i="4"/>
  <c r="C19" i="4"/>
  <c r="D19" i="4"/>
  <c r="C20" i="4"/>
  <c r="D20" i="4"/>
  <c r="D21" i="4" a="1"/>
  <c r="D21" i="4" s="1"/>
  <c r="D22" i="4"/>
  <c r="F5" i="4"/>
  <c r="D6" i="4"/>
  <c r="E6" i="4"/>
  <c r="F6" i="4"/>
  <c r="D7" i="4"/>
  <c r="E7" i="4"/>
  <c r="F7" i="4"/>
  <c r="D8" i="4"/>
  <c r="E8" i="4"/>
  <c r="F8" i="4" s="1"/>
  <c r="D9" i="4"/>
  <c r="E9" i="4" a="1"/>
  <c r="E9" i="4" s="1"/>
  <c r="F9" i="4" s="1"/>
  <c r="D10" i="4"/>
  <c r="F10" i="4" s="1"/>
  <c r="E10" i="4" a="1"/>
  <c r="E10" i="4" s="1"/>
  <c r="D11" i="4"/>
  <c r="E11" i="4" a="1"/>
  <c r="E11" i="4" s="1"/>
  <c r="F11" i="4"/>
  <c r="D12" i="4"/>
  <c r="E12" i="4"/>
  <c r="F12" i="4"/>
  <c r="D5" i="4"/>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P5" i="5" a="1"/>
  <c r="P5" i="5" s="1"/>
  <c r="Q5" i="5" s="1"/>
  <c r="P6" i="5" a="1"/>
  <c r="P6" i="5" s="1"/>
  <c r="Q6" i="5" s="1"/>
  <c r="P7" i="5" a="1"/>
  <c r="P7" i="5" s="1"/>
  <c r="Q7" i="5" s="1"/>
  <c r="P8" i="5" a="1"/>
  <c r="P8" i="5" s="1"/>
  <c r="Q8" i="5" s="1"/>
  <c r="P9" i="5" a="1"/>
  <c r="P9" i="5"/>
  <c r="Q9" i="5" s="1"/>
  <c r="P10" i="5" a="1"/>
  <c r="P10" i="5"/>
  <c r="Q10" i="5" s="1"/>
  <c r="P11" i="5" a="1"/>
  <c r="P11" i="5" s="1"/>
  <c r="Q11" i="5" s="1"/>
  <c r="P12" i="5" a="1"/>
  <c r="P12" i="5"/>
  <c r="Q12" i="5" s="1"/>
  <c r="P13" i="5" a="1"/>
  <c r="P13" i="5"/>
  <c r="Q13" i="5" s="1"/>
  <c r="P14" i="5" a="1"/>
  <c r="P14" i="5" s="1"/>
  <c r="Q14" i="5" s="1"/>
  <c r="P15" i="5" a="1"/>
  <c r="P15" i="5" s="1"/>
  <c r="Q15" i="5" s="1"/>
  <c r="P16" i="5" a="1"/>
  <c r="P16" i="5"/>
  <c r="Q16" i="5" s="1"/>
  <c r="P17" i="5" a="1"/>
  <c r="P17" i="5"/>
  <c r="Q17" i="5" s="1"/>
  <c r="P18" i="5" a="1"/>
  <c r="P18" i="5" s="1"/>
  <c r="Q18" i="5" s="1"/>
  <c r="P19" i="5" a="1"/>
  <c r="P19" i="5" s="1"/>
  <c r="Q19" i="5" s="1"/>
  <c r="P20" i="5" a="1"/>
  <c r="P20" i="5"/>
  <c r="Q20" i="5" s="1"/>
  <c r="P21" i="5" a="1"/>
  <c r="P21" i="5"/>
  <c r="Q21" i="5" s="1"/>
  <c r="P22" i="5" a="1"/>
  <c r="P22" i="5" s="1"/>
  <c r="Q22" i="5" s="1"/>
  <c r="P23" i="5" a="1"/>
  <c r="P23" i="5" s="1"/>
  <c r="Q23" i="5" s="1"/>
  <c r="P24" i="5" a="1"/>
  <c r="P24" i="5"/>
  <c r="Q24" i="5" s="1"/>
  <c r="P25" i="5" a="1"/>
  <c r="P25" i="5"/>
  <c r="Q25" i="5" s="1"/>
  <c r="P26" i="5" a="1"/>
  <c r="P26" i="5" s="1"/>
  <c r="Q26" i="5" s="1"/>
  <c r="P27" i="5" a="1"/>
  <c r="P27" i="5" s="1"/>
  <c r="Q27" i="5" s="1"/>
  <c r="P28" i="5" a="1"/>
  <c r="P28" i="5"/>
  <c r="Q28" i="5" s="1"/>
  <c r="P29" i="5" a="1"/>
  <c r="P29" i="5"/>
  <c r="Q29" i="5" s="1"/>
  <c r="P30" i="5" a="1"/>
  <c r="P30" i="5" s="1"/>
  <c r="Q30" i="5" s="1"/>
  <c r="P31" i="5" a="1"/>
  <c r="P31" i="5" s="1"/>
  <c r="Q31" i="5" s="1"/>
  <c r="P32" i="5" a="1"/>
  <c r="P32" i="5"/>
  <c r="Q32" i="5" s="1"/>
  <c r="P33" i="5" a="1"/>
  <c r="P33" i="5"/>
  <c r="Q33" i="5" s="1"/>
  <c r="P34" i="5" a="1"/>
  <c r="P34" i="5" s="1"/>
  <c r="Q34" i="5" s="1"/>
  <c r="P35" i="5" a="1"/>
  <c r="P35" i="5" s="1"/>
  <c r="Q35" i="5" s="1"/>
  <c r="P36" i="5" a="1"/>
  <c r="P36" i="5"/>
  <c r="Q36" i="5" s="1"/>
  <c r="P37" i="5" a="1"/>
  <c r="P37" i="5"/>
  <c r="Q37" i="5" s="1"/>
  <c r="P38" i="5" a="1"/>
  <c r="P38" i="5" s="1"/>
  <c r="Q38" i="5" s="1"/>
  <c r="P39" i="5" a="1"/>
  <c r="P39" i="5" s="1"/>
  <c r="Q39" i="5" s="1"/>
  <c r="P40" i="5" a="1"/>
  <c r="P40" i="5"/>
  <c r="Q40" i="5" s="1"/>
  <c r="P41" i="5" a="1"/>
  <c r="P41" i="5"/>
  <c r="Q41" i="5" s="1"/>
  <c r="P42" i="5" a="1"/>
  <c r="P42" i="5" s="1"/>
  <c r="Q42" i="5" s="1"/>
  <c r="P43" i="5" a="1"/>
  <c r="P43" i="5" s="1"/>
  <c r="Q43" i="5" s="1"/>
  <c r="P44" i="5" a="1"/>
  <c r="P44" i="5"/>
  <c r="Q44" i="5" s="1"/>
  <c r="P45" i="5" a="1"/>
  <c r="P45" i="5"/>
  <c r="Q45" i="5" s="1"/>
  <c r="P46" i="5" a="1"/>
  <c r="P46" i="5" s="1"/>
  <c r="Q46" i="5" s="1"/>
  <c r="P47" i="5" a="1"/>
  <c r="P47" i="5" s="1"/>
  <c r="Q47" i="5" s="1"/>
  <c r="P48" i="5" a="1"/>
  <c r="P48" i="5"/>
  <c r="Q48" i="5" s="1"/>
  <c r="P49" i="5" a="1"/>
  <c r="P49" i="5"/>
  <c r="Q49" i="5" s="1"/>
  <c r="P50" i="5" a="1"/>
  <c r="P50" i="5" s="1"/>
  <c r="Q50" i="5" s="1"/>
  <c r="P51" i="5" a="1"/>
  <c r="P51" i="5" s="1"/>
  <c r="Q51" i="5" s="1"/>
  <c r="P52" i="5" a="1"/>
  <c r="P52" i="5"/>
  <c r="Q52" i="5" s="1"/>
  <c r="P53" i="5" a="1"/>
  <c r="P53" i="5"/>
  <c r="Q53" i="5" s="1"/>
  <c r="P54" i="5" a="1"/>
  <c r="P54" i="5" s="1"/>
  <c r="Q54" i="5" s="1"/>
  <c r="P55" i="5" a="1"/>
  <c r="P55" i="5" s="1"/>
  <c r="Q55" i="5" s="1"/>
  <c r="P56" i="5" a="1"/>
  <c r="P56" i="5"/>
  <c r="Q56" i="5" s="1"/>
  <c r="P57" i="5" a="1"/>
  <c r="P57" i="5"/>
  <c r="Q57" i="5" s="1"/>
  <c r="P58" i="5" a="1"/>
  <c r="P58" i="5" s="1"/>
  <c r="Q58" i="5" s="1"/>
  <c r="P59" i="5" a="1"/>
  <c r="P59" i="5" s="1"/>
  <c r="Q59" i="5" s="1"/>
  <c r="P60" i="5" a="1"/>
  <c r="P60" i="5"/>
  <c r="Q60" i="5" s="1"/>
  <c r="P61" i="5" a="1"/>
  <c r="P61" i="5"/>
  <c r="Q61" i="5" s="1"/>
  <c r="P62" i="5" a="1"/>
  <c r="P62" i="5" s="1"/>
  <c r="Q62" i="5" s="1"/>
  <c r="P63" i="5" a="1"/>
  <c r="P63" i="5" s="1"/>
  <c r="Q63" i="5" s="1"/>
  <c r="P64" i="5" a="1"/>
  <c r="P64" i="5"/>
  <c r="Q64" i="5" s="1"/>
  <c r="P65" i="5" a="1"/>
  <c r="P65" i="5"/>
  <c r="Q65" i="5" s="1"/>
  <c r="P66" i="5" a="1"/>
  <c r="P66" i="5" s="1"/>
  <c r="Q66" i="5" s="1"/>
  <c r="P67" i="5" a="1"/>
  <c r="P67" i="5" s="1"/>
  <c r="Q67" i="5" s="1"/>
  <c r="P68" i="5" a="1"/>
  <c r="P68" i="5"/>
  <c r="Q68" i="5" s="1"/>
  <c r="P69" i="5" a="1"/>
  <c r="P69" i="5"/>
  <c r="Q69" i="5" s="1"/>
  <c r="P70" i="5" a="1"/>
  <c r="P70" i="5" s="1"/>
  <c r="Q70" i="5" s="1"/>
  <c r="P71" i="5" a="1"/>
  <c r="P71" i="5" s="1"/>
  <c r="Q71" i="5" s="1"/>
  <c r="P72" i="5" a="1"/>
  <c r="P72" i="5"/>
  <c r="Q72" i="5" s="1"/>
  <c r="P73" i="5" a="1"/>
  <c r="P73" i="5" s="1"/>
  <c r="Q73" i="5" s="1"/>
  <c r="P74" i="5" a="1"/>
  <c r="P74" i="5" s="1"/>
  <c r="Q74" i="5" s="1"/>
  <c r="P75" i="5" a="1"/>
  <c r="P75" i="5" s="1"/>
  <c r="Q75" i="5" s="1"/>
  <c r="P76" i="5" a="1"/>
  <c r="P76" i="5" s="1"/>
  <c r="Q76" i="5" s="1"/>
  <c r="P77" i="5" a="1"/>
  <c r="P77" i="5" s="1"/>
  <c r="Q77" i="5" s="1"/>
  <c r="P78" i="5" a="1"/>
  <c r="P78" i="5" s="1"/>
  <c r="Q78" i="5" s="1"/>
  <c r="P79" i="5" a="1"/>
  <c r="P79" i="5" s="1"/>
  <c r="Q79" i="5" s="1"/>
  <c r="P80" i="5" a="1"/>
  <c r="P80" i="5"/>
  <c r="Q80" i="5" s="1"/>
  <c r="P81" i="5" a="1"/>
  <c r="P81" i="5" s="1"/>
  <c r="Q81" i="5" s="1"/>
  <c r="P82" i="5" a="1"/>
  <c r="P82" i="5" s="1"/>
  <c r="Q82" i="5" s="1"/>
  <c r="P83" i="5" a="1"/>
  <c r="P83" i="5" s="1"/>
  <c r="Q83" i="5" s="1"/>
  <c r="P84" i="5" a="1"/>
  <c r="P84" i="5" s="1"/>
  <c r="Q84" i="5" s="1"/>
  <c r="P85" i="5" a="1"/>
  <c r="P85" i="5"/>
  <c r="Q85" i="5" s="1"/>
  <c r="P86" i="5" a="1"/>
  <c r="P86" i="5" s="1"/>
  <c r="Q86" i="5" s="1"/>
  <c r="P87" i="5" a="1"/>
  <c r="P87" i="5" s="1"/>
  <c r="Q87" i="5" s="1"/>
  <c r="P88" i="5" a="1"/>
  <c r="P88" i="5" s="1"/>
  <c r="Q88" i="5" s="1"/>
  <c r="P89" i="5" a="1"/>
  <c r="P89" i="5" s="1"/>
  <c r="Q89" i="5" s="1"/>
  <c r="P90" i="5" a="1"/>
  <c r="P90" i="5" s="1"/>
  <c r="Q90" i="5" s="1"/>
  <c r="P91" i="5" a="1"/>
  <c r="P91" i="5" s="1"/>
  <c r="Q91" i="5" s="1"/>
  <c r="P92" i="5" a="1"/>
  <c r="P92" i="5" s="1"/>
  <c r="Q92" i="5" s="1"/>
  <c r="P93" i="5" a="1"/>
  <c r="P93" i="5"/>
  <c r="Q93" i="5" s="1"/>
  <c r="P94" i="5" a="1"/>
  <c r="P94" i="5" s="1"/>
  <c r="Q94" i="5" s="1"/>
  <c r="P95" i="5" a="1"/>
  <c r="P95" i="5" s="1"/>
  <c r="Q95" i="5" s="1"/>
  <c r="P96" i="5" a="1"/>
  <c r="P96" i="5"/>
  <c r="Q96" i="5" s="1"/>
  <c r="P97" i="5" a="1"/>
  <c r="P97" i="5" s="1"/>
  <c r="Q97" i="5" s="1"/>
  <c r="P98" i="5" a="1"/>
  <c r="P98" i="5" s="1"/>
  <c r="Q98" i="5" s="1"/>
  <c r="P99" i="5" a="1"/>
  <c r="P99" i="5" s="1"/>
  <c r="Q99" i="5" s="1"/>
  <c r="P100" i="5" a="1"/>
  <c r="P100" i="5" s="1"/>
  <c r="Q100" i="5" s="1"/>
  <c r="P101" i="5" a="1"/>
  <c r="P101" i="5" s="1"/>
  <c r="Q101" i="5" s="1"/>
  <c r="P102" i="5" a="1"/>
  <c r="P102" i="5"/>
  <c r="Q102" i="5" s="1"/>
  <c r="P103" i="5" a="1"/>
  <c r="P103" i="5" s="1"/>
  <c r="Q103" i="5" s="1"/>
  <c r="P104" i="5" a="1"/>
  <c r="P104" i="5"/>
  <c r="Q104" i="5" s="1"/>
  <c r="P105" i="5" a="1"/>
  <c r="P105" i="5" s="1"/>
  <c r="Q105" i="5" s="1"/>
  <c r="P106" i="5" a="1"/>
  <c r="P106" i="5"/>
  <c r="Q106" i="5" s="1"/>
  <c r="P107" i="5" a="1"/>
  <c r="P107" i="5" s="1"/>
  <c r="Q107" i="5" s="1"/>
  <c r="P108" i="5" a="1"/>
  <c r="P108" i="5"/>
  <c r="Q108" i="5" s="1"/>
  <c r="P109" i="5" a="1"/>
  <c r="P109" i="5"/>
  <c r="Q109" i="5" s="1"/>
  <c r="P110" i="5" a="1"/>
  <c r="P110" i="5" s="1"/>
  <c r="Q110" i="5" s="1"/>
  <c r="P111" i="5" a="1"/>
  <c r="P111" i="5" s="1"/>
  <c r="Q111" i="5" s="1"/>
  <c r="P112" i="5" a="1"/>
  <c r="P112" i="5"/>
  <c r="Q112" i="5" s="1"/>
  <c r="P113" i="5" a="1"/>
  <c r="P113" i="5"/>
  <c r="Q113" i="5" s="1"/>
  <c r="P114" i="5" a="1"/>
  <c r="P114" i="5" s="1"/>
  <c r="Q114" i="5" s="1"/>
  <c r="P115" i="5" a="1"/>
  <c r="P115" i="5" s="1"/>
  <c r="Q115" i="5" s="1"/>
  <c r="P116" i="5" a="1"/>
  <c r="P116" i="5"/>
  <c r="Q116" i="5" s="1"/>
  <c r="P117" i="5" a="1"/>
  <c r="P117" i="5"/>
  <c r="Q117" i="5" s="1"/>
  <c r="P118" i="5" a="1"/>
  <c r="P118" i="5"/>
  <c r="Q118" i="5" s="1"/>
  <c r="P119" i="5" a="1"/>
  <c r="P119" i="5" s="1"/>
  <c r="Q119" i="5" s="1"/>
  <c r="P120" i="5" a="1"/>
  <c r="P120" i="5"/>
  <c r="Q120" i="5" s="1"/>
  <c r="P121" i="5" a="1"/>
  <c r="P121" i="5" s="1"/>
  <c r="Q121" i="5" s="1"/>
  <c r="P122" i="5" a="1"/>
  <c r="P122" i="5" s="1"/>
  <c r="Q122" i="5" s="1"/>
  <c r="P123" i="5" a="1"/>
  <c r="P123" i="5" s="1"/>
  <c r="Q123" i="5" s="1"/>
  <c r="P124" i="5" a="1"/>
  <c r="P124" i="5"/>
  <c r="Q124" i="5" s="1"/>
  <c r="P125" i="5" a="1"/>
  <c r="P125" i="5"/>
  <c r="Q125" i="5" s="1"/>
  <c r="P126" i="5" a="1"/>
  <c r="P126" i="5"/>
  <c r="Q126" i="5" s="1"/>
  <c r="P127" i="5" a="1"/>
  <c r="P127" i="5" s="1"/>
  <c r="Q127" i="5" s="1"/>
  <c r="P128" i="5" a="1"/>
  <c r="P128" i="5"/>
  <c r="Q128" i="5" s="1"/>
  <c r="P129" i="5" a="1"/>
  <c r="P129" i="5"/>
  <c r="Q129" i="5" s="1"/>
  <c r="P130" i="5" a="1"/>
  <c r="P130" i="5" s="1"/>
  <c r="Q130" i="5" s="1"/>
  <c r="P131" i="5" a="1"/>
  <c r="P131" i="5" s="1"/>
  <c r="Q131" i="5" s="1"/>
  <c r="P132" i="5" a="1"/>
  <c r="P132" i="5"/>
  <c r="Q132" i="5" s="1"/>
  <c r="P133" i="5" a="1"/>
  <c r="P133" i="5" s="1"/>
  <c r="Q133" i="5" s="1"/>
  <c r="P134" i="5" a="1"/>
  <c r="P134" i="5"/>
  <c r="Q134" i="5" s="1"/>
  <c r="P135" i="5" a="1"/>
  <c r="P135" i="5" s="1"/>
  <c r="Q135" i="5" s="1"/>
  <c r="P136" i="5" a="1"/>
  <c r="P136" i="5"/>
  <c r="Q136" i="5" s="1"/>
  <c r="P137" i="5" a="1"/>
  <c r="P137" i="5" s="1"/>
  <c r="Q137" i="5" s="1"/>
  <c r="P138" i="5" a="1"/>
  <c r="P138" i="5"/>
  <c r="Q138" i="5" s="1"/>
  <c r="P139" i="5" a="1"/>
  <c r="P139" i="5" s="1"/>
  <c r="Q139" i="5" s="1"/>
  <c r="P140" i="5" a="1"/>
  <c r="P140" i="5"/>
  <c r="Q140" i="5" s="1"/>
  <c r="P141" i="5" a="1"/>
  <c r="P141" i="5"/>
  <c r="Q141" i="5" s="1"/>
  <c r="P142" i="5" a="1"/>
  <c r="P142" i="5" s="1"/>
  <c r="Q142" i="5" s="1"/>
  <c r="P143" i="5" a="1"/>
  <c r="P143" i="5" s="1"/>
  <c r="Q143" i="5" s="1"/>
  <c r="P144" i="5" a="1"/>
  <c r="P144" i="5"/>
  <c r="Q144" i="5" s="1"/>
  <c r="P145" i="5" a="1"/>
  <c r="P145" i="5"/>
  <c r="Q145" i="5" s="1"/>
  <c r="P146" i="5" a="1"/>
  <c r="P146" i="5" s="1"/>
  <c r="Q146" i="5" s="1"/>
  <c r="P147" i="5" a="1"/>
  <c r="P147" i="5" s="1"/>
  <c r="Q147" i="5" s="1"/>
  <c r="P148" i="5" a="1"/>
  <c r="P148" i="5"/>
  <c r="Q148" i="5" s="1"/>
  <c r="P149" i="5" a="1"/>
  <c r="P149" i="5"/>
  <c r="Q149" i="5" s="1"/>
  <c r="P150" i="5" a="1"/>
  <c r="P150" i="5"/>
  <c r="Q150" i="5" s="1"/>
  <c r="P151" i="5" a="1"/>
  <c r="P151" i="5" s="1"/>
  <c r="Q151" i="5" s="1"/>
  <c r="P152" i="5" a="1"/>
  <c r="P152" i="5"/>
  <c r="Q152" i="5" s="1"/>
  <c r="P153" i="5" a="1"/>
  <c r="P153" i="5" s="1"/>
  <c r="Q153" i="5" s="1"/>
  <c r="P154" i="5" a="1"/>
  <c r="P154" i="5"/>
  <c r="Q154" i="5" s="1"/>
  <c r="P155" i="5" a="1"/>
  <c r="P155" i="5" s="1"/>
  <c r="Q155" i="5" s="1"/>
  <c r="P156" i="5" a="1"/>
  <c r="P156" i="5"/>
  <c r="Q156" i="5" s="1"/>
  <c r="P157" i="5" a="1"/>
  <c r="P157" i="5"/>
  <c r="Q157" i="5" s="1"/>
  <c r="P158" i="5" a="1"/>
  <c r="P158" i="5"/>
  <c r="Q158" i="5" s="1"/>
  <c r="P159" i="5" a="1"/>
  <c r="P159" i="5" s="1"/>
  <c r="Q159" i="5" s="1"/>
  <c r="P160" i="5" a="1"/>
  <c r="P160" i="5"/>
  <c r="Q160" i="5" s="1"/>
  <c r="P161" i="5" a="1"/>
  <c r="P161" i="5"/>
  <c r="Q161" i="5" s="1"/>
  <c r="P162" i="5" a="1"/>
  <c r="P162" i="5" s="1"/>
  <c r="Q162" i="5" s="1"/>
  <c r="P163" i="5" a="1"/>
  <c r="P163" i="5" s="1"/>
  <c r="Q163" i="5" s="1"/>
  <c r="P164" i="5" a="1"/>
  <c r="P164" i="5"/>
  <c r="Q164" i="5" s="1"/>
  <c r="P165" i="5" a="1"/>
  <c r="P165" i="5" s="1"/>
  <c r="Q165" i="5" s="1"/>
  <c r="P166" i="5" a="1"/>
  <c r="P166" i="5"/>
  <c r="Q166" i="5" s="1"/>
  <c r="P167" i="5" a="1"/>
  <c r="P167" i="5" s="1"/>
  <c r="Q167" i="5" s="1"/>
  <c r="P168" i="5" a="1"/>
  <c r="P168" i="5"/>
  <c r="Q168" i="5" s="1"/>
  <c r="P169" i="5" a="1"/>
  <c r="P169" i="5" s="1"/>
  <c r="Q169" i="5" s="1"/>
  <c r="P170" i="5" a="1"/>
  <c r="P170" i="5"/>
  <c r="Q170" i="5" s="1"/>
  <c r="P171" i="5" a="1"/>
  <c r="P171" i="5" s="1"/>
  <c r="Q171" i="5" s="1"/>
  <c r="P172" i="5" a="1"/>
  <c r="P172" i="5"/>
  <c r="Q172" i="5" s="1"/>
  <c r="P173" i="5" a="1"/>
  <c r="P173" i="5" s="1"/>
  <c r="Q173" i="5" s="1"/>
  <c r="P174" i="5" a="1"/>
  <c r="P174" i="5" s="1"/>
  <c r="Q174" i="5" s="1"/>
  <c r="P175" i="5" a="1"/>
  <c r="P175" i="5" s="1"/>
  <c r="Q175" i="5" s="1"/>
  <c r="P176" i="5" a="1"/>
  <c r="P176" i="5" s="1"/>
  <c r="Q176" i="5" s="1"/>
  <c r="P177" i="5" a="1"/>
  <c r="P177" i="5" s="1"/>
  <c r="Q177" i="5" s="1"/>
  <c r="P178" i="5" a="1"/>
  <c r="P178" i="5" s="1"/>
  <c r="Q178" i="5" s="1"/>
  <c r="P179" i="5" a="1"/>
  <c r="P179" i="5" s="1"/>
  <c r="Q179" i="5" s="1"/>
  <c r="P180" i="5" a="1"/>
  <c r="P180" i="5"/>
  <c r="Q180" i="5" s="1"/>
  <c r="P181" i="5" a="1"/>
  <c r="P181" i="5"/>
  <c r="Q181" i="5" s="1"/>
  <c r="P182" i="5" a="1"/>
  <c r="P182" i="5" s="1"/>
  <c r="Q182" i="5" s="1"/>
  <c r="P183" i="5" a="1"/>
  <c r="P183" i="5" s="1"/>
  <c r="Q183" i="5" s="1"/>
  <c r="P184" i="5" a="1"/>
  <c r="P184" i="5"/>
  <c r="Q184" i="5" s="1"/>
  <c r="P185" i="5" a="1"/>
  <c r="P185" i="5" s="1"/>
  <c r="Q185" i="5" s="1"/>
  <c r="P186" i="5" a="1"/>
  <c r="P186" i="5" s="1"/>
  <c r="Q186" i="5" s="1"/>
  <c r="P187" i="5" a="1"/>
  <c r="P187" i="5" s="1"/>
  <c r="Q187" i="5" s="1"/>
  <c r="P188" i="5" a="1"/>
  <c r="P188" i="5" s="1"/>
  <c r="Q188" i="5" s="1"/>
  <c r="P189" i="5" a="1"/>
  <c r="P189" i="5"/>
  <c r="Q189" i="5" s="1"/>
  <c r="P190" i="5" a="1"/>
  <c r="P190" i="5"/>
  <c r="Q190" i="5" s="1"/>
  <c r="P191" i="5" a="1"/>
  <c r="P191" i="5" s="1"/>
  <c r="Q191" i="5" s="1"/>
  <c r="P192" i="5" a="1"/>
  <c r="P192" i="5" s="1"/>
  <c r="Q192" i="5" s="1"/>
  <c r="P193" i="5" a="1"/>
  <c r="P193" i="5"/>
  <c r="Q193" i="5" s="1"/>
  <c r="P194" i="5" a="1"/>
  <c r="P194" i="5" s="1"/>
  <c r="Q194" i="5" s="1"/>
  <c r="P195" i="5" a="1"/>
  <c r="P195" i="5" s="1"/>
  <c r="Q195" i="5" s="1"/>
  <c r="P196" i="5" a="1"/>
  <c r="P196" i="5"/>
  <c r="Q196" i="5" s="1"/>
  <c r="P197" i="5" a="1"/>
  <c r="P197" i="5" s="1"/>
  <c r="Q197" i="5" s="1"/>
  <c r="P198" i="5" a="1"/>
  <c r="P198" i="5"/>
  <c r="Q198" i="5" s="1"/>
  <c r="P199" i="5" a="1"/>
  <c r="P199" i="5" s="1"/>
  <c r="Q199" i="5" s="1"/>
  <c r="P200" i="5" a="1"/>
  <c r="P200" i="5"/>
  <c r="Q200" i="5" s="1"/>
  <c r="P201" i="5" a="1"/>
  <c r="P201" i="5" s="1"/>
  <c r="Q201" i="5" s="1"/>
  <c r="P202" i="5" a="1"/>
  <c r="P202" i="5"/>
  <c r="Q202" i="5" s="1"/>
  <c r="P203" i="5" a="1"/>
  <c r="P203" i="5" s="1"/>
  <c r="Q203" i="5" s="1"/>
  <c r="P204" i="5" a="1"/>
  <c r="P204" i="5"/>
  <c r="Q204" i="5" s="1"/>
  <c r="P205" i="5" a="1"/>
  <c r="P205" i="5"/>
  <c r="Q205" i="5" s="1"/>
  <c r="P206" i="5" a="1"/>
  <c r="P206" i="5" s="1"/>
  <c r="Q206" i="5" s="1"/>
  <c r="P207" i="5" a="1"/>
  <c r="P207" i="5" s="1"/>
  <c r="Q207" i="5" s="1"/>
  <c r="P208" i="5" a="1"/>
  <c r="P208" i="5" s="1"/>
  <c r="Q208" i="5" s="1"/>
  <c r="P209" i="5" a="1"/>
  <c r="P209" i="5"/>
  <c r="Q209" i="5" s="1"/>
  <c r="P210" i="5" a="1"/>
  <c r="P210" i="5" s="1"/>
  <c r="Q210" i="5" s="1"/>
  <c r="P211" i="5" a="1"/>
  <c r="P211" i="5" s="1"/>
  <c r="Q211" i="5" s="1"/>
  <c r="P212" i="5" a="1"/>
  <c r="P212" i="5"/>
  <c r="Q212" i="5" s="1"/>
  <c r="P213" i="5" a="1"/>
  <c r="P213" i="5"/>
  <c r="Q213" i="5" s="1"/>
  <c r="P214" i="5" a="1"/>
  <c r="P214" i="5"/>
  <c r="Q214" i="5" s="1"/>
  <c r="P215" i="5" a="1"/>
  <c r="P215" i="5" s="1"/>
  <c r="Q215" i="5" s="1"/>
  <c r="P216" i="5" a="1"/>
  <c r="P216" i="5"/>
  <c r="Q216" i="5" s="1"/>
  <c r="P217" i="5" a="1"/>
  <c r="P217" i="5" s="1"/>
  <c r="Q217" i="5" s="1"/>
  <c r="P218" i="5" a="1"/>
  <c r="P218" i="5"/>
  <c r="Q218" i="5" s="1"/>
  <c r="P219" i="5" a="1"/>
  <c r="P219" i="5" s="1"/>
  <c r="Q219" i="5" s="1"/>
  <c r="P220" i="5" a="1"/>
  <c r="P220" i="5" s="1"/>
  <c r="Q220" i="5" s="1"/>
  <c r="P221" i="5" a="1"/>
  <c r="P221" i="5"/>
  <c r="Q221" i="5" s="1"/>
  <c r="P222" i="5" a="1"/>
  <c r="P222" i="5"/>
  <c r="Q222" i="5" s="1"/>
  <c r="P223" i="5" a="1"/>
  <c r="P223" i="5" s="1"/>
  <c r="Q223" i="5" s="1"/>
  <c r="P224" i="5" a="1"/>
  <c r="P224" i="5" s="1"/>
  <c r="Q224" i="5" s="1"/>
  <c r="P225" i="5" a="1"/>
  <c r="P225" i="5"/>
  <c r="Q225" i="5" s="1"/>
  <c r="P226" i="5" a="1"/>
  <c r="P226" i="5" s="1"/>
  <c r="Q226" i="5" s="1"/>
  <c r="P227" i="5" a="1"/>
  <c r="P227" i="5" s="1"/>
  <c r="Q227" i="5" s="1"/>
  <c r="P228" i="5" a="1"/>
  <c r="P228" i="5" s="1"/>
  <c r="Q228" i="5" s="1"/>
  <c r="P229" i="5" a="1"/>
  <c r="P229" i="5" s="1"/>
  <c r="Q229" i="5" s="1"/>
  <c r="P230" i="5" a="1"/>
  <c r="P230" i="5"/>
  <c r="Q230" i="5" s="1"/>
  <c r="P231" i="5" a="1"/>
  <c r="P231" i="5" s="1"/>
  <c r="Q231" i="5" s="1"/>
  <c r="P232" i="5" a="1"/>
  <c r="P232" i="5"/>
  <c r="Q232" i="5" s="1"/>
  <c r="P233" i="5" a="1"/>
  <c r="P233" i="5" s="1"/>
  <c r="Q233" i="5" s="1"/>
  <c r="P234" i="5" a="1"/>
  <c r="P234" i="5"/>
  <c r="Q234" i="5" s="1"/>
  <c r="P235" i="5" a="1"/>
  <c r="P235" i="5" s="1"/>
  <c r="Q235" i="5" s="1"/>
  <c r="P236" i="5" a="1"/>
  <c r="P236" i="5"/>
  <c r="Q236" i="5" s="1"/>
  <c r="P237" i="5" a="1"/>
  <c r="P237" i="5"/>
  <c r="Q237" i="5" s="1"/>
  <c r="P238" i="5" a="1"/>
  <c r="P238" i="5" s="1"/>
  <c r="Q238" i="5" s="1"/>
  <c r="P239" i="5" a="1"/>
  <c r="P239" i="5" s="1"/>
  <c r="Q239" i="5" s="1"/>
  <c r="P240" i="5" a="1"/>
  <c r="P240" i="5" s="1"/>
  <c r="Q240" i="5" s="1"/>
  <c r="P241" i="5" a="1"/>
  <c r="P241" i="5" s="1"/>
  <c r="Q241" i="5" s="1"/>
  <c r="P242" i="5" a="1"/>
  <c r="P242" i="5" s="1"/>
  <c r="Q242" i="5" s="1"/>
  <c r="P243" i="5" a="1"/>
  <c r="P243" i="5" s="1"/>
  <c r="Q243" i="5" s="1"/>
  <c r="P244" i="5" a="1"/>
  <c r="P244" i="5"/>
  <c r="Q244" i="5" s="1"/>
  <c r="P245" i="5" a="1"/>
  <c r="P245" i="5"/>
  <c r="Q245" i="5" s="1"/>
  <c r="P246" i="5" a="1"/>
  <c r="P246" i="5" s="1"/>
  <c r="Q246" i="5" s="1"/>
  <c r="P247" i="5" a="1"/>
  <c r="P247" i="5" s="1"/>
  <c r="Q247" i="5" s="1"/>
  <c r="P248" i="5" a="1"/>
  <c r="P248" i="5"/>
  <c r="Q248" i="5" s="1"/>
  <c r="P249" i="5" a="1"/>
  <c r="P249" i="5" s="1"/>
  <c r="Q249" i="5" s="1"/>
  <c r="P250" i="5" a="1"/>
  <c r="P250" i="5"/>
  <c r="Q250" i="5" s="1"/>
  <c r="P251" i="5" a="1"/>
  <c r="P251" i="5" s="1"/>
  <c r="Q251" i="5" s="1"/>
  <c r="P252" i="5" a="1"/>
  <c r="P252" i="5" s="1"/>
  <c r="Q252" i="5" s="1"/>
  <c r="P253" i="5" a="1"/>
  <c r="P253" i="5"/>
  <c r="Q253" i="5" s="1"/>
  <c r="P254" i="5" a="1"/>
  <c r="P254" i="5"/>
  <c r="Q254" i="5" s="1"/>
  <c r="P255" i="5" a="1"/>
  <c r="P255" i="5" s="1"/>
  <c r="Q255" i="5" s="1"/>
  <c r="P256" i="5" a="1"/>
  <c r="P256" i="5" s="1"/>
  <c r="Q256" i="5" s="1"/>
  <c r="P257" i="5" a="1"/>
  <c r="P257" i="5"/>
  <c r="Q257" i="5" s="1"/>
  <c r="P258" i="5" a="1"/>
  <c r="P258" i="5" s="1"/>
  <c r="Q258" i="5" s="1"/>
  <c r="P259" i="5" a="1"/>
  <c r="P259" i="5" s="1"/>
  <c r="Q259" i="5" s="1"/>
  <c r="P260" i="5" a="1"/>
  <c r="P260" i="5"/>
  <c r="Q260" i="5" s="1"/>
  <c r="P261" i="5" a="1"/>
  <c r="P261" i="5" s="1"/>
  <c r="Q261" i="5" s="1"/>
  <c r="P262" i="5" a="1"/>
  <c r="P262" i="5"/>
  <c r="Q262" i="5" s="1"/>
  <c r="P263" i="5" a="1"/>
  <c r="P263" i="5" s="1"/>
  <c r="Q263" i="5" s="1"/>
  <c r="P264" i="5" a="1"/>
  <c r="P264" i="5" s="1"/>
  <c r="Q264" i="5" s="1"/>
  <c r="P265" i="5" a="1"/>
  <c r="P265" i="5" s="1"/>
  <c r="Q265" i="5" s="1"/>
  <c r="P266" i="5" a="1"/>
  <c r="P266" i="5"/>
  <c r="Q266" i="5" s="1"/>
  <c r="P267" i="5" a="1"/>
  <c r="P267" i="5" s="1"/>
  <c r="Q267" i="5" s="1"/>
  <c r="P268" i="5" a="1"/>
  <c r="P268" i="5"/>
  <c r="Q268" i="5" s="1"/>
  <c r="P269" i="5" a="1"/>
  <c r="P269" i="5" s="1"/>
  <c r="Q269" i="5" s="1"/>
  <c r="P270" i="5" a="1"/>
  <c r="P270" i="5" s="1"/>
  <c r="Q270" i="5" s="1"/>
  <c r="P271" i="5" a="1"/>
  <c r="P271" i="5" s="1"/>
  <c r="Q271" i="5" s="1"/>
  <c r="P272" i="5" a="1"/>
  <c r="P272" i="5" s="1"/>
  <c r="Q272" i="5" s="1"/>
  <c r="P273" i="5" a="1"/>
  <c r="P273" i="5"/>
  <c r="Q273" i="5" s="1"/>
  <c r="P274" i="5" a="1"/>
  <c r="P274" i="5" s="1"/>
  <c r="Q274" i="5" s="1"/>
  <c r="P275" i="5" a="1"/>
  <c r="P275" i="5" s="1"/>
  <c r="Q275" i="5" s="1"/>
  <c r="P276" i="5" a="1"/>
  <c r="P276" i="5"/>
  <c r="Q276" i="5" s="1"/>
  <c r="P277" i="5" a="1"/>
  <c r="P277" i="5"/>
  <c r="Q277" i="5" s="1"/>
  <c r="P278" i="5" a="1"/>
  <c r="P278" i="5"/>
  <c r="Q278" i="5" s="1"/>
  <c r="P279" i="5" a="1"/>
  <c r="P279" i="5" s="1"/>
  <c r="Q279" i="5" s="1"/>
  <c r="P280" i="5" a="1"/>
  <c r="P280" i="5"/>
  <c r="Q280" i="5" s="1"/>
  <c r="P281" i="5" a="1"/>
  <c r="P281" i="5" s="1"/>
  <c r="Q281" i="5" s="1"/>
  <c r="P282" i="5" a="1"/>
  <c r="P282" i="5" s="1"/>
  <c r="Q282" i="5" s="1"/>
  <c r="P283" i="5" a="1"/>
  <c r="P283" i="5" s="1"/>
  <c r="Q283" i="5" s="1"/>
  <c r="P284" i="5" a="1"/>
  <c r="P284" i="5" s="1"/>
  <c r="Q284" i="5" s="1"/>
  <c r="P285" i="5" a="1"/>
  <c r="P285" i="5"/>
  <c r="Q285" i="5" s="1"/>
  <c r="P286" i="5" a="1"/>
  <c r="P286" i="5"/>
  <c r="Q286" i="5" s="1"/>
  <c r="P287" i="5" a="1"/>
  <c r="P287" i="5" s="1"/>
  <c r="Q287" i="5" s="1"/>
  <c r="P288" i="5" a="1"/>
  <c r="P288" i="5" s="1"/>
  <c r="Q288" i="5" s="1"/>
  <c r="P289" i="5" a="1"/>
  <c r="P289" i="5"/>
  <c r="Q289" i="5" s="1"/>
  <c r="P290" i="5" a="1"/>
  <c r="P290" i="5" s="1"/>
  <c r="Q290" i="5" s="1"/>
  <c r="P291" i="5" a="1"/>
  <c r="P291" i="5" s="1"/>
  <c r="Q291" i="5" s="1"/>
  <c r="P292" i="5" a="1"/>
  <c r="P292" i="5"/>
  <c r="Q292" i="5" s="1"/>
  <c r="P293" i="5" a="1"/>
  <c r="P293" i="5" s="1"/>
  <c r="Q293" i="5" s="1"/>
  <c r="P294" i="5" a="1"/>
  <c r="P294" i="5"/>
  <c r="Q294" i="5" s="1"/>
  <c r="P295" i="5" a="1"/>
  <c r="P295" i="5" s="1"/>
  <c r="Q295" i="5" s="1"/>
  <c r="P296" i="5" a="1"/>
  <c r="P296" i="5"/>
  <c r="Q296" i="5" s="1"/>
  <c r="P297" i="5" a="1"/>
  <c r="P297" i="5" s="1"/>
  <c r="Q297" i="5" s="1"/>
  <c r="P298" i="5" a="1"/>
  <c r="P298" i="5"/>
  <c r="Q298" i="5" s="1"/>
  <c r="P299" i="5" a="1"/>
  <c r="P299" i="5" s="1"/>
  <c r="Q299" i="5" s="1"/>
  <c r="P300" i="5" a="1"/>
  <c r="P300" i="5"/>
  <c r="Q300" i="5" s="1"/>
  <c r="P301" i="5" a="1"/>
  <c r="P301" i="5"/>
  <c r="Q301" i="5" s="1"/>
  <c r="P302" i="5" a="1"/>
  <c r="P302" i="5" s="1"/>
  <c r="Q302" i="5" s="1"/>
  <c r="P303" i="5" a="1"/>
  <c r="P303" i="5" s="1"/>
  <c r="Q303" i="5" s="1"/>
  <c r="P304" i="5" a="1"/>
  <c r="P304" i="5" s="1"/>
  <c r="Q304" i="5" s="1"/>
  <c r="P305" i="5" a="1"/>
  <c r="P305" i="5"/>
  <c r="Q305" i="5" s="1"/>
  <c r="P306" i="5" a="1"/>
  <c r="P306" i="5" s="1"/>
  <c r="Q306" i="5" s="1"/>
  <c r="P307" i="5" a="1"/>
  <c r="P307" i="5" s="1"/>
  <c r="Q307" i="5" s="1"/>
  <c r="P308" i="5" a="1"/>
  <c r="P308" i="5"/>
  <c r="Q308" i="5" s="1"/>
  <c r="P309" i="5" a="1"/>
  <c r="P309" i="5"/>
  <c r="Q309" i="5" s="1"/>
  <c r="P310" i="5" a="1"/>
  <c r="P310" i="5"/>
  <c r="Q310" i="5" s="1"/>
  <c r="P311" i="5" a="1"/>
  <c r="P311" i="5" s="1"/>
  <c r="Q311" i="5" s="1"/>
  <c r="P312" i="5" a="1"/>
  <c r="P312" i="5"/>
  <c r="Q312" i="5" s="1"/>
  <c r="P313" i="5" a="1"/>
  <c r="P313" i="5" s="1"/>
  <c r="Q313" i="5" s="1"/>
  <c r="P314" i="5" a="1"/>
  <c r="P314" i="5"/>
  <c r="Q314" i="5" s="1"/>
  <c r="P315" i="5" a="1"/>
  <c r="P315" i="5" s="1"/>
  <c r="Q315" i="5" s="1"/>
  <c r="P316" i="5" a="1"/>
  <c r="P316" i="5" s="1"/>
  <c r="Q316" i="5" s="1"/>
  <c r="P317" i="5" a="1"/>
  <c r="P317" i="5"/>
  <c r="Q317" i="5" s="1"/>
  <c r="P318" i="5" a="1"/>
  <c r="P318" i="5"/>
  <c r="Q318" i="5" s="1"/>
  <c r="P319" i="5" a="1"/>
  <c r="P319" i="5" s="1"/>
  <c r="Q319" i="5" s="1"/>
  <c r="P320" i="5" a="1"/>
  <c r="P320" i="5" s="1"/>
  <c r="Q320" i="5" s="1"/>
  <c r="P321" i="5" a="1"/>
  <c r="P321" i="5"/>
  <c r="Q321" i="5" s="1"/>
  <c r="P322" i="5" a="1"/>
  <c r="P322" i="5" s="1"/>
  <c r="Q322" i="5" s="1"/>
  <c r="P323" i="5" a="1"/>
  <c r="P323" i="5" s="1"/>
  <c r="Q323" i="5" s="1"/>
  <c r="P324" i="5" a="1"/>
  <c r="P324" i="5" s="1"/>
  <c r="Q324" i="5" s="1"/>
  <c r="P325" i="5" a="1"/>
  <c r="P325" i="5" s="1"/>
  <c r="Q325" i="5" s="1"/>
  <c r="P326" i="5" a="1"/>
  <c r="P326" i="5"/>
  <c r="Q326" i="5" s="1"/>
  <c r="P327" i="5" a="1"/>
  <c r="P327" i="5" s="1"/>
  <c r="Q327" i="5" s="1"/>
  <c r="P328" i="5" a="1"/>
  <c r="P328" i="5" s="1"/>
  <c r="Q328" i="5" s="1"/>
  <c r="P329" i="5" a="1"/>
  <c r="P329" i="5" s="1"/>
  <c r="Q329" i="5" s="1"/>
  <c r="P330" i="5" a="1"/>
  <c r="P330" i="5"/>
  <c r="Q330" i="5" s="1"/>
  <c r="P331" i="5" a="1"/>
  <c r="P331" i="5" s="1"/>
  <c r="Q331" i="5" s="1"/>
  <c r="P332" i="5" a="1"/>
  <c r="P332" i="5"/>
  <c r="Q332" i="5" s="1"/>
  <c r="P333" i="5" a="1"/>
  <c r="P333" i="5" s="1"/>
  <c r="Q333" i="5" s="1"/>
  <c r="P334" i="5" a="1"/>
  <c r="P334" i="5" s="1"/>
  <c r="Q334" i="5" s="1"/>
  <c r="P335" i="5" a="1"/>
  <c r="P335" i="5" s="1"/>
  <c r="Q335" i="5" s="1"/>
  <c r="P336" i="5" a="1"/>
  <c r="P336" i="5" s="1"/>
  <c r="Q336" i="5" s="1"/>
  <c r="P337" i="5" a="1"/>
  <c r="P337" i="5" s="1"/>
  <c r="Q337" i="5" s="1"/>
  <c r="P338" i="5" a="1"/>
  <c r="P338" i="5" s="1"/>
  <c r="Q338" i="5" s="1"/>
  <c r="P339" i="5" a="1"/>
  <c r="P339" i="5" s="1"/>
  <c r="Q339" i="5" s="1"/>
  <c r="P340" i="5" a="1"/>
  <c r="P340" i="5"/>
  <c r="Q340" i="5" s="1"/>
  <c r="P341" i="5" a="1"/>
  <c r="P341" i="5"/>
  <c r="Q341" i="5" s="1"/>
  <c r="P342" i="5" a="1"/>
  <c r="P342" i="5" s="1"/>
  <c r="Q342" i="5" s="1"/>
  <c r="P343" i="5" a="1"/>
  <c r="P343" i="5" s="1"/>
  <c r="Q343" i="5" s="1"/>
  <c r="P344" i="5" a="1"/>
  <c r="P344" i="5"/>
  <c r="Q344" i="5" s="1"/>
  <c r="P345" i="5" a="1"/>
  <c r="P345" i="5" s="1"/>
  <c r="Q345" i="5" s="1"/>
  <c r="P346" i="5" a="1"/>
  <c r="P346" i="5"/>
  <c r="Q346" i="5" s="1"/>
  <c r="P347" i="5" a="1"/>
  <c r="P347" i="5" s="1"/>
  <c r="Q347" i="5" s="1"/>
  <c r="P348" i="5" a="1"/>
  <c r="P348" i="5" s="1"/>
  <c r="Q348" i="5" s="1"/>
  <c r="P349" i="5" a="1"/>
  <c r="P349" i="5"/>
  <c r="Q349" i="5" s="1"/>
  <c r="P350" i="5" a="1"/>
  <c r="P350" i="5"/>
  <c r="Q350" i="5" s="1"/>
  <c r="P351" i="5" a="1"/>
  <c r="P351" i="5" s="1"/>
  <c r="Q351" i="5" s="1"/>
  <c r="P352" i="5" a="1"/>
  <c r="P352" i="5" s="1"/>
  <c r="Q352" i="5" s="1"/>
  <c r="P353" i="5" a="1"/>
  <c r="P353" i="5"/>
  <c r="Q353" i="5" s="1"/>
  <c r="P354" i="5" a="1"/>
  <c r="P354" i="5" s="1"/>
  <c r="Q354" i="5" s="1"/>
  <c r="P355" i="5" a="1"/>
  <c r="P355" i="5" s="1"/>
  <c r="Q355" i="5" s="1"/>
  <c r="P356" i="5" a="1"/>
  <c r="P356" i="5"/>
  <c r="Q356" i="5" s="1"/>
  <c r="P357" i="5" a="1"/>
  <c r="P357" i="5" s="1"/>
  <c r="Q357" i="5" s="1"/>
  <c r="P358" i="5" a="1"/>
  <c r="P358" i="5"/>
  <c r="Q358" i="5" s="1"/>
  <c r="P359" i="5" a="1"/>
  <c r="P359" i="5" s="1"/>
  <c r="Q359" i="5" s="1"/>
  <c r="P360" i="5" a="1"/>
  <c r="P360" i="5"/>
  <c r="Q360" i="5" s="1"/>
  <c r="P361" i="5" a="1"/>
  <c r="P361" i="5" s="1"/>
  <c r="Q361" i="5" s="1"/>
  <c r="P362" i="5" a="1"/>
  <c r="P362" i="5"/>
  <c r="Q362" i="5" s="1"/>
  <c r="P363" i="5" a="1"/>
  <c r="P363" i="5" s="1"/>
  <c r="Q363" i="5" s="1"/>
  <c r="P364" i="5" a="1"/>
  <c r="P364" i="5"/>
  <c r="Q364" i="5" s="1"/>
  <c r="P365" i="5" a="1"/>
  <c r="P365" i="5"/>
  <c r="Q365" i="5" s="1"/>
  <c r="P366" i="5" a="1"/>
  <c r="P366" i="5" s="1"/>
  <c r="Q366" i="5" s="1"/>
  <c r="P367" i="5" a="1"/>
  <c r="P367" i="5" s="1"/>
  <c r="Q367" i="5" s="1"/>
  <c r="P368" i="5" a="1"/>
  <c r="P368" i="5" s="1"/>
  <c r="Q368" i="5" s="1"/>
  <c r="P369" i="5" a="1"/>
  <c r="P369" i="5"/>
  <c r="Q369" i="5" s="1"/>
  <c r="P370" i="5" a="1"/>
  <c r="P370" i="5" s="1"/>
  <c r="Q370" i="5" s="1"/>
  <c r="P371" i="5" a="1"/>
  <c r="P371" i="5" s="1"/>
  <c r="Q371" i="5" s="1"/>
  <c r="P372" i="5" a="1"/>
  <c r="P372" i="5"/>
  <c r="Q372" i="5" s="1"/>
  <c r="P373" i="5" a="1"/>
  <c r="P373" i="5"/>
  <c r="Q373" i="5" s="1"/>
  <c r="P374" i="5" a="1"/>
  <c r="P374" i="5"/>
  <c r="Q374" i="5" s="1"/>
  <c r="P375" i="5" a="1"/>
  <c r="P375" i="5" s="1"/>
  <c r="Q375" i="5" s="1"/>
  <c r="P376" i="5" a="1"/>
  <c r="P376" i="5"/>
  <c r="Q376" i="5" s="1"/>
  <c r="P377" i="5" a="1"/>
  <c r="P377" i="5" s="1"/>
  <c r="Q377" i="5" s="1"/>
  <c r="P378" i="5" a="1"/>
  <c r="P378" i="5" s="1"/>
  <c r="Q378" i="5" s="1"/>
  <c r="P379" i="5" a="1"/>
  <c r="P379" i="5" s="1"/>
  <c r="Q379" i="5" s="1"/>
  <c r="P380" i="5" a="1"/>
  <c r="P380" i="5" s="1"/>
  <c r="Q380" i="5" s="1"/>
  <c r="P381" i="5" a="1"/>
  <c r="P381" i="5"/>
  <c r="Q381" i="5" s="1"/>
  <c r="P382" i="5" a="1"/>
  <c r="P382" i="5"/>
  <c r="Q382" i="5" s="1"/>
  <c r="P383" i="5" a="1"/>
  <c r="P383" i="5" s="1"/>
  <c r="Q383" i="5" s="1"/>
  <c r="P384" i="5" a="1"/>
  <c r="P384" i="5" s="1"/>
  <c r="Q384" i="5" s="1"/>
  <c r="P385" i="5" a="1"/>
  <c r="P385" i="5" s="1"/>
  <c r="Q385" i="5" s="1"/>
  <c r="P386" i="5" a="1"/>
  <c r="P386" i="5" s="1"/>
  <c r="Q386" i="5" s="1"/>
  <c r="P387" i="5" a="1"/>
  <c r="P387" i="5" s="1"/>
  <c r="Q387" i="5" s="1"/>
  <c r="P388" i="5" a="1"/>
  <c r="P388" i="5"/>
  <c r="Q388" i="5" s="1"/>
  <c r="P389" i="5" a="1"/>
  <c r="P389" i="5" s="1"/>
  <c r="Q389" i="5" s="1"/>
  <c r="P390" i="5" a="1"/>
  <c r="P390" i="5"/>
  <c r="Q390" i="5" s="1"/>
  <c r="P391" i="5" a="1"/>
  <c r="P391" i="5" s="1"/>
  <c r="Q391" i="5" s="1"/>
  <c r="P392" i="5" a="1"/>
  <c r="P392" i="5" s="1"/>
  <c r="Q392" i="5" s="1"/>
  <c r="P393" i="5" a="1"/>
  <c r="P393" i="5" s="1"/>
  <c r="Q393" i="5" s="1"/>
  <c r="P394" i="5" a="1"/>
  <c r="P394" i="5" s="1"/>
  <c r="Q394" i="5" s="1"/>
  <c r="P395" i="5" a="1"/>
  <c r="P395" i="5" s="1"/>
  <c r="Q395" i="5" s="1"/>
  <c r="P396" i="5" a="1"/>
  <c r="P396" i="5"/>
  <c r="Q396" i="5" s="1"/>
  <c r="P397" i="5" a="1"/>
  <c r="P397" i="5"/>
  <c r="Q397" i="5" s="1"/>
  <c r="P398" i="5" a="1"/>
  <c r="P398" i="5" s="1"/>
  <c r="Q398" i="5" s="1"/>
  <c r="P399" i="5" a="1"/>
  <c r="P399" i="5" s="1"/>
  <c r="Q399" i="5" s="1"/>
  <c r="P400" i="5" a="1"/>
  <c r="P400" i="5" s="1"/>
  <c r="Q400" i="5" s="1"/>
  <c r="P401" i="5" a="1"/>
  <c r="P401" i="5"/>
  <c r="Q401" i="5" s="1"/>
  <c r="P402" i="5" a="1"/>
  <c r="P402" i="5" s="1"/>
  <c r="Q402" i="5" s="1"/>
  <c r="P403" i="5" a="1"/>
  <c r="P403" i="5" s="1"/>
  <c r="Q403" i="5" s="1"/>
  <c r="P404" i="5" a="1"/>
  <c r="P404" i="5"/>
  <c r="Q404" i="5" s="1"/>
  <c r="P405" i="5" a="1"/>
  <c r="P405" i="5"/>
  <c r="Q405" i="5" s="1"/>
  <c r="P406" i="5" a="1"/>
  <c r="P406" i="5"/>
  <c r="Q406" i="5" s="1"/>
  <c r="P407" i="5" a="1"/>
  <c r="P407" i="5" s="1"/>
  <c r="Q407" i="5" s="1"/>
  <c r="P408" i="5" a="1"/>
  <c r="P408" i="5" s="1"/>
  <c r="Q408" i="5" s="1"/>
  <c r="P409" i="5" a="1"/>
  <c r="P409" i="5" s="1"/>
  <c r="Q409" i="5" s="1"/>
  <c r="P410" i="5" a="1"/>
  <c r="P410" i="5"/>
  <c r="Q410" i="5" s="1"/>
  <c r="P411" i="5" a="1"/>
  <c r="P411" i="5" s="1"/>
  <c r="Q411" i="5" s="1"/>
  <c r="P412" i="5" a="1"/>
  <c r="P412" i="5" s="1"/>
  <c r="Q412" i="5" s="1"/>
  <c r="P413" i="5" a="1"/>
  <c r="P413" i="5"/>
  <c r="Q413" i="5" s="1"/>
  <c r="P414" i="5" a="1"/>
  <c r="P414" i="5"/>
  <c r="Q414" i="5" s="1"/>
  <c r="P415" i="5" a="1"/>
  <c r="P415" i="5" s="1"/>
  <c r="Q415" i="5" s="1"/>
  <c r="P416" i="5" a="1"/>
  <c r="P416" i="5" s="1"/>
  <c r="Q416" i="5" s="1"/>
  <c r="P417" i="5" a="1"/>
  <c r="P417" i="5" s="1"/>
  <c r="Q417" i="5" s="1"/>
  <c r="P418" i="5" a="1"/>
  <c r="P418" i="5" s="1"/>
  <c r="Q418" i="5" s="1"/>
  <c r="P419" i="5" a="1"/>
  <c r="P419" i="5" s="1"/>
  <c r="Q419" i="5" s="1"/>
  <c r="P420" i="5" a="1"/>
  <c r="P420" i="5"/>
  <c r="Q420" i="5" s="1"/>
  <c r="P421" i="5" a="1"/>
  <c r="P421" i="5" s="1"/>
  <c r="Q421" i="5" s="1"/>
  <c r="P422" i="5" a="1"/>
  <c r="P422" i="5"/>
  <c r="Q422" i="5" s="1"/>
  <c r="P423" i="5" a="1"/>
  <c r="P423" i="5" s="1"/>
  <c r="Q423" i="5" s="1"/>
  <c r="P424" i="5" a="1"/>
  <c r="P424" i="5"/>
  <c r="Q424" i="5" s="1"/>
  <c r="P425" i="5" a="1"/>
  <c r="P425" i="5" s="1"/>
  <c r="Q425" i="5" s="1"/>
  <c r="P426" i="5" a="1"/>
  <c r="P426" i="5" s="1"/>
  <c r="Q426" i="5" s="1"/>
  <c r="P427" i="5" a="1"/>
  <c r="P427" i="5" s="1"/>
  <c r="Q427" i="5" s="1"/>
  <c r="P428" i="5" a="1"/>
  <c r="P428" i="5"/>
  <c r="Q428" i="5" s="1"/>
  <c r="P429" i="5" a="1"/>
  <c r="P429" i="5" s="1"/>
  <c r="Q429" i="5" s="1"/>
  <c r="P430" i="5" a="1"/>
  <c r="P430" i="5" s="1"/>
  <c r="Q430" i="5" s="1"/>
  <c r="P431" i="5" a="1"/>
  <c r="P431" i="5" s="1"/>
  <c r="Q431" i="5" s="1"/>
  <c r="P432" i="5" a="1"/>
  <c r="P432" i="5" s="1"/>
  <c r="Q432" i="5" s="1"/>
  <c r="P433" i="5" a="1"/>
  <c r="P433" i="5" s="1"/>
  <c r="Q433" i="5" s="1"/>
  <c r="P434" i="5" a="1"/>
  <c r="P434" i="5" s="1"/>
  <c r="Q434" i="5" s="1"/>
  <c r="P435" i="5" a="1"/>
  <c r="P435" i="5" s="1"/>
  <c r="Q435" i="5" s="1"/>
  <c r="P436" i="5" a="1"/>
  <c r="P436" i="5"/>
  <c r="Q436" i="5" s="1"/>
  <c r="P437" i="5" a="1"/>
  <c r="P437" i="5"/>
  <c r="Q437" i="5" s="1"/>
  <c r="P438" i="5" a="1"/>
  <c r="P438" i="5" s="1"/>
  <c r="Q438" i="5" s="1"/>
  <c r="P439" i="5" a="1"/>
  <c r="P439" i="5" s="1"/>
  <c r="Q439" i="5" s="1"/>
  <c r="P440" i="5" a="1"/>
  <c r="P440" i="5" s="1"/>
  <c r="Q440" i="5" s="1"/>
  <c r="P441" i="5" a="1"/>
  <c r="P441" i="5" s="1"/>
  <c r="Q441" i="5" s="1"/>
  <c r="P442" i="5" a="1"/>
  <c r="P442" i="5" s="1"/>
  <c r="Q442" i="5" s="1"/>
  <c r="P443" i="5" a="1"/>
  <c r="P443" i="5" s="1"/>
  <c r="Q443" i="5" s="1"/>
  <c r="P444" i="5" a="1"/>
  <c r="P444" i="5" s="1"/>
  <c r="Q444" i="5" s="1"/>
  <c r="P445" i="5" a="1"/>
  <c r="P445" i="5"/>
  <c r="Q445" i="5" s="1"/>
  <c r="P446" i="5" a="1"/>
  <c r="P446" i="5"/>
  <c r="Q446" i="5" s="1"/>
  <c r="P447" i="5" a="1"/>
  <c r="P447" i="5" s="1"/>
  <c r="Q447" i="5" s="1"/>
  <c r="P448" i="5" a="1"/>
  <c r="P448" i="5" s="1"/>
  <c r="Q448" i="5" s="1"/>
  <c r="P449" i="5" a="1"/>
  <c r="P449" i="5" s="1"/>
  <c r="Q449" i="5" s="1"/>
  <c r="P450" i="5" a="1"/>
  <c r="P450" i="5" s="1"/>
  <c r="Q450" i="5" s="1"/>
  <c r="P451" i="5" a="1"/>
  <c r="P451" i="5" s="1"/>
  <c r="Q451" i="5" s="1"/>
  <c r="P452" i="5" a="1"/>
  <c r="P452" i="5"/>
  <c r="Q452" i="5" s="1"/>
  <c r="P453" i="5" a="1"/>
  <c r="P453" i="5" s="1"/>
  <c r="Q453" i="5" s="1"/>
  <c r="P454" i="5" a="1"/>
  <c r="P454" i="5"/>
  <c r="Q454" i="5" s="1"/>
  <c r="P455" i="5" a="1"/>
  <c r="P455" i="5" s="1"/>
  <c r="Q455" i="5" s="1"/>
  <c r="P456" i="5" a="1"/>
  <c r="P456" i="5" s="1"/>
  <c r="Q456" i="5" s="1"/>
  <c r="P457" i="5" a="1"/>
  <c r="P457" i="5" s="1"/>
  <c r="Q457" i="5" s="1"/>
  <c r="P458" i="5" a="1"/>
  <c r="P458" i="5" s="1"/>
  <c r="Q458" i="5" s="1"/>
  <c r="P459" i="5" a="1"/>
  <c r="P459" i="5" s="1"/>
  <c r="Q459" i="5" s="1"/>
  <c r="P460" i="5" a="1"/>
  <c r="P460" i="5"/>
  <c r="Q460" i="5" s="1"/>
  <c r="P461" i="5" a="1"/>
  <c r="P461" i="5"/>
  <c r="Q461" i="5" s="1"/>
  <c r="P462" i="5" a="1"/>
  <c r="P462" i="5" s="1"/>
  <c r="Q462" i="5" s="1"/>
  <c r="P463" i="5" a="1"/>
  <c r="P463" i="5" s="1"/>
  <c r="Q463" i="5" s="1"/>
  <c r="P464" i="5" a="1"/>
  <c r="P464" i="5" s="1"/>
  <c r="Q464" i="5" s="1"/>
  <c r="P465" i="5" a="1"/>
  <c r="P465" i="5"/>
  <c r="Q465" i="5" s="1"/>
  <c r="P466" i="5" a="1"/>
  <c r="P466" i="5" s="1"/>
  <c r="Q466" i="5" s="1"/>
  <c r="P467" i="5" a="1"/>
  <c r="P467" i="5" s="1"/>
  <c r="Q467" i="5" s="1"/>
  <c r="P468" i="5" a="1"/>
  <c r="P468" i="5"/>
  <c r="Q468" i="5" s="1"/>
  <c r="P469" i="5" a="1"/>
  <c r="P469" i="5"/>
  <c r="Q469" i="5" s="1"/>
  <c r="P470" i="5" a="1"/>
  <c r="P470" i="5"/>
  <c r="Q470" i="5" s="1"/>
  <c r="P471" i="5" a="1"/>
  <c r="P471" i="5" s="1"/>
  <c r="Q471" i="5" s="1"/>
  <c r="P472" i="5" a="1"/>
  <c r="P472" i="5" s="1"/>
  <c r="Q472" i="5" s="1"/>
  <c r="P473" i="5" a="1"/>
  <c r="P473" i="5" s="1"/>
  <c r="Q473" i="5" s="1"/>
  <c r="P474" i="5" a="1"/>
  <c r="P474" i="5"/>
  <c r="Q474" i="5" s="1"/>
  <c r="P475" i="5" a="1"/>
  <c r="P475" i="5" s="1"/>
  <c r="Q475" i="5" s="1"/>
  <c r="P476" i="5" a="1"/>
  <c r="P476" i="5" s="1"/>
  <c r="Q476" i="5" s="1"/>
  <c r="P477" i="5" a="1"/>
  <c r="P477" i="5"/>
  <c r="Q477" i="5" s="1"/>
  <c r="P478" i="5" a="1"/>
  <c r="P478" i="5"/>
  <c r="Q478" i="5" s="1"/>
  <c r="P479" i="5" a="1"/>
  <c r="P479" i="5" s="1"/>
  <c r="Q479" i="5" s="1"/>
  <c r="P480" i="5" a="1"/>
  <c r="P480" i="5" s="1"/>
  <c r="Q480" i="5" s="1"/>
  <c r="P481" i="5" a="1"/>
  <c r="P481" i="5" s="1"/>
  <c r="Q481" i="5" s="1"/>
  <c r="P482" i="5" a="1"/>
  <c r="P482" i="5" s="1"/>
  <c r="Q482" i="5" s="1"/>
  <c r="P483" i="5" a="1"/>
  <c r="P483" i="5" s="1"/>
  <c r="Q483" i="5" s="1"/>
  <c r="P484" i="5" a="1"/>
  <c r="P484" i="5"/>
  <c r="Q484" i="5" s="1"/>
  <c r="P485" i="5" a="1"/>
  <c r="P485" i="5" s="1"/>
  <c r="Q485" i="5" s="1"/>
  <c r="P486" i="5" a="1"/>
  <c r="P486" i="5"/>
  <c r="Q486" i="5" s="1"/>
  <c r="P487" i="5" a="1"/>
  <c r="P487" i="5" s="1"/>
  <c r="Q487" i="5" s="1"/>
  <c r="P488" i="5" a="1"/>
  <c r="P488" i="5"/>
  <c r="Q488" i="5" s="1"/>
  <c r="P489" i="5" a="1"/>
  <c r="P489" i="5"/>
  <c r="Q489" i="5" s="1"/>
  <c r="P490" i="5" a="1"/>
  <c r="P490" i="5" s="1"/>
  <c r="Q490" i="5" s="1"/>
  <c r="P491" i="5" a="1"/>
  <c r="P491" i="5" s="1"/>
  <c r="Q491" i="5" s="1"/>
  <c r="P492" i="5" a="1"/>
  <c r="P492" i="5"/>
  <c r="Q492" i="5" s="1"/>
  <c r="P493" i="5" a="1"/>
  <c r="P493" i="5"/>
  <c r="Q493" i="5" s="1"/>
  <c r="P494" i="5" a="1"/>
  <c r="P494" i="5" s="1"/>
  <c r="Q494" i="5" s="1"/>
  <c r="P495" i="5" a="1"/>
  <c r="P495" i="5" s="1"/>
  <c r="Q495" i="5" s="1"/>
  <c r="P496" i="5" a="1"/>
  <c r="P496" i="5" s="1"/>
  <c r="Q496" i="5" s="1"/>
  <c r="P497" i="5" a="1"/>
  <c r="P497" i="5"/>
  <c r="Q497" i="5" s="1"/>
  <c r="P498" i="5" a="1"/>
  <c r="P498" i="5" s="1"/>
  <c r="Q498" i="5" s="1"/>
  <c r="P499" i="5" a="1"/>
  <c r="P499" i="5" s="1"/>
  <c r="Q499" i="5" s="1"/>
  <c r="P500" i="5" a="1"/>
  <c r="P500" i="5"/>
  <c r="Q500" i="5" s="1"/>
  <c r="P501" i="5" a="1"/>
  <c r="P501" i="5"/>
  <c r="Q501" i="5" s="1"/>
  <c r="P502" i="5" a="1"/>
  <c r="P502" i="5"/>
  <c r="Q502" i="5" s="1"/>
  <c r="P503" i="5" a="1"/>
  <c r="P503" i="5" s="1"/>
  <c r="Q503" i="5" s="1"/>
  <c r="P504" i="5" a="1"/>
  <c r="P504" i="5" s="1"/>
  <c r="Q504" i="5" s="1"/>
  <c r="P505" i="5" a="1"/>
  <c r="P505" i="5" s="1"/>
  <c r="Q505" i="5" s="1"/>
  <c r="P506" i="5" a="1"/>
  <c r="P506" i="5"/>
  <c r="Q506" i="5" s="1"/>
  <c r="P507" i="5" a="1"/>
  <c r="P507" i="5" s="1"/>
  <c r="Q507" i="5" s="1"/>
  <c r="P508" i="5" a="1"/>
  <c r="P508" i="5" s="1"/>
  <c r="Q508" i="5" s="1"/>
  <c r="P509" i="5" a="1"/>
  <c r="P509" i="5"/>
  <c r="Q509" i="5" s="1"/>
  <c r="P510" i="5" a="1"/>
  <c r="P510" i="5"/>
  <c r="Q510" i="5" s="1"/>
  <c r="P511" i="5" a="1"/>
  <c r="P511" i="5" s="1"/>
  <c r="Q511" i="5" s="1"/>
  <c r="P512" i="5" a="1"/>
  <c r="P512" i="5" s="1"/>
  <c r="Q512" i="5" s="1"/>
  <c r="P513" i="5" a="1"/>
  <c r="P513" i="5" s="1"/>
  <c r="Q513" i="5" s="1"/>
  <c r="P514" i="5" a="1"/>
  <c r="P514" i="5" s="1"/>
  <c r="Q514" i="5" s="1"/>
  <c r="P515" i="5" a="1"/>
  <c r="P515" i="5" s="1"/>
  <c r="Q515" i="5" s="1"/>
  <c r="P516" i="5" a="1"/>
  <c r="P516" i="5" s="1"/>
  <c r="Q516" i="5" s="1"/>
  <c r="P517" i="5" a="1"/>
  <c r="P517" i="5" s="1"/>
  <c r="Q517" i="5" s="1"/>
  <c r="P518" i="5" a="1"/>
  <c r="P518" i="5"/>
  <c r="Q518" i="5" s="1"/>
  <c r="P519" i="5" a="1"/>
  <c r="P519" i="5" s="1"/>
  <c r="Q519" i="5" s="1"/>
  <c r="P520" i="5" a="1"/>
  <c r="P520" i="5" s="1"/>
  <c r="Q520" i="5" s="1"/>
  <c r="P521" i="5" a="1"/>
  <c r="P521" i="5" s="1"/>
  <c r="Q521" i="5" s="1"/>
  <c r="P522" i="5" a="1"/>
  <c r="P522" i="5" s="1"/>
  <c r="Q522" i="5" s="1"/>
  <c r="P523" i="5" a="1"/>
  <c r="P523" i="5" s="1"/>
  <c r="Q523" i="5" s="1"/>
  <c r="P524" i="5" a="1"/>
  <c r="P524" i="5"/>
  <c r="Q524" i="5" s="1"/>
  <c r="P525" i="5" a="1"/>
  <c r="P525" i="5" s="1"/>
  <c r="Q525" i="5" s="1"/>
  <c r="P526" i="5" a="1"/>
  <c r="P526" i="5" s="1"/>
  <c r="Q526" i="5" s="1"/>
  <c r="P527" i="5" a="1"/>
  <c r="P527" i="5" s="1"/>
  <c r="Q527" i="5" s="1"/>
  <c r="P528" i="5" a="1"/>
  <c r="P528" i="5" s="1"/>
  <c r="Q528" i="5" s="1"/>
  <c r="P529" i="5" a="1"/>
  <c r="P529" i="5" s="1"/>
  <c r="Q529" i="5" s="1"/>
  <c r="P530" i="5" a="1"/>
  <c r="P530" i="5"/>
  <c r="Q530" i="5" s="1"/>
  <c r="P531" i="5" a="1"/>
  <c r="P531" i="5" s="1"/>
  <c r="Q531" i="5" s="1"/>
  <c r="P532" i="5" a="1"/>
  <c r="P532" i="5"/>
  <c r="Q532" i="5" s="1"/>
  <c r="P533" i="5" a="1"/>
  <c r="P533" i="5"/>
  <c r="Q533" i="5" s="1"/>
  <c r="P534" i="5" a="1"/>
  <c r="P534" i="5"/>
  <c r="Q534" i="5" s="1"/>
  <c r="P535" i="5" a="1"/>
  <c r="P535" i="5" s="1"/>
  <c r="Q535" i="5" s="1"/>
  <c r="P536" i="5" a="1"/>
  <c r="P536" i="5" s="1"/>
  <c r="Q536" i="5" s="1"/>
  <c r="P537" i="5" a="1"/>
  <c r="P537" i="5" s="1"/>
  <c r="Q537" i="5" s="1"/>
  <c r="P538" i="5" a="1"/>
  <c r="P538" i="5"/>
  <c r="Q538" i="5" s="1"/>
  <c r="P539" i="5" a="1"/>
  <c r="P539" i="5" s="1"/>
  <c r="Q539" i="5" s="1"/>
  <c r="P540" i="5" a="1"/>
  <c r="P540" i="5" s="1"/>
  <c r="Q540" i="5" s="1"/>
  <c r="P541" i="5" a="1"/>
  <c r="P541" i="5"/>
  <c r="Q541" i="5" s="1"/>
  <c r="P542" i="5" a="1"/>
  <c r="P542" i="5"/>
  <c r="Q542" i="5" s="1"/>
  <c r="P543" i="5" a="1"/>
  <c r="P543" i="5" s="1"/>
  <c r="Q543" i="5" s="1"/>
  <c r="P544" i="5" a="1"/>
  <c r="P544" i="5"/>
  <c r="Q544" i="5" s="1"/>
  <c r="P545" i="5" a="1"/>
  <c r="P545" i="5" s="1"/>
  <c r="Q545" i="5" s="1"/>
  <c r="P546" i="5" a="1"/>
  <c r="P546" i="5" s="1"/>
  <c r="Q546" i="5" s="1"/>
  <c r="P547" i="5" a="1"/>
  <c r="P547" i="5" s="1"/>
  <c r="Q547" i="5" s="1"/>
  <c r="P548" i="5" a="1"/>
  <c r="P548" i="5"/>
  <c r="Q548" i="5" s="1"/>
  <c r="P549" i="5" a="1"/>
  <c r="P549" i="5" s="1"/>
  <c r="Q549" i="5" s="1"/>
  <c r="P550" i="5" a="1"/>
  <c r="P550" i="5"/>
  <c r="Q550" i="5" s="1"/>
  <c r="P551" i="5" a="1"/>
  <c r="P551" i="5" s="1"/>
  <c r="Q551" i="5" s="1"/>
  <c r="P552" i="5" a="1"/>
  <c r="P552" i="5"/>
  <c r="Q552" i="5" s="1"/>
  <c r="P553" i="5" a="1"/>
  <c r="P553" i="5"/>
  <c r="Q553" i="5" s="1"/>
  <c r="P554" i="5" a="1"/>
  <c r="P554" i="5" s="1"/>
  <c r="Q554" i="5" s="1"/>
  <c r="P555" i="5" a="1"/>
  <c r="P555" i="5" s="1"/>
  <c r="Q555" i="5" s="1"/>
  <c r="P556" i="5" a="1"/>
  <c r="P556" i="5"/>
  <c r="Q556" i="5" s="1"/>
  <c r="P557" i="5" a="1"/>
  <c r="P557" i="5"/>
  <c r="Q557" i="5" s="1"/>
  <c r="P558" i="5" a="1"/>
  <c r="P558" i="5" s="1"/>
  <c r="Q558" i="5" s="1"/>
  <c r="P559" i="5" a="1"/>
  <c r="P559" i="5" s="1"/>
  <c r="Q559" i="5" s="1"/>
  <c r="P560" i="5" a="1"/>
  <c r="P560" i="5" s="1"/>
  <c r="Q560" i="5" s="1"/>
  <c r="P561" i="5" a="1"/>
  <c r="P561" i="5"/>
  <c r="Q561" i="5" s="1"/>
  <c r="P562" i="5" a="1"/>
  <c r="P562" i="5"/>
  <c r="Q562" i="5" s="1"/>
  <c r="P563" i="5" a="1"/>
  <c r="P563" i="5" s="1"/>
  <c r="Q563" i="5" s="1"/>
  <c r="P564" i="5" a="1"/>
  <c r="P564" i="5"/>
  <c r="Q564" i="5" s="1"/>
  <c r="P565" i="5" a="1"/>
  <c r="P565" i="5"/>
  <c r="Q565" i="5" s="1"/>
  <c r="P566" i="5" a="1"/>
  <c r="P566" i="5" s="1"/>
  <c r="Q566" i="5" s="1"/>
  <c r="P567" i="5" a="1"/>
  <c r="P567" i="5" s="1"/>
  <c r="Q567" i="5" s="1"/>
  <c r="P568" i="5" a="1"/>
  <c r="P568" i="5" s="1"/>
  <c r="Q568" i="5" s="1"/>
  <c r="P569" i="5" a="1"/>
  <c r="P569" i="5" s="1"/>
  <c r="Q569" i="5" s="1"/>
  <c r="P570" i="5" a="1"/>
  <c r="P570" i="5" s="1"/>
  <c r="Q570" i="5" s="1"/>
  <c r="P571" i="5" a="1"/>
  <c r="P571" i="5" s="1"/>
  <c r="Q571" i="5" s="1"/>
  <c r="P572" i="5" a="1"/>
  <c r="P572" i="5" s="1"/>
  <c r="Q572" i="5" s="1"/>
  <c r="P573" i="5" a="1"/>
  <c r="P573" i="5"/>
  <c r="Q573" i="5" s="1"/>
  <c r="P574" i="5" a="1"/>
  <c r="P574" i="5"/>
  <c r="Q574" i="5" s="1"/>
  <c r="P575" i="5" a="1"/>
  <c r="P575" i="5" s="1"/>
  <c r="Q575" i="5" s="1"/>
  <c r="P576" i="5" a="1"/>
  <c r="P576" i="5"/>
  <c r="Q576" i="5" s="1"/>
  <c r="P577" i="5" a="1"/>
  <c r="P577" i="5" s="1"/>
  <c r="Q577" i="5" s="1"/>
  <c r="P578" i="5" a="1"/>
  <c r="P578" i="5" s="1"/>
  <c r="Q578" i="5" s="1"/>
  <c r="P579" i="5" a="1"/>
  <c r="P579" i="5" s="1"/>
  <c r="Q579" i="5" s="1"/>
  <c r="P580" i="5" a="1"/>
  <c r="P580" i="5" s="1"/>
  <c r="Q580" i="5" s="1"/>
  <c r="P581" i="5" a="1"/>
  <c r="P581" i="5" s="1"/>
  <c r="Q581" i="5" s="1"/>
  <c r="P582" i="5" a="1"/>
  <c r="P582" i="5"/>
  <c r="Q582" i="5" s="1"/>
  <c r="P583" i="5" a="1"/>
  <c r="P583" i="5" s="1"/>
  <c r="Q583" i="5" s="1"/>
  <c r="P584" i="5" a="1"/>
  <c r="P584" i="5"/>
  <c r="Q584" i="5" s="1"/>
  <c r="P585" i="5" a="1"/>
  <c r="P585" i="5" s="1"/>
  <c r="Q585" i="5" s="1"/>
  <c r="P586" i="5" a="1"/>
  <c r="P586" i="5" s="1"/>
  <c r="Q586" i="5" s="1"/>
  <c r="P587" i="5" a="1"/>
  <c r="P587" i="5" s="1"/>
  <c r="Q587" i="5" s="1"/>
  <c r="P588" i="5" a="1"/>
  <c r="P588" i="5"/>
  <c r="Q588" i="5" s="1"/>
  <c r="P589" i="5" a="1"/>
  <c r="P589" i="5"/>
  <c r="Q589" i="5" s="1"/>
  <c r="P590" i="5" a="1"/>
  <c r="P590" i="5" s="1"/>
  <c r="Q590" i="5" s="1"/>
  <c r="P591" i="5" a="1"/>
  <c r="P591" i="5" s="1"/>
  <c r="Q591" i="5" s="1"/>
  <c r="P592" i="5" a="1"/>
  <c r="P592" i="5" s="1"/>
  <c r="Q592" i="5" s="1"/>
  <c r="P593" i="5" a="1"/>
  <c r="P593" i="5"/>
  <c r="Q593" i="5" s="1"/>
  <c r="P594" i="5" a="1"/>
  <c r="P594" i="5" s="1"/>
  <c r="Q594" i="5" s="1"/>
  <c r="P595" i="5" a="1"/>
  <c r="P595" i="5" s="1"/>
  <c r="Q595" i="5" s="1"/>
  <c r="P596" i="5" a="1"/>
  <c r="P596" i="5"/>
  <c r="Q596" i="5" s="1"/>
  <c r="P597" i="5" a="1"/>
  <c r="P597" i="5"/>
  <c r="Q597" i="5" s="1"/>
  <c r="P598" i="5" a="1"/>
  <c r="P598" i="5" s="1"/>
  <c r="Q598" i="5" s="1"/>
  <c r="P599" i="5" a="1"/>
  <c r="P599" i="5" s="1"/>
  <c r="Q599" i="5" s="1"/>
  <c r="P600" i="5" a="1"/>
  <c r="P600" i="5" s="1"/>
  <c r="Q600" i="5" s="1"/>
  <c r="P601" i="5" a="1"/>
  <c r="P601" i="5" s="1"/>
  <c r="Q601" i="5" s="1"/>
  <c r="P602" i="5" a="1"/>
  <c r="P602" i="5"/>
  <c r="Q602" i="5" s="1"/>
  <c r="P603" i="5" a="1"/>
  <c r="P603" i="5" s="1"/>
  <c r="Q603" i="5" s="1"/>
  <c r="P604" i="5" a="1"/>
  <c r="P604" i="5" s="1"/>
  <c r="Q604" i="5" s="1"/>
  <c r="P605" i="5" a="1"/>
  <c r="P605" i="5"/>
  <c r="Q605" i="5" s="1"/>
  <c r="P606" i="5" a="1"/>
  <c r="P606" i="5"/>
  <c r="Q606" i="5" s="1"/>
  <c r="P607" i="5" a="1"/>
  <c r="P607" i="5" s="1"/>
  <c r="Q607" i="5" s="1"/>
  <c r="P608" i="5" a="1"/>
  <c r="P608" i="5" s="1"/>
  <c r="Q608" i="5" s="1"/>
  <c r="P609" i="5" a="1"/>
  <c r="P609" i="5" s="1"/>
  <c r="Q609" i="5" s="1"/>
  <c r="P610" i="5" a="1"/>
  <c r="P610" i="5" s="1"/>
  <c r="Q610" i="5" s="1"/>
  <c r="P611" i="5" a="1"/>
  <c r="P611" i="5" s="1"/>
  <c r="Q611" i="5" s="1"/>
  <c r="P612" i="5" a="1"/>
  <c r="P612" i="5"/>
  <c r="Q612" i="5" s="1"/>
  <c r="P613" i="5" a="1"/>
  <c r="P613" i="5" s="1"/>
  <c r="Q613" i="5" s="1"/>
  <c r="P614" i="5" a="1"/>
  <c r="P614" i="5"/>
  <c r="Q614" i="5" s="1"/>
  <c r="P615" i="5" a="1"/>
  <c r="P615" i="5" s="1"/>
  <c r="Q615" i="5" s="1"/>
  <c r="P616" i="5" a="1"/>
  <c r="P616" i="5" s="1"/>
  <c r="Q616" i="5" s="1"/>
  <c r="P617" i="5" a="1"/>
  <c r="P617" i="5"/>
  <c r="Q617" i="5" s="1"/>
  <c r="P618" i="5" a="1"/>
  <c r="P618" i="5" s="1"/>
  <c r="Q618" i="5" s="1"/>
  <c r="P619" i="5" a="1"/>
  <c r="P619" i="5" s="1"/>
  <c r="Q619" i="5" s="1"/>
  <c r="P620" i="5" a="1"/>
  <c r="P620" i="5"/>
  <c r="Q620" i="5" s="1"/>
  <c r="P621" i="5" a="1"/>
  <c r="P621" i="5" s="1"/>
  <c r="Q621" i="5" s="1"/>
  <c r="P622" i="5" a="1"/>
  <c r="P622" i="5" s="1"/>
  <c r="Q622" i="5" s="1"/>
  <c r="P623" i="5" a="1"/>
  <c r="P623" i="5" s="1"/>
  <c r="Q623" i="5" s="1"/>
  <c r="P624" i="5" a="1"/>
  <c r="P624" i="5" s="1"/>
  <c r="Q624" i="5" s="1"/>
  <c r="P625" i="5" a="1"/>
  <c r="P625" i="5" s="1"/>
  <c r="Q625" i="5" s="1"/>
  <c r="P626" i="5" a="1"/>
  <c r="P626" i="5" s="1"/>
  <c r="Q626" i="5" s="1"/>
  <c r="P627" i="5" a="1"/>
  <c r="P627" i="5" s="1"/>
  <c r="Q627" i="5" s="1"/>
  <c r="P628" i="5" a="1"/>
  <c r="P628" i="5"/>
  <c r="Q628" i="5" s="1"/>
  <c r="P629" i="5" a="1"/>
  <c r="P629" i="5"/>
  <c r="Q629" i="5" s="1"/>
  <c r="P630" i="5" a="1"/>
  <c r="P630" i="5"/>
  <c r="Q630" i="5" s="1"/>
  <c r="P631" i="5" a="1"/>
  <c r="P631" i="5" s="1"/>
  <c r="Q631" i="5" s="1"/>
  <c r="P632" i="5" a="1"/>
  <c r="P632" i="5" s="1"/>
  <c r="Q632" i="5" s="1"/>
  <c r="P633" i="5" a="1"/>
  <c r="P633" i="5" s="1"/>
  <c r="Q633" i="5" s="1"/>
  <c r="P634" i="5" a="1"/>
  <c r="P634" i="5" s="1"/>
  <c r="Q634" i="5" s="1"/>
  <c r="P635" i="5" a="1"/>
  <c r="P635" i="5" s="1"/>
  <c r="Q635" i="5" s="1"/>
  <c r="P636" i="5" a="1"/>
  <c r="P636" i="5" s="1"/>
  <c r="Q636" i="5" s="1"/>
  <c r="P637" i="5" a="1"/>
  <c r="P637" i="5"/>
  <c r="Q637" i="5" s="1"/>
  <c r="P638" i="5" a="1"/>
  <c r="P638" i="5"/>
  <c r="Q638" i="5" s="1"/>
  <c r="P639" i="5" a="1"/>
  <c r="P639" i="5" s="1"/>
  <c r="Q639" i="5" s="1"/>
  <c r="P640" i="5" a="1"/>
  <c r="P640" i="5"/>
  <c r="Q640" i="5" s="1"/>
  <c r="P641" i="5" a="1"/>
  <c r="P641" i="5" s="1"/>
  <c r="Q641" i="5" s="1"/>
  <c r="P642" i="5" a="1"/>
  <c r="P642" i="5" s="1"/>
  <c r="Q642" i="5" s="1"/>
  <c r="P643" i="5" a="1"/>
  <c r="P643" i="5" s="1"/>
  <c r="Q643" i="5" s="1"/>
  <c r="P644" i="5" a="1"/>
  <c r="P644" i="5"/>
  <c r="Q644" i="5" s="1"/>
  <c r="P645" i="5" a="1"/>
  <c r="P645" i="5" s="1"/>
  <c r="Q645" i="5" s="1"/>
  <c r="P646" i="5" a="1"/>
  <c r="P646" i="5"/>
  <c r="Q646" i="5" s="1"/>
  <c r="P647" i="5" a="1"/>
  <c r="P647" i="5" s="1"/>
  <c r="Q647" i="5" s="1"/>
  <c r="P648" i="5" a="1"/>
  <c r="P648" i="5" s="1"/>
  <c r="Q648" i="5" s="1"/>
  <c r="P649" i="5" a="1"/>
  <c r="P649" i="5" s="1"/>
  <c r="Q649" i="5" s="1"/>
  <c r="P650" i="5" a="1"/>
  <c r="P650" i="5" s="1"/>
  <c r="Q650" i="5" s="1"/>
  <c r="P651" i="5" a="1"/>
  <c r="P651" i="5" s="1"/>
  <c r="Q651" i="5" s="1"/>
  <c r="P652" i="5" a="1"/>
  <c r="P652" i="5"/>
  <c r="Q652" i="5" s="1"/>
  <c r="P653" i="5" a="1"/>
  <c r="P653" i="5" s="1"/>
  <c r="Q653" i="5" s="1"/>
  <c r="P654" i="5" a="1"/>
  <c r="P654" i="5" s="1"/>
  <c r="Q654" i="5" s="1"/>
  <c r="P655" i="5" a="1"/>
  <c r="P655" i="5" s="1"/>
  <c r="Q655" i="5" s="1"/>
  <c r="P656" i="5" a="1"/>
  <c r="P656" i="5" s="1"/>
  <c r="Q656" i="5" s="1"/>
  <c r="P657" i="5" a="1"/>
  <c r="P657" i="5"/>
  <c r="Q657" i="5" s="1"/>
  <c r="P658" i="5" a="1"/>
  <c r="P658" i="5" s="1"/>
  <c r="Q658" i="5" s="1"/>
  <c r="P659" i="5" a="1"/>
  <c r="P659" i="5" s="1"/>
  <c r="Q659" i="5" s="1"/>
  <c r="P660" i="5" a="1"/>
  <c r="P660" i="5"/>
  <c r="Q660" i="5" s="1"/>
  <c r="P661" i="5" a="1"/>
  <c r="P661" i="5"/>
  <c r="Q661" i="5" s="1"/>
  <c r="P662" i="5" a="1"/>
  <c r="P662" i="5" s="1"/>
  <c r="Q662" i="5" s="1"/>
  <c r="P663" i="5" a="1"/>
  <c r="P663" i="5" s="1"/>
  <c r="Q663" i="5" s="1"/>
  <c r="P664" i="5" a="1"/>
  <c r="P664" i="5" s="1"/>
  <c r="Q664" i="5" s="1"/>
  <c r="P665" i="5" a="1"/>
  <c r="P665" i="5" s="1"/>
  <c r="Q665" i="5" s="1"/>
  <c r="P666" i="5" a="1"/>
  <c r="P666" i="5"/>
  <c r="Q666" i="5" s="1"/>
  <c r="P667" i="5" a="1"/>
  <c r="P667" i="5" s="1"/>
  <c r="Q667" i="5" s="1"/>
  <c r="P668" i="5" a="1"/>
  <c r="P668" i="5" s="1"/>
  <c r="Q668" i="5" s="1"/>
  <c r="P669" i="5" a="1"/>
  <c r="P669" i="5"/>
  <c r="Q669" i="5" s="1"/>
  <c r="P670" i="5" a="1"/>
  <c r="P670" i="5"/>
  <c r="Q670" i="5" s="1"/>
  <c r="P671" i="5" a="1"/>
  <c r="P671" i="5" s="1"/>
  <c r="Q671" i="5" s="1"/>
  <c r="P672" i="5" a="1"/>
  <c r="P672" i="5"/>
  <c r="Q672" i="5" s="1"/>
  <c r="P673" i="5" a="1"/>
  <c r="P673" i="5" s="1"/>
  <c r="Q673" i="5" s="1"/>
  <c r="P674" i="5" a="1"/>
  <c r="P674" i="5" s="1"/>
  <c r="Q674" i="5" s="1"/>
  <c r="P675" i="5" a="1"/>
  <c r="P675" i="5" s="1"/>
  <c r="Q675" i="5" s="1"/>
  <c r="P676" i="5" a="1"/>
  <c r="P676" i="5" s="1"/>
  <c r="Q676" i="5" s="1"/>
  <c r="P677" i="5" a="1"/>
  <c r="P677" i="5" s="1"/>
  <c r="Q677" i="5" s="1"/>
  <c r="P678" i="5" a="1"/>
  <c r="P678" i="5"/>
  <c r="Q678" i="5" s="1"/>
  <c r="P679" i="5" a="1"/>
  <c r="P679" i="5" s="1"/>
  <c r="Q679" i="5" s="1"/>
  <c r="P680" i="5" a="1"/>
  <c r="P680" i="5" s="1"/>
  <c r="Q680" i="5" s="1"/>
  <c r="P681" i="5" a="1"/>
  <c r="P681" i="5"/>
  <c r="Q681" i="5" s="1"/>
  <c r="P682" i="5" a="1"/>
  <c r="P682" i="5" s="1"/>
  <c r="Q682" i="5" s="1"/>
  <c r="P683" i="5" a="1"/>
  <c r="P683" i="5" s="1"/>
  <c r="Q683" i="5" s="1"/>
  <c r="P684" i="5" a="1"/>
  <c r="P684" i="5"/>
  <c r="Q684" i="5" s="1"/>
  <c r="P685" i="5" a="1"/>
  <c r="P685" i="5" s="1"/>
  <c r="Q685" i="5" s="1"/>
  <c r="P686" i="5" a="1"/>
  <c r="P686" i="5"/>
  <c r="Q686" i="5" s="1"/>
  <c r="P687" i="5" a="1"/>
  <c r="P687" i="5" s="1"/>
  <c r="Q687" i="5" s="1"/>
  <c r="P688" i="5" a="1"/>
  <c r="P688" i="5" s="1"/>
  <c r="Q688" i="5" s="1"/>
  <c r="P689" i="5" a="1"/>
  <c r="P689" i="5" s="1"/>
  <c r="Q689" i="5" s="1"/>
  <c r="P690" i="5" a="1"/>
  <c r="P690" i="5" s="1"/>
  <c r="Q690" i="5" s="1"/>
  <c r="P691" i="5" a="1"/>
  <c r="P691" i="5" s="1"/>
  <c r="Q691" i="5" s="1"/>
  <c r="P692" i="5" a="1"/>
  <c r="P692" i="5"/>
  <c r="Q692" i="5" s="1"/>
  <c r="P693" i="5" a="1"/>
  <c r="P693" i="5"/>
  <c r="Q693" i="5" s="1"/>
  <c r="P694" i="5" a="1"/>
  <c r="P694" i="5"/>
  <c r="Q694" i="5" s="1"/>
  <c r="P695" i="5" a="1"/>
  <c r="P695" i="5" s="1"/>
  <c r="Q695" i="5" s="1"/>
  <c r="P696" i="5" a="1"/>
  <c r="P696" i="5" s="1"/>
  <c r="Q696" i="5" s="1"/>
  <c r="P697" i="5" a="1"/>
  <c r="P697" i="5" s="1"/>
  <c r="Q697" i="5" s="1"/>
  <c r="P698" i="5" a="1"/>
  <c r="P698" i="5"/>
  <c r="Q698" i="5" s="1"/>
  <c r="P699" i="5" a="1"/>
  <c r="P699" i="5" s="1"/>
  <c r="Q699" i="5" s="1"/>
  <c r="P700" i="5" a="1"/>
  <c r="P700" i="5"/>
  <c r="Q700" i="5" s="1"/>
  <c r="P701" i="5" a="1"/>
  <c r="P701" i="5"/>
  <c r="Q701" i="5" s="1"/>
  <c r="P702" i="5" a="1"/>
  <c r="P702" i="5"/>
  <c r="Q702" i="5" s="1"/>
  <c r="P703" i="5" a="1"/>
  <c r="P703" i="5" s="1"/>
  <c r="Q703" i="5" s="1"/>
  <c r="P704" i="5" a="1"/>
  <c r="P704" i="5" s="1"/>
  <c r="Q704" i="5" s="1"/>
  <c r="P705" i="5" a="1"/>
  <c r="P705" i="5" s="1"/>
  <c r="Q705" i="5" s="1"/>
  <c r="P706" i="5" a="1"/>
  <c r="P706" i="5" s="1"/>
  <c r="Q706" i="5" s="1"/>
  <c r="P707" i="5" a="1"/>
  <c r="P707" i="5" s="1"/>
  <c r="Q707" i="5" s="1"/>
  <c r="P708" i="5" a="1"/>
  <c r="P708" i="5" s="1"/>
  <c r="Q708" i="5" s="1"/>
  <c r="P709" i="5" a="1"/>
  <c r="P709" i="5" s="1"/>
  <c r="Q709" i="5" s="1"/>
  <c r="P710" i="5" a="1"/>
  <c r="P710" i="5"/>
  <c r="Q710" i="5" s="1"/>
  <c r="P711" i="5" a="1"/>
  <c r="P711" i="5" s="1"/>
  <c r="Q711" i="5" s="1"/>
  <c r="P712" i="5" a="1"/>
  <c r="P712" i="5"/>
  <c r="Q712" i="5" s="1"/>
  <c r="P713" i="5" a="1"/>
  <c r="P713" i="5"/>
  <c r="Q713" i="5" s="1"/>
  <c r="P714" i="5" a="1"/>
  <c r="P714" i="5" s="1"/>
  <c r="Q714" i="5" s="1"/>
  <c r="P715" i="5" a="1"/>
  <c r="P715" i="5" s="1"/>
  <c r="Q715" i="5" s="1"/>
  <c r="P716" i="5" a="1"/>
  <c r="P716" i="5"/>
  <c r="Q716" i="5" s="1"/>
  <c r="P717" i="5" a="1"/>
  <c r="P717" i="5"/>
  <c r="Q717" i="5" s="1"/>
  <c r="P718" i="5" a="1"/>
  <c r="P718" i="5"/>
  <c r="Q718" i="5" s="1"/>
  <c r="P719" i="5" a="1"/>
  <c r="P719" i="5" s="1"/>
  <c r="Q719" i="5" s="1"/>
  <c r="P720" i="5" a="1"/>
  <c r="P720" i="5" s="1"/>
  <c r="Q720" i="5" s="1"/>
  <c r="P721" i="5" a="1"/>
  <c r="P721" i="5" s="1"/>
  <c r="Q721" i="5" s="1"/>
  <c r="P722" i="5" a="1"/>
  <c r="P722" i="5"/>
  <c r="Q722" i="5" s="1"/>
  <c r="P723" i="5" a="1"/>
  <c r="P723" i="5" s="1"/>
  <c r="Q723" i="5" s="1"/>
  <c r="P724" i="5" a="1"/>
  <c r="P724" i="5"/>
  <c r="Q724" i="5" s="1"/>
  <c r="P725" i="5" a="1"/>
  <c r="P725" i="5"/>
  <c r="Q725" i="5" s="1"/>
  <c r="P726" i="5" a="1"/>
  <c r="P726" i="5" s="1"/>
  <c r="Q726" i="5" s="1"/>
  <c r="P727" i="5" a="1"/>
  <c r="P727" i="5" s="1"/>
  <c r="Q727" i="5" s="1"/>
  <c r="P728" i="5" a="1"/>
  <c r="P728" i="5" s="1"/>
  <c r="Q728" i="5" s="1"/>
  <c r="P729" i="5" a="1"/>
  <c r="P729" i="5" s="1"/>
  <c r="Q729" i="5" s="1"/>
  <c r="P730" i="5" a="1"/>
  <c r="P730" i="5" s="1"/>
  <c r="Q730" i="5" s="1"/>
  <c r="P731" i="5" a="1"/>
  <c r="P731" i="5" s="1"/>
  <c r="Q731" i="5" s="1"/>
  <c r="P732" i="5" a="1"/>
  <c r="P732" i="5" s="1"/>
  <c r="Q732" i="5" s="1"/>
  <c r="P733" i="5" a="1"/>
  <c r="P733" i="5"/>
  <c r="Q733" i="5" s="1"/>
  <c r="P734" i="5" a="1"/>
  <c r="P734" i="5"/>
  <c r="Q734" i="5" s="1"/>
  <c r="P735" i="5" a="1"/>
  <c r="P735" i="5" s="1"/>
  <c r="Q735" i="5" s="1"/>
  <c r="P736" i="5" a="1"/>
  <c r="P736" i="5" s="1"/>
  <c r="Q736" i="5" s="1"/>
  <c r="P737" i="5" a="1"/>
  <c r="P737" i="5" s="1"/>
  <c r="Q737" i="5" s="1"/>
  <c r="P738" i="5" a="1"/>
  <c r="P738" i="5" s="1"/>
  <c r="Q738" i="5" s="1"/>
  <c r="P739" i="5" a="1"/>
  <c r="P739" i="5" s="1"/>
  <c r="Q739" i="5" s="1"/>
  <c r="P740" i="5" a="1"/>
  <c r="P740" i="5" s="1"/>
  <c r="Q740" i="5" s="1"/>
  <c r="P741" i="5" a="1"/>
  <c r="P741" i="5"/>
  <c r="Q741" i="5" s="1"/>
  <c r="P742" i="5" a="1"/>
  <c r="P742" i="5"/>
  <c r="Q742" i="5" s="1"/>
  <c r="P743" i="5" a="1"/>
  <c r="P743" i="5" s="1"/>
  <c r="Q743" i="5" s="1"/>
  <c r="P744" i="5" a="1"/>
  <c r="P744" i="5"/>
  <c r="Q744" i="5" s="1"/>
  <c r="P745" i="5" a="1"/>
  <c r="P745" i="5" s="1"/>
  <c r="Q745" i="5" s="1"/>
  <c r="P746" i="5" a="1"/>
  <c r="P746" i="5" s="1"/>
  <c r="Q746" i="5" s="1"/>
  <c r="P747" i="5" a="1"/>
  <c r="P747" i="5" s="1"/>
  <c r="Q747" i="5" s="1"/>
  <c r="P748" i="5" a="1"/>
  <c r="P748" i="5"/>
  <c r="Q748" i="5" s="1"/>
  <c r="P749" i="5" a="1"/>
  <c r="P749" i="5"/>
  <c r="Q749" i="5" s="1"/>
  <c r="P750" i="5" a="1"/>
  <c r="P750" i="5" s="1"/>
  <c r="Q750" i="5" s="1"/>
  <c r="P751" i="5" a="1"/>
  <c r="P751" i="5" s="1"/>
  <c r="Q751" i="5" s="1"/>
  <c r="P752" i="5" a="1"/>
  <c r="P752" i="5" s="1"/>
  <c r="Q752" i="5" s="1"/>
  <c r="P753" i="5" a="1"/>
  <c r="P753" i="5"/>
  <c r="Q753" i="5" s="1"/>
  <c r="P754" i="5" a="1"/>
  <c r="P754" i="5"/>
  <c r="Q754" i="5" s="1"/>
  <c r="P755" i="5" a="1"/>
  <c r="P755" i="5" s="1"/>
  <c r="Q755" i="5" s="1"/>
  <c r="P756" i="5" a="1"/>
  <c r="P756" i="5"/>
  <c r="Q756" i="5" s="1"/>
  <c r="P757" i="5" a="1"/>
  <c r="P757" i="5"/>
  <c r="Q757" i="5" s="1"/>
  <c r="P758" i="5" a="1"/>
  <c r="P758" i="5"/>
  <c r="Q758" i="5" s="1"/>
  <c r="P759" i="5" a="1"/>
  <c r="P759" i="5" s="1"/>
  <c r="Q759" i="5" s="1"/>
  <c r="P760" i="5" a="1"/>
  <c r="P760" i="5" s="1"/>
  <c r="Q760" i="5" s="1"/>
  <c r="P761" i="5" a="1"/>
  <c r="P761" i="5" s="1"/>
  <c r="Q761" i="5" s="1"/>
  <c r="P762" i="5" a="1"/>
  <c r="P762" i="5" s="1"/>
  <c r="Q762" i="5" s="1"/>
  <c r="P763" i="5" a="1"/>
  <c r="P763" i="5" s="1"/>
  <c r="Q763" i="5" s="1"/>
  <c r="P764" i="5" a="1"/>
  <c r="P764" i="5"/>
  <c r="Q764" i="5" s="1"/>
  <c r="P765" i="5" a="1"/>
  <c r="P765" i="5"/>
  <c r="Q765" i="5" s="1"/>
  <c r="P766" i="5" a="1"/>
  <c r="P766" i="5"/>
  <c r="Q766" i="5" s="1"/>
  <c r="P767" i="5" a="1"/>
  <c r="P767" i="5" s="1"/>
  <c r="Q767" i="5" s="1"/>
  <c r="P768" i="5" a="1"/>
  <c r="P768" i="5"/>
  <c r="Q768" i="5" s="1"/>
  <c r="P769" i="5" a="1"/>
  <c r="P769" i="5" s="1"/>
  <c r="Q769" i="5" s="1"/>
  <c r="P770" i="5" a="1"/>
  <c r="P770" i="5" s="1"/>
  <c r="Q770" i="5" s="1"/>
  <c r="P771" i="5" a="1"/>
  <c r="P771" i="5" s="1"/>
  <c r="Q771" i="5" s="1"/>
  <c r="P772" i="5" a="1"/>
  <c r="P772" i="5"/>
  <c r="Q772" i="5" s="1"/>
  <c r="P773" i="5" a="1"/>
  <c r="P773" i="5" s="1"/>
  <c r="Q773" i="5" s="1"/>
  <c r="P774" i="5" a="1"/>
  <c r="P774" i="5"/>
  <c r="Q774" i="5" s="1"/>
  <c r="P775" i="5" a="1"/>
  <c r="P775" i="5" s="1"/>
  <c r="Q775" i="5" s="1"/>
  <c r="P776" i="5" a="1"/>
  <c r="P776" i="5" s="1"/>
  <c r="Q776" i="5" s="1"/>
  <c r="P777" i="5" a="1"/>
  <c r="P777" i="5" s="1"/>
  <c r="Q777" i="5" s="1"/>
  <c r="P778" i="5" a="1"/>
  <c r="P778" i="5" s="1"/>
  <c r="Q778" i="5" s="1"/>
  <c r="P779" i="5" a="1"/>
  <c r="P779" i="5" s="1"/>
  <c r="Q779" i="5" s="1"/>
  <c r="P780" i="5" a="1"/>
  <c r="P780" i="5" s="1"/>
  <c r="Q780" i="5" s="1"/>
  <c r="P781" i="5" a="1"/>
  <c r="P781" i="5" s="1"/>
  <c r="Q781" i="5" s="1"/>
  <c r="P782" i="5" a="1"/>
  <c r="P782" i="5" s="1"/>
  <c r="Q782" i="5" s="1"/>
  <c r="P783" i="5" a="1"/>
  <c r="P783" i="5" s="1"/>
  <c r="Q783" i="5" s="1"/>
  <c r="P784" i="5" a="1"/>
  <c r="P784" i="5"/>
  <c r="Q784" i="5" s="1"/>
  <c r="P785" i="5" a="1"/>
  <c r="P785" i="5" s="1"/>
  <c r="Q785" i="5" s="1"/>
  <c r="P786" i="5" a="1"/>
  <c r="P786" i="5" s="1"/>
  <c r="Q786" i="5" s="1"/>
  <c r="P787" i="5" a="1"/>
  <c r="P787" i="5" s="1"/>
  <c r="Q787" i="5" s="1"/>
  <c r="P788" i="5" a="1"/>
  <c r="P788" i="5" s="1"/>
  <c r="Q788" i="5" s="1"/>
  <c r="P789" i="5" a="1"/>
  <c r="P789" i="5"/>
  <c r="Q789" i="5" s="1"/>
  <c r="P790" i="5" a="1"/>
  <c r="P790" i="5" s="1"/>
  <c r="Q790" i="5" s="1"/>
  <c r="P791" i="5" a="1"/>
  <c r="P791" i="5" s="1"/>
  <c r="Q791" i="5" s="1"/>
  <c r="P792" i="5" a="1"/>
  <c r="P792" i="5" s="1"/>
  <c r="Q792" i="5" s="1"/>
  <c r="P793" i="5" a="1"/>
  <c r="P793" i="5" s="1"/>
  <c r="Q793" i="5" s="1"/>
  <c r="P794" i="5" a="1"/>
  <c r="P794" i="5" s="1"/>
  <c r="Q794" i="5" s="1"/>
  <c r="P795" i="5" a="1"/>
  <c r="P795" i="5" s="1"/>
  <c r="Q795" i="5" s="1"/>
  <c r="P796" i="5" a="1"/>
  <c r="P796" i="5"/>
  <c r="Q796" i="5" s="1"/>
  <c r="P797" i="5" a="1"/>
  <c r="P797" i="5" s="1"/>
  <c r="Q797" i="5" s="1"/>
  <c r="P798" i="5" a="1"/>
  <c r="P798" i="5" s="1"/>
  <c r="Q798" i="5" s="1"/>
  <c r="P799" i="5" a="1"/>
  <c r="P799" i="5" s="1"/>
  <c r="Q799" i="5" s="1"/>
  <c r="P800" i="5" a="1"/>
  <c r="P800" i="5"/>
  <c r="Q800" i="5" s="1"/>
  <c r="P801" i="5" a="1"/>
  <c r="P801" i="5" s="1"/>
  <c r="Q801" i="5" s="1"/>
  <c r="P802" i="5" a="1"/>
  <c r="P802" i="5" s="1"/>
  <c r="Q802" i="5" s="1"/>
  <c r="P803" i="5" a="1"/>
  <c r="P803" i="5" s="1"/>
  <c r="Q803" i="5" s="1"/>
  <c r="P804" i="5" a="1"/>
  <c r="P804" i="5" s="1"/>
  <c r="Q804" i="5" s="1"/>
  <c r="P805" i="5" a="1"/>
  <c r="P805" i="5"/>
  <c r="Q805" i="5" s="1"/>
  <c r="P806" i="5" a="1"/>
  <c r="P806" i="5" s="1"/>
  <c r="Q806" i="5" s="1"/>
  <c r="P807" i="5" a="1"/>
  <c r="P807" i="5" s="1"/>
  <c r="Q807" i="5" s="1"/>
  <c r="P808" i="5" a="1"/>
  <c r="P808" i="5" s="1"/>
  <c r="Q808" i="5" s="1"/>
  <c r="P809" i="5" a="1"/>
  <c r="P809" i="5" s="1"/>
  <c r="Q809" i="5" s="1"/>
  <c r="P810" i="5" a="1"/>
  <c r="P810" i="5" s="1"/>
  <c r="Q810" i="5" s="1"/>
  <c r="P811" i="5" a="1"/>
  <c r="P811" i="5" s="1"/>
  <c r="Q811" i="5" s="1"/>
  <c r="P812" i="5" a="1"/>
  <c r="P812" i="5" s="1"/>
  <c r="Q812" i="5" s="1"/>
  <c r="P813" i="5" a="1"/>
  <c r="P813" i="5" s="1"/>
  <c r="Q813" i="5" s="1"/>
  <c r="P814" i="5" a="1"/>
  <c r="P814" i="5" s="1"/>
  <c r="Q814" i="5" s="1"/>
  <c r="P815" i="5" a="1"/>
  <c r="P815" i="5" s="1"/>
  <c r="Q815" i="5" s="1"/>
  <c r="P816" i="5" a="1"/>
  <c r="P816" i="5"/>
  <c r="Q816" i="5" s="1"/>
  <c r="P817" i="5" a="1"/>
  <c r="P817" i="5" s="1"/>
  <c r="Q817" i="5" s="1"/>
  <c r="P818" i="5" a="1"/>
  <c r="P818" i="5" s="1"/>
  <c r="Q818" i="5" s="1"/>
  <c r="P819" i="5" a="1"/>
  <c r="P819" i="5" s="1"/>
  <c r="Q819" i="5" s="1"/>
  <c r="P820" i="5" a="1"/>
  <c r="P820" i="5" s="1"/>
  <c r="Q820" i="5" s="1"/>
  <c r="P821" i="5" a="1"/>
  <c r="P821" i="5"/>
  <c r="Q821" i="5" s="1"/>
  <c r="P822" i="5" a="1"/>
  <c r="P822" i="5" s="1"/>
  <c r="Q822" i="5" s="1"/>
  <c r="P823" i="5" a="1"/>
  <c r="P823" i="5" s="1"/>
  <c r="Q823" i="5" s="1"/>
  <c r="P824" i="5" a="1"/>
  <c r="P824" i="5" s="1"/>
  <c r="Q824" i="5" s="1"/>
  <c r="P825" i="5" a="1"/>
  <c r="P825" i="5" s="1"/>
  <c r="Q825" i="5" s="1"/>
  <c r="P826" i="5" a="1"/>
  <c r="P826" i="5" s="1"/>
  <c r="Q826" i="5" s="1"/>
  <c r="P827" i="5" a="1"/>
  <c r="P827" i="5" s="1"/>
  <c r="Q827" i="5" s="1"/>
  <c r="P828" i="5" a="1"/>
  <c r="P828" i="5" s="1"/>
  <c r="Q828" i="5" s="1"/>
  <c r="P829" i="5" a="1"/>
  <c r="P829" i="5" s="1"/>
  <c r="Q829" i="5" s="1"/>
  <c r="P830" i="5" a="1"/>
  <c r="P830" i="5" s="1"/>
  <c r="Q830" i="5" s="1"/>
  <c r="P831" i="5" a="1"/>
  <c r="P831" i="5" s="1"/>
  <c r="Q831" i="5" s="1"/>
  <c r="P832" i="5" a="1"/>
  <c r="P832" i="5"/>
  <c r="Q832" i="5" s="1"/>
  <c r="P833" i="5" a="1"/>
  <c r="P833" i="5"/>
  <c r="Q833" i="5" s="1"/>
  <c r="P834" i="5" a="1"/>
  <c r="P834" i="5" s="1"/>
  <c r="Q834" i="5" s="1"/>
  <c r="P835" i="5" a="1"/>
  <c r="P835" i="5" s="1"/>
  <c r="Q835" i="5" s="1"/>
  <c r="P836" i="5" a="1"/>
  <c r="P836" i="5" s="1"/>
  <c r="Q836" i="5" s="1"/>
  <c r="P837" i="5" a="1"/>
  <c r="P837" i="5"/>
  <c r="Q837" i="5" s="1"/>
  <c r="P838" i="5" a="1"/>
  <c r="P838" i="5" s="1"/>
  <c r="Q838" i="5" s="1"/>
  <c r="P839" i="5" a="1"/>
  <c r="P839" i="5" s="1"/>
  <c r="Q839" i="5" s="1"/>
  <c r="P840" i="5" a="1"/>
  <c r="P840" i="5" s="1"/>
  <c r="Q840" i="5" s="1"/>
  <c r="P841" i="5" a="1"/>
  <c r="P841" i="5" s="1"/>
  <c r="Q841" i="5" s="1"/>
  <c r="P842" i="5" a="1"/>
  <c r="P842" i="5" s="1"/>
  <c r="Q842" i="5" s="1"/>
  <c r="P843" i="5" a="1"/>
  <c r="P843" i="5" s="1"/>
  <c r="Q843" i="5" s="1"/>
  <c r="P844" i="5" a="1"/>
  <c r="P844" i="5" s="1"/>
  <c r="Q844" i="5" s="1"/>
  <c r="P845" i="5" a="1"/>
  <c r="P845" i="5" s="1"/>
  <c r="Q845" i="5" s="1"/>
  <c r="P846" i="5" a="1"/>
  <c r="P846" i="5" s="1"/>
  <c r="Q846" i="5" s="1"/>
  <c r="P847" i="5" a="1"/>
  <c r="P847" i="5" s="1"/>
  <c r="Q847" i="5" s="1"/>
  <c r="P848" i="5" a="1"/>
  <c r="P848" i="5"/>
  <c r="Q848" i="5" s="1"/>
  <c r="P849" i="5" a="1"/>
  <c r="P849" i="5" s="1"/>
  <c r="Q849" i="5" s="1"/>
  <c r="P850" i="5" a="1"/>
  <c r="P850" i="5" s="1"/>
  <c r="Q850" i="5" s="1"/>
  <c r="P851" i="5" a="1"/>
  <c r="P851" i="5" s="1"/>
  <c r="Q851" i="5" s="1"/>
  <c r="P852" i="5" a="1"/>
  <c r="P852" i="5" s="1"/>
  <c r="Q852" i="5" s="1"/>
  <c r="P853" i="5" a="1"/>
  <c r="P853" i="5"/>
  <c r="Q853" i="5" s="1"/>
  <c r="P854" i="5" a="1"/>
  <c r="P854" i="5" s="1"/>
  <c r="Q854" i="5" s="1"/>
  <c r="P855" i="5" a="1"/>
  <c r="P855" i="5" s="1"/>
  <c r="Q855" i="5" s="1"/>
  <c r="P856" i="5" a="1"/>
  <c r="P856" i="5" s="1"/>
  <c r="Q856" i="5" s="1"/>
  <c r="P857" i="5" a="1"/>
  <c r="P857" i="5" s="1"/>
  <c r="Q857" i="5" s="1"/>
  <c r="P858" i="5" a="1"/>
  <c r="P858" i="5" s="1"/>
  <c r="Q858" i="5" s="1"/>
  <c r="P859" i="5" a="1"/>
  <c r="P859" i="5" s="1"/>
  <c r="Q859" i="5" s="1"/>
  <c r="P860" i="5" a="1"/>
  <c r="P860" i="5" s="1"/>
  <c r="Q860" i="5" s="1"/>
  <c r="P861" i="5" a="1"/>
  <c r="P861" i="5" s="1"/>
  <c r="Q861" i="5" s="1"/>
  <c r="P862" i="5" a="1"/>
  <c r="P862" i="5" s="1"/>
  <c r="Q862" i="5" s="1"/>
  <c r="P863" i="5" a="1"/>
  <c r="P863" i="5" s="1"/>
  <c r="Q863" i="5" s="1"/>
  <c r="P864" i="5" a="1"/>
  <c r="P864" i="5"/>
  <c r="Q864" i="5" s="1"/>
  <c r="P865" i="5" a="1"/>
  <c r="P865" i="5"/>
  <c r="Q865" i="5" s="1"/>
  <c r="P866" i="5" a="1"/>
  <c r="P866" i="5" s="1"/>
  <c r="Q866" i="5" s="1"/>
  <c r="P867" i="5" a="1"/>
  <c r="P867" i="5" s="1"/>
  <c r="Q867" i="5" s="1"/>
  <c r="P868" i="5" a="1"/>
  <c r="P868" i="5" s="1"/>
  <c r="Q868" i="5" s="1"/>
  <c r="P869" i="5" a="1"/>
  <c r="P869" i="5"/>
  <c r="Q869" i="5" s="1"/>
  <c r="P870" i="5" a="1"/>
  <c r="P870" i="5" s="1"/>
  <c r="Q870" i="5" s="1"/>
  <c r="P871" i="5" a="1"/>
  <c r="P871" i="5" s="1"/>
  <c r="Q871" i="5" s="1"/>
  <c r="P872" i="5" a="1"/>
  <c r="P872" i="5" s="1"/>
  <c r="Q872" i="5" s="1"/>
  <c r="P873" i="5" a="1"/>
  <c r="P873" i="5" s="1"/>
  <c r="Q873" i="5" s="1"/>
  <c r="P874" i="5" a="1"/>
  <c r="P874" i="5" s="1"/>
  <c r="Q874" i="5" s="1"/>
  <c r="P875" i="5" a="1"/>
  <c r="P875" i="5" s="1"/>
  <c r="Q875" i="5" s="1"/>
  <c r="P876" i="5" a="1"/>
  <c r="P876" i="5" s="1"/>
  <c r="Q876" i="5" s="1"/>
  <c r="P877" i="5" a="1"/>
  <c r="P877" i="5" s="1"/>
  <c r="Q877" i="5" s="1"/>
  <c r="P878" i="5" a="1"/>
  <c r="P878" i="5" s="1"/>
  <c r="Q878" i="5" s="1"/>
  <c r="P879" i="5" a="1"/>
  <c r="P879" i="5" s="1"/>
  <c r="Q879" i="5" s="1"/>
  <c r="P880" i="5" a="1"/>
  <c r="P880" i="5"/>
  <c r="Q880" i="5" s="1"/>
  <c r="P881" i="5" a="1"/>
  <c r="P881" i="5" s="1"/>
  <c r="Q881" i="5" s="1"/>
  <c r="P882" i="5" a="1"/>
  <c r="P882" i="5" s="1"/>
  <c r="Q882" i="5" s="1"/>
  <c r="P883" i="5" a="1"/>
  <c r="P883" i="5" s="1"/>
  <c r="Q883" i="5" s="1"/>
  <c r="P884" i="5" a="1"/>
  <c r="P884" i="5" s="1"/>
  <c r="Q884" i="5" s="1"/>
  <c r="P885" i="5" a="1"/>
  <c r="P885" i="5"/>
  <c r="Q885" i="5" s="1"/>
  <c r="P886" i="5" a="1"/>
  <c r="P886" i="5" s="1"/>
  <c r="Q886" i="5" s="1"/>
  <c r="P887" i="5" a="1"/>
  <c r="P887" i="5" s="1"/>
  <c r="Q887" i="5" s="1"/>
  <c r="P888" i="5" a="1"/>
  <c r="P888" i="5" s="1"/>
  <c r="Q888" i="5" s="1"/>
  <c r="P889" i="5" a="1"/>
  <c r="P889" i="5" s="1"/>
  <c r="Q889" i="5" s="1"/>
  <c r="P890" i="5" a="1"/>
  <c r="P890" i="5" s="1"/>
  <c r="Q890" i="5" s="1"/>
  <c r="P891" i="5" a="1"/>
  <c r="P891" i="5" s="1"/>
  <c r="Q891" i="5" s="1"/>
  <c r="P892" i="5" a="1"/>
  <c r="P892" i="5"/>
  <c r="Q892" i="5" s="1"/>
  <c r="P893" i="5" a="1"/>
  <c r="P893" i="5" s="1"/>
  <c r="Q893" i="5" s="1"/>
  <c r="P894" i="5" a="1"/>
  <c r="P894" i="5" s="1"/>
  <c r="Q894" i="5" s="1"/>
  <c r="P895" i="5" a="1"/>
  <c r="P895" i="5" s="1"/>
  <c r="Q895" i="5" s="1"/>
  <c r="P896" i="5" a="1"/>
  <c r="P896" i="5"/>
  <c r="Q896" i="5" s="1"/>
  <c r="P897" i="5" a="1"/>
  <c r="P897" i="5"/>
  <c r="Q897" i="5" s="1"/>
  <c r="P898" i="5" a="1"/>
  <c r="P898" i="5" s="1"/>
  <c r="Q898" i="5" s="1"/>
  <c r="P899" i="5" a="1"/>
  <c r="P899" i="5" s="1"/>
  <c r="Q899" i="5" s="1"/>
  <c r="P900" i="5" a="1"/>
  <c r="P900" i="5" s="1"/>
  <c r="Q900" i="5" s="1"/>
  <c r="P901" i="5" a="1"/>
  <c r="P901" i="5"/>
  <c r="Q901" i="5" s="1"/>
  <c r="P902" i="5" a="1"/>
  <c r="P902" i="5" s="1"/>
  <c r="Q902" i="5" s="1"/>
  <c r="P903" i="5" a="1"/>
  <c r="P903" i="5" s="1"/>
  <c r="Q903" i="5" s="1"/>
  <c r="P904" i="5" a="1"/>
  <c r="P904" i="5" s="1"/>
  <c r="Q904" i="5" s="1"/>
  <c r="P905" i="5" a="1"/>
  <c r="P905" i="5" s="1"/>
  <c r="Q905" i="5" s="1"/>
  <c r="P906" i="5" a="1"/>
  <c r="P906" i="5" s="1"/>
  <c r="Q906" i="5" s="1"/>
  <c r="P907" i="5" a="1"/>
  <c r="P907" i="5" s="1"/>
  <c r="Q907" i="5" s="1"/>
  <c r="P908" i="5" a="1"/>
  <c r="P908" i="5" s="1"/>
  <c r="Q908" i="5" s="1"/>
  <c r="P909" i="5" a="1"/>
  <c r="P909" i="5" s="1"/>
  <c r="Q909" i="5" s="1"/>
  <c r="P910" i="5" a="1"/>
  <c r="P910" i="5" s="1"/>
  <c r="Q910" i="5" s="1"/>
  <c r="P911" i="5" a="1"/>
  <c r="P911" i="5" s="1"/>
  <c r="Q911" i="5" s="1"/>
  <c r="P912" i="5" a="1"/>
  <c r="P912" i="5"/>
  <c r="Q912" i="5" s="1"/>
  <c r="P913" i="5" a="1"/>
  <c r="P913" i="5" s="1"/>
  <c r="Q913" i="5" s="1"/>
  <c r="P914" i="5" a="1"/>
  <c r="P914" i="5" s="1"/>
  <c r="Q914" i="5" s="1"/>
  <c r="P915" i="5" a="1"/>
  <c r="P915" i="5" s="1"/>
  <c r="Q915" i="5" s="1"/>
  <c r="P916" i="5" a="1"/>
  <c r="P916" i="5" s="1"/>
  <c r="Q916" i="5" s="1"/>
  <c r="P917" i="5" a="1"/>
  <c r="P917" i="5"/>
  <c r="Q917" i="5" s="1"/>
  <c r="P918" i="5" a="1"/>
  <c r="P918" i="5" s="1"/>
  <c r="Q918" i="5" s="1"/>
  <c r="P919" i="5" a="1"/>
  <c r="P919" i="5" s="1"/>
  <c r="Q919" i="5" s="1"/>
  <c r="P920" i="5" a="1"/>
  <c r="P920" i="5" s="1"/>
  <c r="Q920" i="5" s="1"/>
  <c r="P921" i="5" a="1"/>
  <c r="P921" i="5" s="1"/>
  <c r="Q921" i="5" s="1"/>
  <c r="P922" i="5" a="1"/>
  <c r="P922" i="5" s="1"/>
  <c r="Q922" i="5" s="1"/>
  <c r="P923" i="5" a="1"/>
  <c r="P923" i="5" s="1"/>
  <c r="Q923" i="5" s="1"/>
  <c r="P924" i="5" a="1"/>
  <c r="P924" i="5"/>
  <c r="Q924" i="5" s="1"/>
  <c r="P925" i="5" a="1"/>
  <c r="P925" i="5" s="1"/>
  <c r="Q925" i="5" s="1"/>
  <c r="P926" i="5" a="1"/>
  <c r="P926" i="5" s="1"/>
  <c r="Q926" i="5" s="1"/>
  <c r="P927" i="5" a="1"/>
  <c r="P927" i="5" s="1"/>
  <c r="Q927" i="5" s="1"/>
  <c r="P928" i="5" a="1"/>
  <c r="P928" i="5"/>
  <c r="Q928" i="5" s="1"/>
  <c r="P929" i="5" a="1"/>
  <c r="P929" i="5" s="1"/>
  <c r="Q929" i="5" s="1"/>
  <c r="P930" i="5" a="1"/>
  <c r="P930" i="5" s="1"/>
  <c r="Q930" i="5" s="1"/>
  <c r="P931" i="5" a="1"/>
  <c r="P931" i="5" s="1"/>
  <c r="Q931" i="5" s="1"/>
  <c r="P932" i="5" a="1"/>
  <c r="P932" i="5" s="1"/>
  <c r="Q932" i="5" s="1"/>
  <c r="P933" i="5" a="1"/>
  <c r="P933" i="5"/>
  <c r="Q933" i="5" s="1"/>
  <c r="P934" i="5" a="1"/>
  <c r="P934" i="5" s="1"/>
  <c r="Q934" i="5" s="1"/>
  <c r="P935" i="5" a="1"/>
  <c r="P935" i="5" s="1"/>
  <c r="Q935" i="5" s="1"/>
  <c r="P936" i="5" a="1"/>
  <c r="P936" i="5" s="1"/>
  <c r="Q936" i="5" s="1"/>
  <c r="P937" i="5" a="1"/>
  <c r="P937" i="5" s="1"/>
  <c r="Q937" i="5" s="1"/>
  <c r="P938" i="5" a="1"/>
  <c r="P938" i="5" s="1"/>
  <c r="Q938" i="5" s="1"/>
  <c r="P939" i="5" a="1"/>
  <c r="P939" i="5" s="1"/>
  <c r="Q939" i="5" s="1"/>
  <c r="P940" i="5" a="1"/>
  <c r="P940" i="5"/>
  <c r="Q940" i="5" s="1"/>
  <c r="P941" i="5" a="1"/>
  <c r="P941" i="5" s="1"/>
  <c r="Q941" i="5" s="1"/>
  <c r="P942" i="5" a="1"/>
  <c r="P942" i="5" s="1"/>
  <c r="Q942" i="5" s="1"/>
  <c r="P943" i="5" a="1"/>
  <c r="P943" i="5" s="1"/>
  <c r="Q943" i="5" s="1"/>
  <c r="P944" i="5" a="1"/>
  <c r="P944" i="5"/>
  <c r="Q944" i="5" s="1"/>
  <c r="P945" i="5" a="1"/>
  <c r="P945" i="5" s="1"/>
  <c r="Q945" i="5" s="1"/>
  <c r="P946" i="5" a="1"/>
  <c r="P946" i="5" s="1"/>
  <c r="Q946" i="5" s="1"/>
  <c r="P947" i="5" a="1"/>
  <c r="P947" i="5" s="1"/>
  <c r="Q947" i="5" s="1"/>
  <c r="P948" i="5" a="1"/>
  <c r="P948" i="5" s="1"/>
  <c r="Q948" i="5" s="1"/>
  <c r="P949" i="5" a="1"/>
  <c r="P949" i="5"/>
  <c r="Q949" i="5" s="1"/>
  <c r="P950" i="5" a="1"/>
  <c r="P950" i="5" s="1"/>
  <c r="Q950" i="5" s="1"/>
  <c r="P951" i="5" a="1"/>
  <c r="P951" i="5" s="1"/>
  <c r="Q951" i="5" s="1"/>
  <c r="P952" i="5" a="1"/>
  <c r="P952" i="5" s="1"/>
  <c r="Q952" i="5" s="1"/>
  <c r="P953" i="5" a="1"/>
  <c r="P953" i="5"/>
  <c r="Q953" i="5" s="1"/>
  <c r="P954" i="5" a="1"/>
  <c r="P954" i="5" s="1"/>
  <c r="Q954" i="5" s="1"/>
  <c r="P955" i="5" a="1"/>
  <c r="P955" i="5" s="1"/>
  <c r="Q955" i="5" s="1"/>
  <c r="P956" i="5" a="1"/>
  <c r="P956" i="5"/>
  <c r="Q956" i="5" s="1"/>
  <c r="P957" i="5" a="1"/>
  <c r="P957" i="5" s="1"/>
  <c r="Q957" i="5" s="1"/>
  <c r="P958" i="5" a="1"/>
  <c r="P958" i="5" s="1"/>
  <c r="Q958" i="5" s="1"/>
  <c r="P959" i="5" a="1"/>
  <c r="P959" i="5" s="1"/>
  <c r="Q959" i="5" s="1"/>
  <c r="P960" i="5" a="1"/>
  <c r="P960" i="5"/>
  <c r="Q960" i="5" s="1"/>
  <c r="P961" i="5" a="1"/>
  <c r="P961" i="5"/>
  <c r="Q961" i="5" s="1"/>
  <c r="P962" i="5" a="1"/>
  <c r="P962" i="5" s="1"/>
  <c r="Q962" i="5" s="1"/>
  <c r="P963" i="5" a="1"/>
  <c r="P963" i="5" s="1"/>
  <c r="Q963" i="5" s="1"/>
  <c r="P964" i="5" a="1"/>
  <c r="P964" i="5"/>
  <c r="Q964" i="5" s="1"/>
  <c r="P965" i="5" a="1"/>
  <c r="P965" i="5"/>
  <c r="Q965" i="5" s="1"/>
  <c r="P966" i="5" a="1"/>
  <c r="P966" i="5" s="1"/>
  <c r="Q966" i="5" s="1"/>
  <c r="P967" i="5" a="1"/>
  <c r="P967" i="5" s="1"/>
  <c r="Q967" i="5" s="1"/>
  <c r="P968" i="5" a="1"/>
  <c r="P968" i="5" s="1"/>
  <c r="Q968" i="5" s="1"/>
  <c r="P969" i="5" a="1"/>
  <c r="P969" i="5"/>
  <c r="Q969" i="5" s="1"/>
  <c r="P970" i="5" a="1"/>
  <c r="P970" i="5"/>
  <c r="Q970" i="5" s="1"/>
  <c r="P971" i="5" a="1"/>
  <c r="P971" i="5" s="1"/>
  <c r="Q971" i="5" s="1"/>
  <c r="P972" i="5" a="1"/>
  <c r="P972" i="5"/>
  <c r="Q972" i="5" s="1"/>
  <c r="P973" i="5" a="1"/>
  <c r="P973" i="5"/>
  <c r="Q973" i="5" s="1"/>
  <c r="P974" i="5" a="1"/>
  <c r="P974" i="5" s="1"/>
  <c r="Q974" i="5" s="1"/>
  <c r="P975" i="5" a="1"/>
  <c r="P975" i="5" s="1"/>
  <c r="Q975" i="5" s="1"/>
  <c r="P976" i="5" a="1"/>
  <c r="P976" i="5"/>
  <c r="Q976" i="5" s="1"/>
  <c r="P977" i="5" a="1"/>
  <c r="P977" i="5" s="1"/>
  <c r="Q977" i="5" s="1"/>
  <c r="P978" i="5" a="1"/>
  <c r="P978" i="5"/>
  <c r="Q978" i="5" s="1"/>
  <c r="P979" i="5" a="1"/>
  <c r="P979" i="5" s="1"/>
  <c r="Q979" i="5" s="1"/>
  <c r="P980" i="5" a="1"/>
  <c r="P980" i="5"/>
  <c r="Q980" i="5" s="1"/>
  <c r="P981" i="5" a="1"/>
  <c r="P981" i="5"/>
  <c r="Q981" i="5" s="1"/>
  <c r="P982" i="5" a="1"/>
  <c r="P982" i="5"/>
  <c r="Q982" i="5" s="1"/>
  <c r="P983" i="5" a="1"/>
  <c r="P983" i="5" s="1"/>
  <c r="Q983" i="5" s="1"/>
  <c r="P984" i="5" a="1"/>
  <c r="P984" i="5"/>
  <c r="Q984" i="5" s="1"/>
  <c r="P985" i="5" a="1"/>
  <c r="P985" i="5"/>
  <c r="Q985" i="5" s="1"/>
  <c r="P986" i="5" a="1"/>
  <c r="P986" i="5" s="1"/>
  <c r="Q986" i="5" s="1"/>
  <c r="P987" i="5" a="1"/>
  <c r="P987" i="5" s="1"/>
  <c r="Q987" i="5" s="1"/>
  <c r="P988" i="5" a="1"/>
  <c r="P988" i="5" s="1"/>
  <c r="Q988" i="5" s="1"/>
  <c r="P989" i="5" a="1"/>
  <c r="P989" i="5" s="1"/>
  <c r="Q989" i="5" s="1"/>
  <c r="P990" i="5" a="1"/>
  <c r="P990" i="5"/>
  <c r="Q990" i="5" s="1"/>
  <c r="P991" i="5" a="1"/>
  <c r="P991" i="5" s="1"/>
  <c r="Q991" i="5" s="1"/>
  <c r="P992" i="5" a="1"/>
  <c r="P992" i="5"/>
  <c r="Q992" i="5" s="1"/>
  <c r="P993" i="5" a="1"/>
  <c r="P993" i="5"/>
  <c r="Q993" i="5" s="1"/>
  <c r="P994" i="5" a="1"/>
  <c r="P994" i="5"/>
  <c r="Q994" i="5" s="1"/>
  <c r="P995" i="5" a="1"/>
  <c r="P995" i="5" s="1"/>
  <c r="Q995" i="5" s="1"/>
  <c r="P996" i="5" a="1"/>
  <c r="P996" i="5"/>
  <c r="Q996" i="5" s="1"/>
  <c r="P997" i="5" a="1"/>
  <c r="P997" i="5" s="1"/>
  <c r="Q997" i="5" s="1"/>
  <c r="P998" i="5" a="1"/>
  <c r="P998" i="5"/>
  <c r="Q998" i="5" s="1"/>
  <c r="P999" i="5" a="1"/>
  <c r="P999" i="5" s="1"/>
  <c r="Q999" i="5" s="1"/>
  <c r="P1000" i="5" a="1"/>
  <c r="P1000" i="5" s="1"/>
  <c r="Q1000" i="5" s="1"/>
  <c r="P1001" i="5" a="1"/>
  <c r="P1001" i="5" s="1"/>
  <c r="Q1001" i="5" s="1"/>
  <c r="P1002" i="5" a="1"/>
  <c r="P1002" i="5"/>
  <c r="Q1002" i="5" s="1"/>
  <c r="P1003" i="5" a="1"/>
  <c r="P1003" i="5" s="1"/>
  <c r="Q1003" i="5" s="1"/>
  <c r="P1004" i="5" a="1"/>
  <c r="P1004" i="5" s="1"/>
  <c r="Q1004" i="5" s="1"/>
  <c r="O47" i="5"/>
  <c r="O64" i="5"/>
  <c r="N5" i="5" a="1"/>
  <c r="N5" i="5"/>
  <c r="O5" i="5" s="1"/>
  <c r="N6" i="5" a="1"/>
  <c r="N6" i="5" s="1"/>
  <c r="O6" i="5" s="1"/>
  <c r="N7" i="5" a="1"/>
  <c r="N7" i="5" s="1"/>
  <c r="O7" i="5" s="1"/>
  <c r="N8" i="5" a="1"/>
  <c r="N8" i="5"/>
  <c r="O8" i="5" s="1"/>
  <c r="N9" i="5" a="1"/>
  <c r="N9" i="5" s="1"/>
  <c r="O9" i="5" s="1"/>
  <c r="N10" i="5" a="1"/>
  <c r="N10" i="5" s="1"/>
  <c r="O10" i="5" s="1"/>
  <c r="N11" i="5" a="1"/>
  <c r="N11" i="5"/>
  <c r="O11" i="5" s="1"/>
  <c r="N12" i="5" a="1"/>
  <c r="N12" i="5"/>
  <c r="O12" i="5" s="1"/>
  <c r="N13" i="5" a="1"/>
  <c r="N13" i="5" s="1"/>
  <c r="O13" i="5" s="1"/>
  <c r="N14" i="5" a="1"/>
  <c r="N14" i="5" s="1"/>
  <c r="O14" i="5" s="1"/>
  <c r="N15" i="5" a="1"/>
  <c r="N15" i="5"/>
  <c r="O15" i="5" s="1"/>
  <c r="N16" i="5" a="1"/>
  <c r="N16" i="5"/>
  <c r="O16" i="5" s="1"/>
  <c r="N17" i="5" a="1"/>
  <c r="N17" i="5"/>
  <c r="O17" i="5" s="1"/>
  <c r="N18" i="5" a="1"/>
  <c r="N18" i="5" s="1"/>
  <c r="O18" i="5" s="1"/>
  <c r="N19" i="5" a="1"/>
  <c r="N19" i="5"/>
  <c r="O19" i="5" s="1"/>
  <c r="N20" i="5" a="1"/>
  <c r="N20" i="5"/>
  <c r="O20" i="5" s="1"/>
  <c r="N21" i="5" a="1"/>
  <c r="N21" i="5"/>
  <c r="O21" i="5" s="1"/>
  <c r="N22" i="5" a="1"/>
  <c r="N22" i="5" s="1"/>
  <c r="O22" i="5" s="1"/>
  <c r="N23" i="5" a="1"/>
  <c r="N23" i="5" s="1"/>
  <c r="O23" i="5" s="1"/>
  <c r="N24" i="5" a="1"/>
  <c r="N24" i="5"/>
  <c r="O24" i="5" s="1"/>
  <c r="N25" i="5" a="1"/>
  <c r="N25" i="5" s="1"/>
  <c r="O25" i="5" s="1"/>
  <c r="N26" i="5" a="1"/>
  <c r="N26" i="5" s="1"/>
  <c r="O26" i="5" s="1"/>
  <c r="N27" i="5" a="1"/>
  <c r="N27" i="5" s="1"/>
  <c r="O27" i="5" s="1"/>
  <c r="N28" i="5" a="1"/>
  <c r="N28" i="5"/>
  <c r="O28" i="5" s="1"/>
  <c r="N29" i="5" a="1"/>
  <c r="N29" i="5"/>
  <c r="O29" i="5" s="1"/>
  <c r="N30" i="5" a="1"/>
  <c r="N30" i="5" s="1"/>
  <c r="O30" i="5" s="1"/>
  <c r="N31" i="5" a="1"/>
  <c r="N31" i="5" s="1"/>
  <c r="O31" i="5" s="1"/>
  <c r="N32" i="5" a="1"/>
  <c r="N32" i="5"/>
  <c r="O32" i="5" s="1"/>
  <c r="N33" i="5" a="1"/>
  <c r="N33" i="5"/>
  <c r="O33" i="5" s="1"/>
  <c r="N34" i="5" a="1"/>
  <c r="N34" i="5" s="1"/>
  <c r="O34" i="5" s="1"/>
  <c r="N35" i="5" a="1"/>
  <c r="N35" i="5"/>
  <c r="O35" i="5" s="1"/>
  <c r="N36" i="5" a="1"/>
  <c r="N36" i="5"/>
  <c r="O36" i="5" s="1"/>
  <c r="N37" i="5" a="1"/>
  <c r="N37" i="5"/>
  <c r="O37" i="5" s="1"/>
  <c r="N38" i="5" a="1"/>
  <c r="N38" i="5" s="1"/>
  <c r="O38" i="5" s="1"/>
  <c r="N39" i="5" a="1"/>
  <c r="N39" i="5" s="1"/>
  <c r="O39" i="5" s="1"/>
  <c r="N40" i="5" a="1"/>
  <c r="N40" i="5"/>
  <c r="O40" i="5" s="1"/>
  <c r="N41" i="5" a="1"/>
  <c r="N41" i="5" s="1"/>
  <c r="O41" i="5" s="1"/>
  <c r="N42" i="5" a="1"/>
  <c r="N42" i="5" s="1"/>
  <c r="O42" i="5" s="1"/>
  <c r="N43" i="5" a="1"/>
  <c r="N43" i="5"/>
  <c r="O43" i="5" s="1"/>
  <c r="N44" i="5" a="1"/>
  <c r="N44" i="5"/>
  <c r="O44" i="5" s="1"/>
  <c r="N45" i="5" a="1"/>
  <c r="N45" i="5" s="1"/>
  <c r="O45" i="5" s="1"/>
  <c r="N46" i="5" a="1"/>
  <c r="N46" i="5" s="1"/>
  <c r="O46" i="5" s="1"/>
  <c r="N47" i="5" a="1"/>
  <c r="N47" i="5"/>
  <c r="N48" i="5" a="1"/>
  <c r="N48" i="5"/>
  <c r="O48" i="5" s="1"/>
  <c r="N49" i="5" a="1"/>
  <c r="N49" i="5" s="1"/>
  <c r="O49" i="5" s="1"/>
  <c r="N50" i="5" a="1"/>
  <c r="N50" i="5" s="1"/>
  <c r="O50" i="5" s="1"/>
  <c r="N51" i="5" a="1"/>
  <c r="N51" i="5"/>
  <c r="O51" i="5" s="1"/>
  <c r="N52" i="5" a="1"/>
  <c r="N52" i="5"/>
  <c r="O52" i="5" s="1"/>
  <c r="N53" i="5" a="1"/>
  <c r="N53" i="5"/>
  <c r="O53" i="5" s="1"/>
  <c r="N54" i="5" a="1"/>
  <c r="N54" i="5" s="1"/>
  <c r="O54" i="5" s="1"/>
  <c r="N55" i="5" a="1"/>
  <c r="N55" i="5" s="1"/>
  <c r="O55" i="5" s="1"/>
  <c r="N56" i="5" a="1"/>
  <c r="N56" i="5"/>
  <c r="O56" i="5" s="1"/>
  <c r="N57" i="5" a="1"/>
  <c r="N57" i="5" s="1"/>
  <c r="O57" i="5" s="1"/>
  <c r="N58" i="5" a="1"/>
  <c r="N58" i="5" s="1"/>
  <c r="O58" i="5" s="1"/>
  <c r="N59" i="5" a="1"/>
  <c r="N59" i="5" s="1"/>
  <c r="O59" i="5" s="1"/>
  <c r="N60" i="5" a="1"/>
  <c r="N60" i="5"/>
  <c r="O60" i="5" s="1"/>
  <c r="N61" i="5" a="1"/>
  <c r="N61" i="5"/>
  <c r="O61" i="5" s="1"/>
  <c r="N62" i="5" a="1"/>
  <c r="N62" i="5" s="1"/>
  <c r="O62" i="5" s="1"/>
  <c r="N63" i="5" a="1"/>
  <c r="N63" i="5" s="1"/>
  <c r="O63" i="5" s="1"/>
  <c r="N64" i="5" a="1"/>
  <c r="N64" i="5"/>
  <c r="N65" i="5" a="1"/>
  <c r="N65" i="5"/>
  <c r="O65" i="5" s="1"/>
  <c r="N66" i="5" a="1"/>
  <c r="N66" i="5" s="1"/>
  <c r="O66" i="5" s="1"/>
  <c r="N67" i="5" a="1"/>
  <c r="N67" i="5"/>
  <c r="O67" i="5" s="1"/>
  <c r="N68" i="5" a="1"/>
  <c r="N68" i="5" s="1"/>
  <c r="O68" i="5" s="1"/>
  <c r="N69" i="5" a="1"/>
  <c r="N69" i="5"/>
  <c r="O69" i="5" s="1"/>
  <c r="N70" i="5" a="1"/>
  <c r="N70" i="5" s="1"/>
  <c r="O70" i="5" s="1"/>
  <c r="N71" i="5" a="1"/>
  <c r="N71" i="5" s="1"/>
  <c r="O71" i="5" s="1"/>
  <c r="N72" i="5" a="1"/>
  <c r="N72" i="5" s="1"/>
  <c r="O72" i="5" s="1"/>
  <c r="N73" i="5" a="1"/>
  <c r="N73" i="5" s="1"/>
  <c r="O73" i="5" s="1"/>
  <c r="N74" i="5" a="1"/>
  <c r="N74" i="5" s="1"/>
  <c r="O74" i="5" s="1"/>
  <c r="N75" i="5" a="1"/>
  <c r="N75" i="5"/>
  <c r="O75" i="5" s="1"/>
  <c r="N76" i="5" a="1"/>
  <c r="N76" i="5"/>
  <c r="O76" i="5" s="1"/>
  <c r="N77" i="5" a="1"/>
  <c r="N77" i="5" s="1"/>
  <c r="O77" i="5" s="1"/>
  <c r="N78" i="5" a="1"/>
  <c r="N78" i="5" s="1"/>
  <c r="O78" i="5" s="1"/>
  <c r="N79" i="5" a="1"/>
  <c r="N79" i="5"/>
  <c r="O79" i="5" s="1"/>
  <c r="N80" i="5" a="1"/>
  <c r="N80" i="5" s="1"/>
  <c r="O80" i="5" s="1"/>
  <c r="N81" i="5" a="1"/>
  <c r="N81" i="5" s="1"/>
  <c r="O81" i="5" s="1"/>
  <c r="N82" i="5" a="1"/>
  <c r="N82" i="5" s="1"/>
  <c r="O82" i="5" s="1"/>
  <c r="N83" i="5" a="1"/>
  <c r="N83" i="5"/>
  <c r="O83" i="5" s="1"/>
  <c r="N84" i="5" a="1"/>
  <c r="N84" i="5"/>
  <c r="O84" i="5" s="1"/>
  <c r="N85" i="5" a="1"/>
  <c r="N85" i="5"/>
  <c r="O85" i="5" s="1"/>
  <c r="N86" i="5" a="1"/>
  <c r="N86" i="5" s="1"/>
  <c r="O86" i="5" s="1"/>
  <c r="N87" i="5" a="1"/>
  <c r="N87" i="5" s="1"/>
  <c r="O87" i="5" s="1"/>
  <c r="N88" i="5" a="1"/>
  <c r="N88" i="5"/>
  <c r="O88" i="5" s="1"/>
  <c r="N89" i="5" a="1"/>
  <c r="N89" i="5" s="1"/>
  <c r="O89" i="5" s="1"/>
  <c r="N90" i="5" a="1"/>
  <c r="N90" i="5" s="1"/>
  <c r="O90" i="5" s="1"/>
  <c r="N91" i="5" a="1"/>
  <c r="N91" i="5" s="1"/>
  <c r="O91" i="5" s="1"/>
  <c r="N92" i="5" a="1"/>
  <c r="N92" i="5"/>
  <c r="O92" i="5" s="1"/>
  <c r="N93" i="5" a="1"/>
  <c r="N93" i="5"/>
  <c r="O93" i="5" s="1"/>
  <c r="N94" i="5" a="1"/>
  <c r="N94" i="5" s="1"/>
  <c r="O94" i="5" s="1"/>
  <c r="N95" i="5" a="1"/>
  <c r="N95" i="5" s="1"/>
  <c r="O95" i="5" s="1"/>
  <c r="N96" i="5" a="1"/>
  <c r="N96" i="5" s="1"/>
  <c r="O96" i="5" s="1"/>
  <c r="N97" i="5" a="1"/>
  <c r="N97" i="5"/>
  <c r="O97" i="5" s="1"/>
  <c r="N98" i="5" a="1"/>
  <c r="N98" i="5" s="1"/>
  <c r="O98" i="5" s="1"/>
  <c r="N99" i="5" a="1"/>
  <c r="N99" i="5"/>
  <c r="O99" i="5" s="1"/>
  <c r="N100" i="5" a="1"/>
  <c r="N100" i="5" s="1"/>
  <c r="O100" i="5" s="1"/>
  <c r="N101" i="5" a="1"/>
  <c r="N101" i="5"/>
  <c r="O101" i="5" s="1"/>
  <c r="N102" i="5" a="1"/>
  <c r="N102" i="5" s="1"/>
  <c r="O102" i="5" s="1"/>
  <c r="N103" i="5" a="1"/>
  <c r="N103" i="5" s="1"/>
  <c r="O103" i="5" s="1"/>
  <c r="N104" i="5" a="1"/>
  <c r="N104" i="5"/>
  <c r="O104" i="5" s="1"/>
  <c r="N105" i="5" a="1"/>
  <c r="N105" i="5" s="1"/>
  <c r="O105" i="5" s="1"/>
  <c r="N106" i="5" a="1"/>
  <c r="N106" i="5" s="1"/>
  <c r="O106" i="5" s="1"/>
  <c r="N107" i="5" a="1"/>
  <c r="N107" i="5"/>
  <c r="O107" i="5" s="1"/>
  <c r="N108" i="5" a="1"/>
  <c r="N108" i="5"/>
  <c r="O108" i="5" s="1"/>
  <c r="N109" i="5" a="1"/>
  <c r="N109" i="5" s="1"/>
  <c r="O109" i="5" s="1"/>
  <c r="N110" i="5" a="1"/>
  <c r="N110" i="5" s="1"/>
  <c r="O110" i="5" s="1"/>
  <c r="N111" i="5" a="1"/>
  <c r="N111" i="5"/>
  <c r="O111" i="5" s="1"/>
  <c r="N112" i="5" a="1"/>
  <c r="N112" i="5" s="1"/>
  <c r="O112" i="5" s="1"/>
  <c r="N113" i="5" a="1"/>
  <c r="N113" i="5" s="1"/>
  <c r="O113" i="5" s="1"/>
  <c r="N114" i="5" a="1"/>
  <c r="N114" i="5" s="1"/>
  <c r="O114" i="5" s="1"/>
  <c r="N115" i="5" a="1"/>
  <c r="N115" i="5"/>
  <c r="O115" i="5" s="1"/>
  <c r="N116" i="5" a="1"/>
  <c r="N116" i="5"/>
  <c r="O116" i="5" s="1"/>
  <c r="N117" i="5" a="1"/>
  <c r="N117" i="5"/>
  <c r="O117" i="5" s="1"/>
  <c r="N118" i="5" a="1"/>
  <c r="N118" i="5" s="1"/>
  <c r="O118" i="5" s="1"/>
  <c r="N119" i="5" a="1"/>
  <c r="N119" i="5" s="1"/>
  <c r="O119" i="5" s="1"/>
  <c r="N120" i="5" a="1"/>
  <c r="N120" i="5"/>
  <c r="O120" i="5" s="1"/>
  <c r="N121" i="5" a="1"/>
  <c r="N121" i="5" s="1"/>
  <c r="O121" i="5" s="1"/>
  <c r="N122" i="5" a="1"/>
  <c r="N122" i="5" s="1"/>
  <c r="O122" i="5" s="1"/>
  <c r="N123" i="5" a="1"/>
  <c r="N123" i="5" s="1"/>
  <c r="O123" i="5" s="1"/>
  <c r="N124" i="5" a="1"/>
  <c r="N124" i="5"/>
  <c r="O124" i="5" s="1"/>
  <c r="N125" i="5" a="1"/>
  <c r="N125" i="5"/>
  <c r="O125" i="5" s="1"/>
  <c r="N126" i="5" a="1"/>
  <c r="N126" i="5" s="1"/>
  <c r="O126" i="5" s="1"/>
  <c r="N127" i="5" a="1"/>
  <c r="N127" i="5"/>
  <c r="O127" i="5" s="1"/>
  <c r="N128" i="5" a="1"/>
  <c r="N128" i="5" s="1"/>
  <c r="O128" i="5" s="1"/>
  <c r="N129" i="5" a="1"/>
  <c r="N129" i="5"/>
  <c r="O129" i="5" s="1"/>
  <c r="N130" i="5" a="1"/>
  <c r="N130" i="5" s="1"/>
  <c r="O130" i="5" s="1"/>
  <c r="N131" i="5" a="1"/>
  <c r="N131" i="5"/>
  <c r="O131" i="5" s="1"/>
  <c r="N132" i="5" a="1"/>
  <c r="N132" i="5" s="1"/>
  <c r="O132" i="5" s="1"/>
  <c r="N133" i="5" a="1"/>
  <c r="N133" i="5"/>
  <c r="O133" i="5" s="1"/>
  <c r="N134" i="5" a="1"/>
  <c r="N134" i="5" s="1"/>
  <c r="O134" i="5" s="1"/>
  <c r="N135" i="5" a="1"/>
  <c r="N135" i="5" s="1"/>
  <c r="O135" i="5" s="1"/>
  <c r="N136" i="5" a="1"/>
  <c r="N136" i="5" s="1"/>
  <c r="O136" i="5" s="1"/>
  <c r="N137" i="5" a="1"/>
  <c r="N137" i="5" s="1"/>
  <c r="O137" i="5" s="1"/>
  <c r="N138" i="5" a="1"/>
  <c r="N138" i="5" s="1"/>
  <c r="O138" i="5" s="1"/>
  <c r="N139" i="5" a="1"/>
  <c r="N139" i="5" s="1"/>
  <c r="O139" i="5" s="1"/>
  <c r="N140" i="5" a="1"/>
  <c r="N140" i="5"/>
  <c r="O140" i="5" s="1"/>
  <c r="N141" i="5" a="1"/>
  <c r="N141" i="5" s="1"/>
  <c r="O141" i="5" s="1"/>
  <c r="N142" i="5" a="1"/>
  <c r="N142" i="5" s="1"/>
  <c r="O142" i="5" s="1"/>
  <c r="N143" i="5" a="1"/>
  <c r="N143" i="5"/>
  <c r="O143" i="5" s="1"/>
  <c r="N144" i="5" a="1"/>
  <c r="N144" i="5" s="1"/>
  <c r="O144" i="5" s="1"/>
  <c r="N145" i="5" a="1"/>
  <c r="N145" i="5"/>
  <c r="O145" i="5" s="1"/>
  <c r="N146" i="5" a="1"/>
  <c r="N146" i="5" s="1"/>
  <c r="O146" i="5" s="1"/>
  <c r="N147" i="5" a="1"/>
  <c r="N147" i="5"/>
  <c r="O147" i="5" s="1"/>
  <c r="N148" i="5" a="1"/>
  <c r="N148" i="5" s="1"/>
  <c r="O148" i="5" s="1"/>
  <c r="N149" i="5" a="1"/>
  <c r="N149" i="5"/>
  <c r="O149" i="5" s="1"/>
  <c r="N150" i="5" a="1"/>
  <c r="N150" i="5" s="1"/>
  <c r="O150" i="5" s="1"/>
  <c r="N151" i="5" a="1"/>
  <c r="N151" i="5" s="1"/>
  <c r="O151" i="5" s="1"/>
  <c r="N152" i="5" a="1"/>
  <c r="N152" i="5"/>
  <c r="O152" i="5" s="1"/>
  <c r="N153" i="5" a="1"/>
  <c r="N153" i="5" s="1"/>
  <c r="O153" i="5" s="1"/>
  <c r="N154" i="5" a="1"/>
  <c r="N154" i="5" s="1"/>
  <c r="O154" i="5" s="1"/>
  <c r="N155" i="5" a="1"/>
  <c r="N155" i="5" s="1"/>
  <c r="O155" i="5" s="1"/>
  <c r="N156" i="5" a="1"/>
  <c r="N156" i="5"/>
  <c r="O156" i="5" s="1"/>
  <c r="N157" i="5" a="1"/>
  <c r="N157" i="5" s="1"/>
  <c r="O157" i="5" s="1"/>
  <c r="N158" i="5" a="1"/>
  <c r="N158" i="5" s="1"/>
  <c r="O158" i="5" s="1"/>
  <c r="N159" i="5" a="1"/>
  <c r="N159" i="5" s="1"/>
  <c r="O159" i="5" s="1"/>
  <c r="N160" i="5" a="1"/>
  <c r="N160" i="5" s="1"/>
  <c r="O160" i="5" s="1"/>
  <c r="N161" i="5" a="1"/>
  <c r="N161" i="5"/>
  <c r="O161" i="5" s="1"/>
  <c r="N162" i="5" a="1"/>
  <c r="N162" i="5" s="1"/>
  <c r="O162" i="5" s="1"/>
  <c r="N163" i="5" a="1"/>
  <c r="N163" i="5"/>
  <c r="O163" i="5" s="1"/>
  <c r="N164" i="5" a="1"/>
  <c r="N164" i="5" s="1"/>
  <c r="O164" i="5" s="1"/>
  <c r="N165" i="5" a="1"/>
  <c r="N165" i="5"/>
  <c r="O165" i="5" s="1"/>
  <c r="N166" i="5" a="1"/>
  <c r="N166" i="5" s="1"/>
  <c r="O166" i="5" s="1"/>
  <c r="N167" i="5" a="1"/>
  <c r="N167" i="5" s="1"/>
  <c r="O167" i="5" s="1"/>
  <c r="N168" i="5" a="1"/>
  <c r="N168" i="5" s="1"/>
  <c r="O168" i="5" s="1"/>
  <c r="N169" i="5" a="1"/>
  <c r="N169" i="5" s="1"/>
  <c r="O169" i="5" s="1"/>
  <c r="N170" i="5" a="1"/>
  <c r="N170" i="5" s="1"/>
  <c r="O170" i="5" s="1"/>
  <c r="N171" i="5" a="1"/>
  <c r="N171" i="5"/>
  <c r="O171" i="5" s="1"/>
  <c r="N172" i="5" a="1"/>
  <c r="N172" i="5"/>
  <c r="O172" i="5" s="1"/>
  <c r="N173" i="5" a="1"/>
  <c r="N173" i="5" s="1"/>
  <c r="O173" i="5" s="1"/>
  <c r="N174" i="5" a="1"/>
  <c r="N174" i="5" s="1"/>
  <c r="O174" i="5" s="1"/>
  <c r="N175" i="5" a="1"/>
  <c r="N175" i="5"/>
  <c r="O175" i="5" s="1"/>
  <c r="N176" i="5" a="1"/>
  <c r="N176" i="5" s="1"/>
  <c r="O176" i="5" s="1"/>
  <c r="N177" i="5" a="1"/>
  <c r="N177" i="5" s="1"/>
  <c r="O177" i="5" s="1"/>
  <c r="N178" i="5" a="1"/>
  <c r="N178" i="5" s="1"/>
  <c r="O178" i="5" s="1"/>
  <c r="N179" i="5" a="1"/>
  <c r="N179" i="5"/>
  <c r="O179" i="5" s="1"/>
  <c r="N180" i="5" a="1"/>
  <c r="N180" i="5"/>
  <c r="O180" i="5" s="1"/>
  <c r="N181" i="5" a="1"/>
  <c r="N181" i="5"/>
  <c r="O181" i="5" s="1"/>
  <c r="N182" i="5" a="1"/>
  <c r="N182" i="5" s="1"/>
  <c r="O182" i="5" s="1"/>
  <c r="N183" i="5" a="1"/>
  <c r="N183" i="5" s="1"/>
  <c r="O183" i="5" s="1"/>
  <c r="N184" i="5" a="1"/>
  <c r="N184" i="5" s="1"/>
  <c r="O184" i="5" s="1"/>
  <c r="N185" i="5" a="1"/>
  <c r="N185" i="5" s="1"/>
  <c r="O185" i="5" s="1"/>
  <c r="N186" i="5" a="1"/>
  <c r="N186" i="5" s="1"/>
  <c r="O186" i="5" s="1"/>
  <c r="N187" i="5" a="1"/>
  <c r="N187" i="5" s="1"/>
  <c r="O187" i="5" s="1"/>
  <c r="N188" i="5" a="1"/>
  <c r="N188" i="5"/>
  <c r="O188" i="5" s="1"/>
  <c r="N189" i="5" a="1"/>
  <c r="N189" i="5" s="1"/>
  <c r="O189" i="5" s="1"/>
  <c r="N190" i="5" a="1"/>
  <c r="N190" i="5" s="1"/>
  <c r="O190" i="5" s="1"/>
  <c r="N191" i="5" a="1"/>
  <c r="N191" i="5"/>
  <c r="O191" i="5" s="1"/>
  <c r="N192" i="5" a="1"/>
  <c r="N192" i="5" s="1"/>
  <c r="O192" i="5" s="1"/>
  <c r="N193" i="5" a="1"/>
  <c r="N193" i="5" s="1"/>
  <c r="O193" i="5" s="1"/>
  <c r="N194" i="5" a="1"/>
  <c r="N194" i="5" s="1"/>
  <c r="O194" i="5" s="1"/>
  <c r="N195" i="5" a="1"/>
  <c r="N195" i="5"/>
  <c r="O195" i="5" s="1"/>
  <c r="N196" i="5" a="1"/>
  <c r="N196" i="5" s="1"/>
  <c r="O196" i="5" s="1"/>
  <c r="N197" i="5" a="1"/>
  <c r="N197" i="5"/>
  <c r="O197" i="5" s="1"/>
  <c r="N198" i="5" a="1"/>
  <c r="N198" i="5" s="1"/>
  <c r="O198" i="5" s="1"/>
  <c r="N199" i="5" a="1"/>
  <c r="N199" i="5" s="1"/>
  <c r="O199" i="5" s="1"/>
  <c r="N200" i="5" a="1"/>
  <c r="N200" i="5"/>
  <c r="O200" i="5" s="1"/>
  <c r="N201" i="5" a="1"/>
  <c r="N201" i="5" s="1"/>
  <c r="O201" i="5" s="1"/>
  <c r="N202" i="5" a="1"/>
  <c r="N202" i="5" s="1"/>
  <c r="O202" i="5" s="1"/>
  <c r="N203" i="5" a="1"/>
  <c r="N203" i="5" s="1"/>
  <c r="O203" i="5" s="1"/>
  <c r="N204" i="5" a="1"/>
  <c r="N204" i="5"/>
  <c r="O204" i="5" s="1"/>
  <c r="N205" i="5" a="1"/>
  <c r="N205" i="5" s="1"/>
  <c r="O205" i="5" s="1"/>
  <c r="N206" i="5" a="1"/>
  <c r="N206" i="5" s="1"/>
  <c r="O206" i="5" s="1"/>
  <c r="N207" i="5" a="1"/>
  <c r="N207" i="5"/>
  <c r="O207" i="5" s="1"/>
  <c r="N208" i="5" a="1"/>
  <c r="N208" i="5" s="1"/>
  <c r="O208" i="5" s="1"/>
  <c r="N209" i="5" a="1"/>
  <c r="N209" i="5"/>
  <c r="O209" i="5" s="1"/>
  <c r="N210" i="5" a="1"/>
  <c r="N210" i="5" s="1"/>
  <c r="O210" i="5" s="1"/>
  <c r="N211" i="5" a="1"/>
  <c r="N211" i="5"/>
  <c r="O211" i="5" s="1"/>
  <c r="N212" i="5" a="1"/>
  <c r="N212" i="5"/>
  <c r="O212" i="5" s="1"/>
  <c r="N213" i="5" a="1"/>
  <c r="N213" i="5"/>
  <c r="O213" i="5" s="1"/>
  <c r="N214" i="5" a="1"/>
  <c r="N214" i="5" s="1"/>
  <c r="O214" i="5" s="1"/>
  <c r="N215" i="5" a="1"/>
  <c r="N215" i="5" s="1"/>
  <c r="O215" i="5" s="1"/>
  <c r="N216" i="5" a="1"/>
  <c r="N216" i="5" s="1"/>
  <c r="O216" i="5" s="1"/>
  <c r="N217" i="5" a="1"/>
  <c r="N217" i="5" s="1"/>
  <c r="O217" i="5" s="1"/>
  <c r="N218" i="5" a="1"/>
  <c r="N218" i="5" s="1"/>
  <c r="O218" i="5" s="1"/>
  <c r="N219" i="5" a="1"/>
  <c r="N219" i="5" s="1"/>
  <c r="O219" i="5" s="1"/>
  <c r="N220" i="5" a="1"/>
  <c r="N220" i="5"/>
  <c r="O220" i="5" s="1"/>
  <c r="N221" i="5" a="1"/>
  <c r="N221" i="5"/>
  <c r="O221" i="5" s="1"/>
  <c r="N222" i="5" a="1"/>
  <c r="N222" i="5" s="1"/>
  <c r="O222" i="5" s="1"/>
  <c r="N223" i="5" a="1"/>
  <c r="N223" i="5"/>
  <c r="O223" i="5" s="1"/>
  <c r="N224" i="5" a="1"/>
  <c r="N224" i="5" s="1"/>
  <c r="O224" i="5" s="1"/>
  <c r="N225" i="5" a="1"/>
  <c r="N225" i="5"/>
  <c r="O225" i="5" s="1"/>
  <c r="N226" i="5" a="1"/>
  <c r="N226" i="5" s="1"/>
  <c r="O226" i="5" s="1"/>
  <c r="N227" i="5" a="1"/>
  <c r="N227" i="5"/>
  <c r="O227" i="5" s="1"/>
  <c r="N228" i="5" a="1"/>
  <c r="N228" i="5" s="1"/>
  <c r="O228" i="5" s="1"/>
  <c r="N229" i="5" a="1"/>
  <c r="N229" i="5"/>
  <c r="O229" i="5" s="1"/>
  <c r="N230" i="5" a="1"/>
  <c r="N230" i="5" s="1"/>
  <c r="O230" i="5" s="1"/>
  <c r="N231" i="5" a="1"/>
  <c r="N231" i="5" s="1"/>
  <c r="O231" i="5" s="1"/>
  <c r="N232" i="5" a="1"/>
  <c r="N232" i="5"/>
  <c r="O232" i="5" s="1"/>
  <c r="N233" i="5" a="1"/>
  <c r="N233" i="5" s="1"/>
  <c r="O233" i="5" s="1"/>
  <c r="N234" i="5" a="1"/>
  <c r="N234" i="5" s="1"/>
  <c r="O234" i="5" s="1"/>
  <c r="N235" i="5" a="1"/>
  <c r="N235" i="5"/>
  <c r="O235" i="5" s="1"/>
  <c r="N236" i="5" a="1"/>
  <c r="N236" i="5"/>
  <c r="O236" i="5" s="1"/>
  <c r="N237" i="5" a="1"/>
  <c r="N237" i="5" s="1"/>
  <c r="O237" i="5" s="1"/>
  <c r="N238" i="5" a="1"/>
  <c r="N238" i="5" s="1"/>
  <c r="O238" i="5" s="1"/>
  <c r="N239" i="5" a="1"/>
  <c r="N239" i="5" s="1"/>
  <c r="O239" i="5" s="1"/>
  <c r="N240" i="5" a="1"/>
  <c r="N240" i="5" s="1"/>
  <c r="O240" i="5" s="1"/>
  <c r="N241" i="5" a="1"/>
  <c r="N241" i="5" s="1"/>
  <c r="O241" i="5" s="1"/>
  <c r="N242" i="5" a="1"/>
  <c r="N242" i="5" s="1"/>
  <c r="O242" i="5" s="1"/>
  <c r="N243" i="5" a="1"/>
  <c r="N243" i="5"/>
  <c r="O243" i="5" s="1"/>
  <c r="N244" i="5" a="1"/>
  <c r="N244" i="5" s="1"/>
  <c r="O244" i="5" s="1"/>
  <c r="N245" i="5" a="1"/>
  <c r="N245" i="5"/>
  <c r="O245" i="5" s="1"/>
  <c r="N246" i="5" a="1"/>
  <c r="N246" i="5" s="1"/>
  <c r="O246" i="5" s="1"/>
  <c r="N247" i="5" a="1"/>
  <c r="N247" i="5" s="1"/>
  <c r="O247" i="5" s="1"/>
  <c r="N248" i="5" a="1"/>
  <c r="N248" i="5" s="1"/>
  <c r="O248" i="5" s="1"/>
  <c r="N249" i="5" a="1"/>
  <c r="N249" i="5" s="1"/>
  <c r="O249" i="5" s="1"/>
  <c r="N250" i="5" a="1"/>
  <c r="N250" i="5" s="1"/>
  <c r="O250" i="5" s="1"/>
  <c r="N251" i="5" a="1"/>
  <c r="N251" i="5" s="1"/>
  <c r="O251" i="5" s="1"/>
  <c r="N252" i="5" a="1"/>
  <c r="N252" i="5"/>
  <c r="O252" i="5" s="1"/>
  <c r="N253" i="5" a="1"/>
  <c r="N253" i="5"/>
  <c r="O253" i="5" s="1"/>
  <c r="N254" i="5" a="1"/>
  <c r="N254" i="5" s="1"/>
  <c r="O254" i="5" s="1"/>
  <c r="N255" i="5" a="1"/>
  <c r="N255" i="5" s="1"/>
  <c r="O255" i="5" s="1"/>
  <c r="N256" i="5" a="1"/>
  <c r="N256" i="5" s="1"/>
  <c r="O256" i="5" s="1"/>
  <c r="N257" i="5" a="1"/>
  <c r="N257" i="5" s="1"/>
  <c r="O257" i="5" s="1"/>
  <c r="N258" i="5" a="1"/>
  <c r="N258" i="5" s="1"/>
  <c r="O258" i="5" s="1"/>
  <c r="N259" i="5" a="1"/>
  <c r="N259" i="5" s="1"/>
  <c r="O259" i="5" s="1"/>
  <c r="N260" i="5" a="1"/>
  <c r="N260" i="5" s="1"/>
  <c r="O260" i="5" s="1"/>
  <c r="N261" i="5" a="1"/>
  <c r="N261" i="5"/>
  <c r="O261" i="5" s="1"/>
  <c r="N262" i="5" a="1"/>
  <c r="N262" i="5" s="1"/>
  <c r="O262" i="5" s="1"/>
  <c r="N263" i="5" a="1"/>
  <c r="N263" i="5"/>
  <c r="O263" i="5" s="1"/>
  <c r="N264" i="5" a="1"/>
  <c r="N264" i="5" s="1"/>
  <c r="O264" i="5" s="1"/>
  <c r="N265" i="5" a="1"/>
  <c r="N265" i="5" s="1"/>
  <c r="O265" i="5" s="1"/>
  <c r="N266" i="5" a="1"/>
  <c r="N266" i="5" s="1"/>
  <c r="O266" i="5" s="1"/>
  <c r="N267" i="5" a="1"/>
  <c r="N267" i="5"/>
  <c r="O267" i="5" s="1"/>
  <c r="N268" i="5" a="1"/>
  <c r="N268" i="5"/>
  <c r="O268" i="5" s="1"/>
  <c r="N269" i="5" a="1"/>
  <c r="N269" i="5" s="1"/>
  <c r="O269" i="5" s="1"/>
  <c r="N270" i="5" a="1"/>
  <c r="N270" i="5" s="1"/>
  <c r="O270" i="5" s="1"/>
  <c r="N271" i="5" a="1"/>
  <c r="N271" i="5" s="1"/>
  <c r="O271" i="5" s="1"/>
  <c r="N272" i="5" a="1"/>
  <c r="N272" i="5"/>
  <c r="O272" i="5" s="1"/>
  <c r="N273" i="5" a="1"/>
  <c r="N273" i="5"/>
  <c r="O273" i="5" s="1"/>
  <c r="N274" i="5" a="1"/>
  <c r="N274" i="5" s="1"/>
  <c r="O274" i="5" s="1"/>
  <c r="N275" i="5" a="1"/>
  <c r="N275" i="5"/>
  <c r="O275" i="5" s="1"/>
  <c r="N276" i="5" a="1"/>
  <c r="N276" i="5"/>
  <c r="O276" i="5" s="1"/>
  <c r="N277" i="5" a="1"/>
  <c r="N277" i="5" s="1"/>
  <c r="O277" i="5" s="1"/>
  <c r="N278" i="5" a="1"/>
  <c r="N278" i="5" s="1"/>
  <c r="O278" i="5" s="1"/>
  <c r="N279" i="5" a="1"/>
  <c r="N279" i="5" s="1"/>
  <c r="O279" i="5" s="1"/>
  <c r="N280" i="5" a="1"/>
  <c r="N280" i="5"/>
  <c r="O280" i="5" s="1"/>
  <c r="N281" i="5" a="1"/>
  <c r="N281" i="5"/>
  <c r="O281" i="5" s="1"/>
  <c r="N282" i="5" a="1"/>
  <c r="N282" i="5" s="1"/>
  <c r="O282" i="5" s="1"/>
  <c r="N283" i="5" a="1"/>
  <c r="N283" i="5" s="1"/>
  <c r="O283" i="5" s="1"/>
  <c r="N284" i="5" a="1"/>
  <c r="N284" i="5"/>
  <c r="O284" i="5" s="1"/>
  <c r="N285" i="5" a="1"/>
  <c r="N285" i="5"/>
  <c r="O285" i="5" s="1"/>
  <c r="N286" i="5" a="1"/>
  <c r="N286" i="5" s="1"/>
  <c r="O286" i="5" s="1"/>
  <c r="N287" i="5" a="1"/>
  <c r="N287" i="5"/>
  <c r="O287" i="5" s="1"/>
  <c r="N288" i="5" a="1"/>
  <c r="N288" i="5" s="1"/>
  <c r="O288" i="5" s="1"/>
  <c r="N289" i="5" a="1"/>
  <c r="N289" i="5" s="1"/>
  <c r="O289" i="5" s="1"/>
  <c r="N290" i="5" a="1"/>
  <c r="N290" i="5" s="1"/>
  <c r="O290" i="5" s="1"/>
  <c r="N291" i="5" a="1"/>
  <c r="N291" i="5" s="1"/>
  <c r="O291" i="5" s="1"/>
  <c r="N292" i="5" a="1"/>
  <c r="N292" i="5" s="1"/>
  <c r="O292" i="5" s="1"/>
  <c r="N293" i="5" a="1"/>
  <c r="N293" i="5"/>
  <c r="O293" i="5" s="1"/>
  <c r="N294" i="5" a="1"/>
  <c r="N294" i="5" s="1"/>
  <c r="O294" i="5" s="1"/>
  <c r="N295" i="5" a="1"/>
  <c r="N295" i="5" s="1"/>
  <c r="O295" i="5" s="1"/>
  <c r="N296" i="5" a="1"/>
  <c r="N296" i="5" s="1"/>
  <c r="O296" i="5" s="1"/>
  <c r="N297" i="5" a="1"/>
  <c r="N297" i="5" s="1"/>
  <c r="O297" i="5" s="1"/>
  <c r="N298" i="5" a="1"/>
  <c r="N298" i="5" s="1"/>
  <c r="O298" i="5" s="1"/>
  <c r="N299" i="5" a="1"/>
  <c r="N299" i="5"/>
  <c r="O299" i="5" s="1"/>
  <c r="N300" i="5" a="1"/>
  <c r="N300" i="5"/>
  <c r="O300" i="5" s="1"/>
  <c r="N301" i="5" a="1"/>
  <c r="N301" i="5" s="1"/>
  <c r="O301" i="5" s="1"/>
  <c r="N302" i="5" a="1"/>
  <c r="N302" i="5" s="1"/>
  <c r="O302" i="5" s="1"/>
  <c r="N303" i="5" a="1"/>
  <c r="N303" i="5"/>
  <c r="O303" i="5" s="1"/>
  <c r="N304" i="5" a="1"/>
  <c r="N304" i="5"/>
  <c r="O304" i="5" s="1"/>
  <c r="N305" i="5" a="1"/>
  <c r="N305" i="5"/>
  <c r="O305" i="5" s="1"/>
  <c r="N306" i="5" a="1"/>
  <c r="N306" i="5" s="1"/>
  <c r="O306" i="5" s="1"/>
  <c r="N307" i="5" a="1"/>
  <c r="N307" i="5"/>
  <c r="O307" i="5" s="1"/>
  <c r="N308" i="5" a="1"/>
  <c r="N308" i="5" s="1"/>
  <c r="O308" i="5" s="1"/>
  <c r="N309" i="5" a="1"/>
  <c r="N309" i="5" s="1"/>
  <c r="O309" i="5" s="1"/>
  <c r="N310" i="5" a="1"/>
  <c r="N310" i="5" s="1"/>
  <c r="O310" i="5" s="1"/>
  <c r="N311" i="5" a="1"/>
  <c r="N311" i="5" s="1"/>
  <c r="O311" i="5" s="1"/>
  <c r="N312" i="5" a="1"/>
  <c r="N312" i="5"/>
  <c r="O312" i="5" s="1"/>
  <c r="N313" i="5" a="1"/>
  <c r="N313" i="5" s="1"/>
  <c r="O313" i="5" s="1"/>
  <c r="N314" i="5" a="1"/>
  <c r="N314" i="5" s="1"/>
  <c r="O314" i="5" s="1"/>
  <c r="N315" i="5" a="1"/>
  <c r="N315" i="5" s="1"/>
  <c r="O315" i="5" s="1"/>
  <c r="N316" i="5" a="1"/>
  <c r="N316" i="5"/>
  <c r="O316" i="5" s="1"/>
  <c r="N317" i="5" a="1"/>
  <c r="N317" i="5"/>
  <c r="O317" i="5" s="1"/>
  <c r="N318" i="5" a="1"/>
  <c r="N318" i="5" s="1"/>
  <c r="O318" i="5" s="1"/>
  <c r="N319" i="5" a="1"/>
  <c r="N319" i="5"/>
  <c r="O319" i="5" s="1"/>
  <c r="N320" i="5" a="1"/>
  <c r="N320" i="5" s="1"/>
  <c r="O320" i="5" s="1"/>
  <c r="N321" i="5" a="1"/>
  <c r="N321" i="5"/>
  <c r="O321" i="5" s="1"/>
  <c r="N322" i="5" a="1"/>
  <c r="N322" i="5" s="1"/>
  <c r="O322" i="5" s="1"/>
  <c r="N323" i="5" a="1"/>
  <c r="N323" i="5"/>
  <c r="O323" i="5" s="1"/>
  <c r="N324" i="5" a="1"/>
  <c r="N324" i="5" s="1"/>
  <c r="O324" i="5" s="1"/>
  <c r="N325" i="5" a="1"/>
  <c r="N325" i="5"/>
  <c r="O325" i="5" s="1"/>
  <c r="N326" i="5" a="1"/>
  <c r="N326" i="5" s="1"/>
  <c r="O326" i="5" s="1"/>
  <c r="N327" i="5" a="1"/>
  <c r="N327" i="5" s="1"/>
  <c r="O327" i="5" s="1"/>
  <c r="N328" i="5" a="1"/>
  <c r="N328" i="5"/>
  <c r="O328" i="5" s="1"/>
  <c r="N329" i="5" a="1"/>
  <c r="N329" i="5" s="1"/>
  <c r="O329" i="5" s="1"/>
  <c r="N330" i="5" a="1"/>
  <c r="N330" i="5" s="1"/>
  <c r="O330" i="5" s="1"/>
  <c r="N331" i="5" a="1"/>
  <c r="N331" i="5"/>
  <c r="O331" i="5" s="1"/>
  <c r="N332" i="5" a="1"/>
  <c r="N332" i="5" s="1"/>
  <c r="O332" i="5" s="1"/>
  <c r="N333" i="5" a="1"/>
  <c r="N333" i="5" s="1"/>
  <c r="O333" i="5" s="1"/>
  <c r="N334" i="5" a="1"/>
  <c r="N334" i="5" s="1"/>
  <c r="O334" i="5" s="1"/>
  <c r="N335" i="5" a="1"/>
  <c r="N335" i="5" s="1"/>
  <c r="O335" i="5" s="1"/>
  <c r="N336" i="5" a="1"/>
  <c r="N336" i="5" s="1"/>
  <c r="O336" i="5" s="1"/>
  <c r="N337" i="5" a="1"/>
  <c r="N337" i="5" s="1"/>
  <c r="O337" i="5" s="1"/>
  <c r="N338" i="5" a="1"/>
  <c r="N338" i="5" s="1"/>
  <c r="O338" i="5" s="1"/>
  <c r="N339" i="5" a="1"/>
  <c r="N339" i="5"/>
  <c r="O339" i="5" s="1"/>
  <c r="N340" i="5" a="1"/>
  <c r="N340" i="5" s="1"/>
  <c r="O340" i="5" s="1"/>
  <c r="N341" i="5" a="1"/>
  <c r="N341" i="5" s="1"/>
  <c r="O341" i="5" s="1"/>
  <c r="N342" i="5" a="1"/>
  <c r="N342" i="5" s="1"/>
  <c r="O342" i="5" s="1"/>
  <c r="N343" i="5" a="1"/>
  <c r="N343" i="5" s="1"/>
  <c r="O343" i="5" s="1"/>
  <c r="N344" i="5" a="1"/>
  <c r="N344" i="5"/>
  <c r="O344" i="5" s="1"/>
  <c r="N345" i="5" a="1"/>
  <c r="N345" i="5" s="1"/>
  <c r="O345" i="5" s="1"/>
  <c r="N346" i="5" a="1"/>
  <c r="N346" i="5" s="1"/>
  <c r="O346" i="5" s="1"/>
  <c r="N347" i="5" a="1"/>
  <c r="N347" i="5" s="1"/>
  <c r="O347" i="5" s="1"/>
  <c r="N348" i="5" a="1"/>
  <c r="N348" i="5"/>
  <c r="O348" i="5" s="1"/>
  <c r="N349" i="5" a="1"/>
  <c r="N349" i="5"/>
  <c r="O349" i="5" s="1"/>
  <c r="N350" i="5" a="1"/>
  <c r="N350" i="5" s="1"/>
  <c r="O350" i="5" s="1"/>
  <c r="N351" i="5" a="1"/>
  <c r="N351" i="5"/>
  <c r="O351" i="5" s="1"/>
  <c r="N352" i="5" a="1"/>
  <c r="N352" i="5" s="1"/>
  <c r="O352" i="5" s="1"/>
  <c r="N353" i="5" a="1"/>
  <c r="N353" i="5"/>
  <c r="O353" i="5" s="1"/>
  <c r="N354" i="5" a="1"/>
  <c r="N354" i="5" s="1"/>
  <c r="O354" i="5" s="1"/>
  <c r="N355" i="5" a="1"/>
  <c r="N355" i="5" s="1"/>
  <c r="O355" i="5" s="1"/>
  <c r="N356" i="5" a="1"/>
  <c r="N356" i="5" s="1"/>
  <c r="O356" i="5" s="1"/>
  <c r="N357" i="5" a="1"/>
  <c r="N357" i="5"/>
  <c r="O357" i="5" s="1"/>
  <c r="N358" i="5" a="1"/>
  <c r="N358" i="5" s="1"/>
  <c r="O358" i="5" s="1"/>
  <c r="N359" i="5" a="1"/>
  <c r="N359" i="5"/>
  <c r="O359" i="5" s="1"/>
  <c r="N360" i="5" a="1"/>
  <c r="N360" i="5" s="1"/>
  <c r="O360" i="5" s="1"/>
  <c r="N361" i="5" a="1"/>
  <c r="N361" i="5" s="1"/>
  <c r="O361" i="5" s="1"/>
  <c r="N362" i="5" a="1"/>
  <c r="N362" i="5" s="1"/>
  <c r="O362" i="5" s="1"/>
  <c r="N363" i="5" a="1"/>
  <c r="N363" i="5" s="1"/>
  <c r="O363" i="5" s="1"/>
  <c r="N364" i="5" a="1"/>
  <c r="N364" i="5"/>
  <c r="O364" i="5" s="1"/>
  <c r="N365" i="5" a="1"/>
  <c r="N365" i="5" s="1"/>
  <c r="O365" i="5" s="1"/>
  <c r="N366" i="5" a="1"/>
  <c r="N366" i="5"/>
  <c r="O366" i="5" s="1"/>
  <c r="N367" i="5" a="1"/>
  <c r="N367" i="5"/>
  <c r="O367" i="5" s="1"/>
  <c r="N368" i="5" a="1"/>
  <c r="N368" i="5"/>
  <c r="O368" i="5" s="1"/>
  <c r="N369" i="5" a="1"/>
  <c r="N369" i="5" s="1"/>
  <c r="O369" i="5" s="1"/>
  <c r="N370" i="5" a="1"/>
  <c r="N370" i="5"/>
  <c r="O370" i="5" s="1"/>
  <c r="N371" i="5" a="1"/>
  <c r="N371" i="5" s="1"/>
  <c r="O371" i="5" s="1"/>
  <c r="N372" i="5" a="1"/>
  <c r="N372" i="5" s="1"/>
  <c r="O372" i="5" s="1"/>
  <c r="N373" i="5" a="1"/>
  <c r="N373" i="5" s="1"/>
  <c r="O373" i="5" s="1"/>
  <c r="N374" i="5" a="1"/>
  <c r="N374" i="5"/>
  <c r="O374" i="5" s="1"/>
  <c r="N375" i="5" a="1"/>
  <c r="N375" i="5"/>
  <c r="O375" i="5" s="1"/>
  <c r="N376" i="5" a="1"/>
  <c r="N376" i="5" s="1"/>
  <c r="O376" i="5" s="1"/>
  <c r="N377" i="5" a="1"/>
  <c r="N377" i="5" s="1"/>
  <c r="O377" i="5" s="1"/>
  <c r="N378" i="5" a="1"/>
  <c r="N378" i="5"/>
  <c r="O378" i="5" s="1"/>
  <c r="N379" i="5" a="1"/>
  <c r="N379" i="5"/>
  <c r="O379" i="5" s="1"/>
  <c r="N380" i="5" a="1"/>
  <c r="N380" i="5" s="1"/>
  <c r="O380" i="5" s="1"/>
  <c r="N381" i="5" a="1"/>
  <c r="N381" i="5" s="1"/>
  <c r="O381" i="5" s="1"/>
  <c r="N382" i="5" a="1"/>
  <c r="N382" i="5"/>
  <c r="O382" i="5" s="1"/>
  <c r="N383" i="5" a="1"/>
  <c r="N383" i="5" s="1"/>
  <c r="O383" i="5" s="1"/>
  <c r="N384" i="5" a="1"/>
  <c r="N384" i="5" s="1"/>
  <c r="O384" i="5" s="1"/>
  <c r="N385" i="5" a="1"/>
  <c r="N385" i="5" s="1"/>
  <c r="O385" i="5" s="1"/>
  <c r="N386" i="5" a="1"/>
  <c r="N386" i="5"/>
  <c r="O386" i="5" s="1"/>
  <c r="N387" i="5" a="1"/>
  <c r="N387" i="5"/>
  <c r="O387" i="5" s="1"/>
  <c r="N388" i="5" a="1"/>
  <c r="N388" i="5"/>
  <c r="O388" i="5" s="1"/>
  <c r="N389" i="5" a="1"/>
  <c r="N389" i="5" s="1"/>
  <c r="O389" i="5" s="1"/>
  <c r="N390" i="5" a="1"/>
  <c r="N390" i="5"/>
  <c r="O390" i="5" s="1"/>
  <c r="N391" i="5" a="1"/>
  <c r="N391" i="5"/>
  <c r="O391" i="5" s="1"/>
  <c r="N392" i="5" a="1"/>
  <c r="N392" i="5" s="1"/>
  <c r="O392" i="5" s="1"/>
  <c r="N393" i="5" a="1"/>
  <c r="N393" i="5" s="1"/>
  <c r="O393" i="5" s="1"/>
  <c r="N394" i="5" a="1"/>
  <c r="N394" i="5"/>
  <c r="O394" i="5" s="1"/>
  <c r="N395" i="5" a="1"/>
  <c r="N395" i="5" s="1"/>
  <c r="O395" i="5" s="1"/>
  <c r="N396" i="5" a="1"/>
  <c r="N396" i="5"/>
  <c r="O396" i="5" s="1"/>
  <c r="N397" i="5" a="1"/>
  <c r="N397" i="5" s="1"/>
  <c r="O397" i="5" s="1"/>
  <c r="N398" i="5" a="1"/>
  <c r="N398" i="5"/>
  <c r="O398" i="5" s="1"/>
  <c r="N399" i="5" a="1"/>
  <c r="N399" i="5" s="1"/>
  <c r="O399" i="5" s="1"/>
  <c r="N400" i="5" a="1"/>
  <c r="N400" i="5"/>
  <c r="O400" i="5" s="1"/>
  <c r="N401" i="5" a="1"/>
  <c r="N401" i="5" s="1"/>
  <c r="O401" i="5" s="1"/>
  <c r="N402" i="5" a="1"/>
  <c r="N402" i="5"/>
  <c r="O402" i="5" s="1"/>
  <c r="N403" i="5" a="1"/>
  <c r="N403" i="5" s="1"/>
  <c r="O403" i="5" s="1"/>
  <c r="N404" i="5" a="1"/>
  <c r="N404" i="5" s="1"/>
  <c r="O404" i="5" s="1"/>
  <c r="N405" i="5" a="1"/>
  <c r="N405" i="5" s="1"/>
  <c r="O405" i="5" s="1"/>
  <c r="N406" i="5" a="1"/>
  <c r="N406" i="5"/>
  <c r="O406" i="5" s="1"/>
  <c r="N407" i="5" a="1"/>
  <c r="N407" i="5" s="1"/>
  <c r="O407" i="5" s="1"/>
  <c r="N408" i="5" a="1"/>
  <c r="N408" i="5" s="1"/>
  <c r="O408" i="5" s="1"/>
  <c r="N409" i="5" a="1"/>
  <c r="N409" i="5" s="1"/>
  <c r="O409" i="5" s="1"/>
  <c r="N410" i="5" a="1"/>
  <c r="N410" i="5"/>
  <c r="O410" i="5" s="1"/>
  <c r="N411" i="5" a="1"/>
  <c r="N411" i="5"/>
  <c r="O411" i="5" s="1"/>
  <c r="N412" i="5" a="1"/>
  <c r="N412" i="5"/>
  <c r="O412" i="5" s="1"/>
  <c r="N413" i="5" a="1"/>
  <c r="N413" i="5" s="1"/>
  <c r="O413" i="5" s="1"/>
  <c r="N414" i="5" a="1"/>
  <c r="N414" i="5"/>
  <c r="O414" i="5" s="1"/>
  <c r="N415" i="5" a="1"/>
  <c r="N415" i="5" s="1"/>
  <c r="O415" i="5" s="1"/>
  <c r="N416" i="5" a="1"/>
  <c r="N416" i="5" s="1"/>
  <c r="O416" i="5" s="1"/>
  <c r="N417" i="5" a="1"/>
  <c r="N417" i="5" s="1"/>
  <c r="O417" i="5" s="1"/>
  <c r="N418" i="5" a="1"/>
  <c r="N418" i="5"/>
  <c r="O418" i="5" s="1"/>
  <c r="N419" i="5" a="1"/>
  <c r="N419" i="5"/>
  <c r="O419" i="5" s="1"/>
  <c r="N420" i="5" a="1"/>
  <c r="N420" i="5"/>
  <c r="O420" i="5" s="1"/>
  <c r="N421" i="5" a="1"/>
  <c r="N421" i="5" s="1"/>
  <c r="O421" i="5" s="1"/>
  <c r="N422" i="5" a="1"/>
  <c r="N422" i="5"/>
  <c r="O422" i="5" s="1"/>
  <c r="N423" i="5" a="1"/>
  <c r="N423" i="5" s="1"/>
  <c r="O423" i="5" s="1"/>
  <c r="N424" i="5" a="1"/>
  <c r="N424" i="5" s="1"/>
  <c r="O424" i="5" s="1"/>
  <c r="N425" i="5" a="1"/>
  <c r="N425" i="5" s="1"/>
  <c r="O425" i="5" s="1"/>
  <c r="N426" i="5" a="1"/>
  <c r="N426" i="5"/>
  <c r="O426" i="5" s="1"/>
  <c r="N427" i="5" a="1"/>
  <c r="N427" i="5" s="1"/>
  <c r="O427" i="5" s="1"/>
  <c r="N428" i="5" a="1"/>
  <c r="N428" i="5"/>
  <c r="O428" i="5" s="1"/>
  <c r="N429" i="5" a="1"/>
  <c r="N429" i="5" s="1"/>
  <c r="O429" i="5" s="1"/>
  <c r="N430" i="5" a="1"/>
  <c r="N430" i="5"/>
  <c r="O430" i="5" s="1"/>
  <c r="N431" i="5" a="1"/>
  <c r="N431" i="5" s="1"/>
  <c r="O431" i="5" s="1"/>
  <c r="N432" i="5" a="1"/>
  <c r="N432" i="5" s="1"/>
  <c r="O432" i="5" s="1"/>
  <c r="N433" i="5" a="1"/>
  <c r="N433" i="5" s="1"/>
  <c r="O433" i="5" s="1"/>
  <c r="N434" i="5" a="1"/>
  <c r="N434" i="5"/>
  <c r="O434" i="5" s="1"/>
  <c r="N435" i="5" a="1"/>
  <c r="N435" i="5"/>
  <c r="O435" i="5" s="1"/>
  <c r="N436" i="5" a="1"/>
  <c r="N436" i="5" s="1"/>
  <c r="O436" i="5" s="1"/>
  <c r="N437" i="5" a="1"/>
  <c r="N437" i="5" s="1"/>
  <c r="O437" i="5" s="1"/>
  <c r="N438" i="5" a="1"/>
  <c r="N438" i="5"/>
  <c r="O438" i="5" s="1"/>
  <c r="N439" i="5" a="1"/>
  <c r="N439" i="5" s="1"/>
  <c r="O439" i="5" s="1"/>
  <c r="N440" i="5" a="1"/>
  <c r="N440" i="5" s="1"/>
  <c r="O440" i="5" s="1"/>
  <c r="N441" i="5" a="1"/>
  <c r="N441" i="5" s="1"/>
  <c r="O441" i="5" s="1"/>
  <c r="N442" i="5" a="1"/>
  <c r="N442" i="5"/>
  <c r="O442" i="5" s="1"/>
  <c r="N443" i="5" a="1"/>
  <c r="N443" i="5"/>
  <c r="O443" i="5" s="1"/>
  <c r="N444" i="5" a="1"/>
  <c r="N444" i="5"/>
  <c r="O444" i="5" s="1"/>
  <c r="N445" i="5" a="1"/>
  <c r="N445" i="5" s="1"/>
  <c r="O445" i="5" s="1"/>
  <c r="N446" i="5" a="1"/>
  <c r="N446" i="5"/>
  <c r="O446" i="5" s="1"/>
  <c r="N447" i="5" a="1"/>
  <c r="N447" i="5" s="1"/>
  <c r="O447" i="5" s="1"/>
  <c r="N448" i="5" a="1"/>
  <c r="N448" i="5" s="1"/>
  <c r="O448" i="5" s="1"/>
  <c r="N449" i="5" a="1"/>
  <c r="N449" i="5" s="1"/>
  <c r="O449" i="5" s="1"/>
  <c r="N450" i="5" a="1"/>
  <c r="N450" i="5" s="1"/>
  <c r="O450" i="5" s="1"/>
  <c r="N451" i="5" a="1"/>
  <c r="N451" i="5"/>
  <c r="O451" i="5" s="1"/>
  <c r="N452" i="5" a="1"/>
  <c r="N452" i="5"/>
  <c r="O452" i="5" s="1"/>
  <c r="N453" i="5" a="1"/>
  <c r="N453" i="5" s="1"/>
  <c r="O453" i="5" s="1"/>
  <c r="N454" i="5" a="1"/>
  <c r="N454" i="5" s="1"/>
  <c r="O454" i="5" s="1"/>
  <c r="N455" i="5" a="1"/>
  <c r="N455" i="5" s="1"/>
  <c r="O455" i="5" s="1"/>
  <c r="N456" i="5" a="1"/>
  <c r="N456" i="5" s="1"/>
  <c r="O456" i="5" s="1"/>
  <c r="N457" i="5" a="1"/>
  <c r="N457" i="5" s="1"/>
  <c r="O457" i="5" s="1"/>
  <c r="N458" i="5" a="1"/>
  <c r="N458" i="5"/>
  <c r="O458" i="5" s="1"/>
  <c r="N459" i="5" a="1"/>
  <c r="N459" i="5" s="1"/>
  <c r="O459" i="5" s="1"/>
  <c r="N460" i="5" a="1"/>
  <c r="N460" i="5"/>
  <c r="O460" i="5" s="1"/>
  <c r="N461" i="5" a="1"/>
  <c r="N461" i="5" s="1"/>
  <c r="O461" i="5" s="1"/>
  <c r="N462" i="5" a="1"/>
  <c r="N462" i="5" s="1"/>
  <c r="O462" i="5" s="1"/>
  <c r="N463" i="5" a="1"/>
  <c r="N463" i="5" s="1"/>
  <c r="O463" i="5" s="1"/>
  <c r="N464" i="5" a="1"/>
  <c r="N464" i="5" s="1"/>
  <c r="O464" i="5" s="1"/>
  <c r="N465" i="5" a="1"/>
  <c r="N465" i="5" s="1"/>
  <c r="O465" i="5" s="1"/>
  <c r="N466" i="5" a="1"/>
  <c r="N466" i="5"/>
  <c r="O466" i="5" s="1"/>
  <c r="N467" i="5" a="1"/>
  <c r="N467" i="5"/>
  <c r="O467" i="5" s="1"/>
  <c r="N468" i="5" a="1"/>
  <c r="N468" i="5" s="1"/>
  <c r="O468" i="5" s="1"/>
  <c r="N469" i="5" a="1"/>
  <c r="N469" i="5" s="1"/>
  <c r="O469" i="5" s="1"/>
  <c r="N470" i="5" a="1"/>
  <c r="N470" i="5" s="1"/>
  <c r="O470" i="5" s="1"/>
  <c r="N471" i="5" a="1"/>
  <c r="N471" i="5" s="1"/>
  <c r="O471" i="5" s="1"/>
  <c r="N472" i="5" a="1"/>
  <c r="N472" i="5" s="1"/>
  <c r="O472" i="5" s="1"/>
  <c r="N473" i="5" a="1"/>
  <c r="N473" i="5" s="1"/>
  <c r="O473" i="5" s="1"/>
  <c r="N474" i="5" a="1"/>
  <c r="N474" i="5"/>
  <c r="O474" i="5" s="1"/>
  <c r="N475" i="5" a="1"/>
  <c r="N475" i="5"/>
  <c r="O475" i="5" s="1"/>
  <c r="N476" i="5" a="1"/>
  <c r="N476" i="5"/>
  <c r="O476" i="5" s="1"/>
  <c r="N477" i="5" a="1"/>
  <c r="N477" i="5" s="1"/>
  <c r="O477" i="5" s="1"/>
  <c r="N478" i="5" a="1"/>
  <c r="N478" i="5" s="1"/>
  <c r="O478" i="5" s="1"/>
  <c r="N479" i="5" a="1"/>
  <c r="N479" i="5" s="1"/>
  <c r="O479" i="5" s="1"/>
  <c r="N480" i="5" a="1"/>
  <c r="N480" i="5" s="1"/>
  <c r="O480" i="5" s="1"/>
  <c r="N481" i="5" a="1"/>
  <c r="N481" i="5" s="1"/>
  <c r="O481" i="5" s="1"/>
  <c r="N482" i="5" a="1"/>
  <c r="N482" i="5" s="1"/>
  <c r="O482" i="5" s="1"/>
  <c r="N483" i="5" a="1"/>
  <c r="N483" i="5"/>
  <c r="O483" i="5" s="1"/>
  <c r="N484" i="5" a="1"/>
  <c r="N484" i="5"/>
  <c r="O484" i="5" s="1"/>
  <c r="N485" i="5" a="1"/>
  <c r="N485" i="5" s="1"/>
  <c r="O485" i="5" s="1"/>
  <c r="N486" i="5" a="1"/>
  <c r="N486" i="5" s="1"/>
  <c r="O486" i="5" s="1"/>
  <c r="N487" i="5" a="1"/>
  <c r="N487" i="5" s="1"/>
  <c r="O487" i="5" s="1"/>
  <c r="N488" i="5" a="1"/>
  <c r="N488" i="5" s="1"/>
  <c r="O488" i="5" s="1"/>
  <c r="N489" i="5" a="1"/>
  <c r="N489" i="5" s="1"/>
  <c r="O489" i="5" s="1"/>
  <c r="N490" i="5" a="1"/>
  <c r="N490" i="5"/>
  <c r="O490" i="5" s="1"/>
  <c r="N491" i="5" a="1"/>
  <c r="N491" i="5" s="1"/>
  <c r="O491" i="5" s="1"/>
  <c r="N492" i="5" a="1"/>
  <c r="N492" i="5"/>
  <c r="O492" i="5" s="1"/>
  <c r="N493" i="5" a="1"/>
  <c r="N493" i="5" s="1"/>
  <c r="O493" i="5" s="1"/>
  <c r="N494" i="5" a="1"/>
  <c r="N494" i="5" s="1"/>
  <c r="O494" i="5" s="1"/>
  <c r="N495" i="5" a="1"/>
  <c r="N495" i="5" s="1"/>
  <c r="O495" i="5" s="1"/>
  <c r="N496" i="5" a="1"/>
  <c r="N496" i="5" s="1"/>
  <c r="O496" i="5" s="1"/>
  <c r="N497" i="5" a="1"/>
  <c r="N497" i="5" s="1"/>
  <c r="O497" i="5" s="1"/>
  <c r="N498" i="5" a="1"/>
  <c r="N498" i="5"/>
  <c r="O498" i="5" s="1"/>
  <c r="N499" i="5" a="1"/>
  <c r="N499" i="5"/>
  <c r="O499" i="5" s="1"/>
  <c r="N500" i="5" a="1"/>
  <c r="N500" i="5" s="1"/>
  <c r="O500" i="5" s="1"/>
  <c r="N501" i="5" a="1"/>
  <c r="N501" i="5" s="1"/>
  <c r="O501" i="5" s="1"/>
  <c r="N502" i="5" a="1"/>
  <c r="N502" i="5" s="1"/>
  <c r="O502" i="5" s="1"/>
  <c r="N503" i="5" a="1"/>
  <c r="N503" i="5" s="1"/>
  <c r="O503" i="5" s="1"/>
  <c r="N504" i="5" a="1"/>
  <c r="N504" i="5" s="1"/>
  <c r="O504" i="5" s="1"/>
  <c r="N505" i="5" a="1"/>
  <c r="N505" i="5" s="1"/>
  <c r="O505" i="5" s="1"/>
  <c r="N506" i="5" a="1"/>
  <c r="N506" i="5"/>
  <c r="O506" i="5" s="1"/>
  <c r="N507" i="5" a="1"/>
  <c r="N507" i="5"/>
  <c r="O507" i="5" s="1"/>
  <c r="N508" i="5" a="1"/>
  <c r="N508" i="5"/>
  <c r="O508" i="5" s="1"/>
  <c r="N509" i="5" a="1"/>
  <c r="N509" i="5" s="1"/>
  <c r="O509" i="5" s="1"/>
  <c r="N510" i="5" a="1"/>
  <c r="N510" i="5" s="1"/>
  <c r="O510" i="5" s="1"/>
  <c r="N511" i="5" a="1"/>
  <c r="N511" i="5" s="1"/>
  <c r="O511" i="5" s="1"/>
  <c r="N512" i="5" a="1"/>
  <c r="N512" i="5" s="1"/>
  <c r="O512" i="5" s="1"/>
  <c r="N513" i="5" a="1"/>
  <c r="N513" i="5" s="1"/>
  <c r="O513" i="5" s="1"/>
  <c r="N514" i="5" a="1"/>
  <c r="N514" i="5"/>
  <c r="O514" i="5" s="1"/>
  <c r="N515" i="5" a="1"/>
  <c r="N515" i="5"/>
  <c r="O515" i="5" s="1"/>
  <c r="N516" i="5" a="1"/>
  <c r="N516" i="5"/>
  <c r="O516" i="5" s="1"/>
  <c r="N517" i="5" a="1"/>
  <c r="N517" i="5" s="1"/>
  <c r="O517" i="5" s="1"/>
  <c r="N518" i="5" a="1"/>
  <c r="N518" i="5" s="1"/>
  <c r="O518" i="5" s="1"/>
  <c r="N519" i="5" a="1"/>
  <c r="N519" i="5" s="1"/>
  <c r="O519" i="5" s="1"/>
  <c r="N520" i="5" a="1"/>
  <c r="N520" i="5" s="1"/>
  <c r="O520" i="5" s="1"/>
  <c r="N521" i="5" a="1"/>
  <c r="N521" i="5" s="1"/>
  <c r="O521" i="5" s="1"/>
  <c r="N522" i="5" a="1"/>
  <c r="N522" i="5"/>
  <c r="O522" i="5" s="1"/>
  <c r="N523" i="5" a="1"/>
  <c r="N523" i="5"/>
  <c r="O523" i="5" s="1"/>
  <c r="N524" i="5" a="1"/>
  <c r="N524" i="5"/>
  <c r="O524" i="5" s="1"/>
  <c r="N525" i="5" a="1"/>
  <c r="N525" i="5" s="1"/>
  <c r="O525" i="5" s="1"/>
  <c r="N526" i="5" a="1"/>
  <c r="N526" i="5" s="1"/>
  <c r="O526" i="5" s="1"/>
  <c r="N527" i="5" a="1"/>
  <c r="N527" i="5" s="1"/>
  <c r="O527" i="5" s="1"/>
  <c r="N528" i="5" a="1"/>
  <c r="N528" i="5" s="1"/>
  <c r="O528" i="5" s="1"/>
  <c r="N529" i="5" a="1"/>
  <c r="N529" i="5" s="1"/>
  <c r="O529" i="5" s="1"/>
  <c r="N530" i="5" a="1"/>
  <c r="N530" i="5"/>
  <c r="O530" i="5" s="1"/>
  <c r="N531" i="5" a="1"/>
  <c r="N531" i="5"/>
  <c r="O531" i="5" s="1"/>
  <c r="N532" i="5" a="1"/>
  <c r="N532" i="5"/>
  <c r="O532" i="5" s="1"/>
  <c r="N533" i="5" a="1"/>
  <c r="N533" i="5" s="1"/>
  <c r="O533" i="5" s="1"/>
  <c r="N534" i="5" a="1"/>
  <c r="N534" i="5" s="1"/>
  <c r="O534" i="5" s="1"/>
  <c r="N535" i="5" a="1"/>
  <c r="N535" i="5" s="1"/>
  <c r="O535" i="5" s="1"/>
  <c r="N536" i="5" a="1"/>
  <c r="N536" i="5" s="1"/>
  <c r="O536" i="5" s="1"/>
  <c r="N537" i="5" a="1"/>
  <c r="N537" i="5" s="1"/>
  <c r="O537" i="5" s="1"/>
  <c r="N538" i="5" a="1"/>
  <c r="N538" i="5"/>
  <c r="O538" i="5" s="1"/>
  <c r="N539" i="5" a="1"/>
  <c r="N539" i="5"/>
  <c r="O539" i="5" s="1"/>
  <c r="N540" i="5" a="1"/>
  <c r="N540" i="5"/>
  <c r="O540" i="5" s="1"/>
  <c r="N541" i="5" a="1"/>
  <c r="N541" i="5" s="1"/>
  <c r="O541" i="5" s="1"/>
  <c r="N542" i="5" a="1"/>
  <c r="N542" i="5" s="1"/>
  <c r="O542" i="5" s="1"/>
  <c r="N543" i="5" a="1"/>
  <c r="N543" i="5" s="1"/>
  <c r="O543" i="5" s="1"/>
  <c r="N544" i="5" a="1"/>
  <c r="N544" i="5" s="1"/>
  <c r="O544" i="5" s="1"/>
  <c r="N545" i="5" a="1"/>
  <c r="N545" i="5" s="1"/>
  <c r="O545" i="5" s="1"/>
  <c r="N546" i="5" a="1"/>
  <c r="N546" i="5"/>
  <c r="O546" i="5" s="1"/>
  <c r="N547" i="5" a="1"/>
  <c r="N547" i="5"/>
  <c r="O547" i="5" s="1"/>
  <c r="N548" i="5" a="1"/>
  <c r="N548" i="5"/>
  <c r="O548" i="5" s="1"/>
  <c r="N549" i="5" a="1"/>
  <c r="N549" i="5" s="1"/>
  <c r="O549" i="5" s="1"/>
  <c r="N550" i="5" a="1"/>
  <c r="N550" i="5" s="1"/>
  <c r="O550" i="5" s="1"/>
  <c r="N551" i="5" a="1"/>
  <c r="N551" i="5" s="1"/>
  <c r="O551" i="5" s="1"/>
  <c r="N552" i="5" a="1"/>
  <c r="N552" i="5" s="1"/>
  <c r="O552" i="5" s="1"/>
  <c r="N553" i="5" a="1"/>
  <c r="N553" i="5" s="1"/>
  <c r="O553" i="5" s="1"/>
  <c r="N554" i="5" a="1"/>
  <c r="N554" i="5"/>
  <c r="O554" i="5" s="1"/>
  <c r="N555" i="5" a="1"/>
  <c r="N555" i="5"/>
  <c r="O555" i="5" s="1"/>
  <c r="N556" i="5" a="1"/>
  <c r="N556" i="5"/>
  <c r="O556" i="5" s="1"/>
  <c r="N557" i="5" a="1"/>
  <c r="N557" i="5" s="1"/>
  <c r="O557" i="5" s="1"/>
  <c r="N558" i="5" a="1"/>
  <c r="N558" i="5" s="1"/>
  <c r="O558" i="5" s="1"/>
  <c r="N559" i="5" a="1"/>
  <c r="N559" i="5" s="1"/>
  <c r="O559" i="5" s="1"/>
  <c r="N560" i="5" a="1"/>
  <c r="N560" i="5" s="1"/>
  <c r="O560" i="5" s="1"/>
  <c r="N561" i="5" a="1"/>
  <c r="N561" i="5" s="1"/>
  <c r="O561" i="5" s="1"/>
  <c r="N562" i="5" a="1"/>
  <c r="N562" i="5"/>
  <c r="O562" i="5" s="1"/>
  <c r="N563" i="5" a="1"/>
  <c r="N563" i="5"/>
  <c r="O563" i="5" s="1"/>
  <c r="N564" i="5" a="1"/>
  <c r="N564" i="5"/>
  <c r="O564" i="5" s="1"/>
  <c r="N565" i="5" a="1"/>
  <c r="N565" i="5" s="1"/>
  <c r="O565" i="5" s="1"/>
  <c r="N566" i="5" a="1"/>
  <c r="N566" i="5" s="1"/>
  <c r="O566" i="5" s="1"/>
  <c r="N567" i="5" a="1"/>
  <c r="N567" i="5" s="1"/>
  <c r="O567" i="5" s="1"/>
  <c r="N568" i="5" a="1"/>
  <c r="N568" i="5" s="1"/>
  <c r="O568" i="5" s="1"/>
  <c r="N569" i="5" a="1"/>
  <c r="N569" i="5" s="1"/>
  <c r="O569" i="5" s="1"/>
  <c r="N570" i="5" a="1"/>
  <c r="N570" i="5"/>
  <c r="O570" i="5" s="1"/>
  <c r="N571" i="5" a="1"/>
  <c r="N571" i="5"/>
  <c r="O571" i="5" s="1"/>
  <c r="N572" i="5" a="1"/>
  <c r="N572" i="5"/>
  <c r="O572" i="5" s="1"/>
  <c r="N573" i="5" a="1"/>
  <c r="N573" i="5" s="1"/>
  <c r="O573" i="5" s="1"/>
  <c r="N574" i="5" a="1"/>
  <c r="N574" i="5" s="1"/>
  <c r="O574" i="5" s="1"/>
  <c r="N575" i="5" a="1"/>
  <c r="N575" i="5" s="1"/>
  <c r="O575" i="5" s="1"/>
  <c r="N576" i="5" a="1"/>
  <c r="N576" i="5" s="1"/>
  <c r="O576" i="5" s="1"/>
  <c r="N577" i="5" a="1"/>
  <c r="N577" i="5" s="1"/>
  <c r="O577" i="5" s="1"/>
  <c r="N578" i="5" a="1"/>
  <c r="N578" i="5"/>
  <c r="O578" i="5" s="1"/>
  <c r="N579" i="5" a="1"/>
  <c r="N579" i="5"/>
  <c r="O579" i="5" s="1"/>
  <c r="N580" i="5" a="1"/>
  <c r="N580" i="5"/>
  <c r="O580" i="5" s="1"/>
  <c r="N581" i="5" a="1"/>
  <c r="N581" i="5" s="1"/>
  <c r="O581" i="5" s="1"/>
  <c r="N582" i="5" a="1"/>
  <c r="N582" i="5" s="1"/>
  <c r="O582" i="5" s="1"/>
  <c r="N583" i="5" a="1"/>
  <c r="N583" i="5" s="1"/>
  <c r="O583" i="5" s="1"/>
  <c r="N584" i="5" a="1"/>
  <c r="N584" i="5" s="1"/>
  <c r="O584" i="5" s="1"/>
  <c r="N585" i="5" a="1"/>
  <c r="N585" i="5" s="1"/>
  <c r="O585" i="5" s="1"/>
  <c r="N586" i="5" a="1"/>
  <c r="N586" i="5"/>
  <c r="O586" i="5" s="1"/>
  <c r="N587" i="5" a="1"/>
  <c r="N587" i="5"/>
  <c r="O587" i="5" s="1"/>
  <c r="N588" i="5" a="1"/>
  <c r="N588" i="5"/>
  <c r="O588" i="5" s="1"/>
  <c r="N589" i="5" a="1"/>
  <c r="N589" i="5" s="1"/>
  <c r="O589" i="5" s="1"/>
  <c r="N590" i="5" a="1"/>
  <c r="N590" i="5" s="1"/>
  <c r="O590" i="5" s="1"/>
  <c r="N591" i="5" a="1"/>
  <c r="N591" i="5" s="1"/>
  <c r="O591" i="5" s="1"/>
  <c r="N592" i="5" a="1"/>
  <c r="N592" i="5" s="1"/>
  <c r="O592" i="5" s="1"/>
  <c r="N593" i="5" a="1"/>
  <c r="N593" i="5" s="1"/>
  <c r="O593" i="5" s="1"/>
  <c r="N594" i="5" a="1"/>
  <c r="N594" i="5"/>
  <c r="O594" i="5" s="1"/>
  <c r="N595" i="5" a="1"/>
  <c r="N595" i="5"/>
  <c r="O595" i="5" s="1"/>
  <c r="N596" i="5" a="1"/>
  <c r="N596" i="5"/>
  <c r="O596" i="5" s="1"/>
  <c r="N597" i="5" a="1"/>
  <c r="N597" i="5" s="1"/>
  <c r="O597" i="5" s="1"/>
  <c r="N598" i="5" a="1"/>
  <c r="N598" i="5" s="1"/>
  <c r="O598" i="5" s="1"/>
  <c r="N599" i="5" a="1"/>
  <c r="N599" i="5" s="1"/>
  <c r="O599" i="5" s="1"/>
  <c r="N600" i="5" a="1"/>
  <c r="N600" i="5" s="1"/>
  <c r="O600" i="5" s="1"/>
  <c r="N601" i="5" a="1"/>
  <c r="N601" i="5" s="1"/>
  <c r="O601" i="5" s="1"/>
  <c r="N602" i="5" a="1"/>
  <c r="N602" i="5"/>
  <c r="O602" i="5" s="1"/>
  <c r="N603" i="5" a="1"/>
  <c r="N603" i="5"/>
  <c r="O603" i="5" s="1"/>
  <c r="N604" i="5" a="1"/>
  <c r="N604" i="5"/>
  <c r="O604" i="5" s="1"/>
  <c r="N605" i="5" a="1"/>
  <c r="N605" i="5" s="1"/>
  <c r="O605" i="5" s="1"/>
  <c r="N606" i="5" a="1"/>
  <c r="N606" i="5" s="1"/>
  <c r="O606" i="5" s="1"/>
  <c r="N607" i="5" a="1"/>
  <c r="N607" i="5" s="1"/>
  <c r="O607" i="5" s="1"/>
  <c r="N608" i="5" a="1"/>
  <c r="N608" i="5" s="1"/>
  <c r="O608" i="5" s="1"/>
  <c r="N609" i="5" a="1"/>
  <c r="N609" i="5" s="1"/>
  <c r="O609" i="5" s="1"/>
  <c r="N610" i="5" a="1"/>
  <c r="N610" i="5"/>
  <c r="O610" i="5" s="1"/>
  <c r="N611" i="5" a="1"/>
  <c r="N611" i="5"/>
  <c r="O611" i="5" s="1"/>
  <c r="N612" i="5" a="1"/>
  <c r="N612" i="5"/>
  <c r="O612" i="5" s="1"/>
  <c r="N613" i="5" a="1"/>
  <c r="N613" i="5" s="1"/>
  <c r="O613" i="5" s="1"/>
  <c r="N614" i="5" a="1"/>
  <c r="N614" i="5" s="1"/>
  <c r="O614" i="5" s="1"/>
  <c r="N615" i="5" a="1"/>
  <c r="N615" i="5" s="1"/>
  <c r="O615" i="5" s="1"/>
  <c r="N616" i="5" a="1"/>
  <c r="N616" i="5" s="1"/>
  <c r="O616" i="5" s="1"/>
  <c r="N617" i="5" a="1"/>
  <c r="N617" i="5" s="1"/>
  <c r="O617" i="5" s="1"/>
  <c r="N618" i="5" a="1"/>
  <c r="N618" i="5"/>
  <c r="O618" i="5" s="1"/>
  <c r="N619" i="5" a="1"/>
  <c r="N619" i="5"/>
  <c r="O619" i="5" s="1"/>
  <c r="N620" i="5" a="1"/>
  <c r="N620" i="5"/>
  <c r="O620" i="5" s="1"/>
  <c r="N621" i="5" a="1"/>
  <c r="N621" i="5" s="1"/>
  <c r="O621" i="5" s="1"/>
  <c r="N622" i="5" a="1"/>
  <c r="N622" i="5" s="1"/>
  <c r="O622" i="5" s="1"/>
  <c r="N623" i="5" a="1"/>
  <c r="N623" i="5" s="1"/>
  <c r="O623" i="5" s="1"/>
  <c r="N624" i="5" a="1"/>
  <c r="N624" i="5" s="1"/>
  <c r="O624" i="5" s="1"/>
  <c r="N625" i="5" a="1"/>
  <c r="N625" i="5" s="1"/>
  <c r="O625" i="5" s="1"/>
  <c r="N626" i="5" a="1"/>
  <c r="N626" i="5"/>
  <c r="O626" i="5" s="1"/>
  <c r="N627" i="5" a="1"/>
  <c r="N627" i="5"/>
  <c r="O627" i="5" s="1"/>
  <c r="N628" i="5" a="1"/>
  <c r="N628" i="5"/>
  <c r="O628" i="5" s="1"/>
  <c r="N629" i="5" a="1"/>
  <c r="N629" i="5" s="1"/>
  <c r="O629" i="5" s="1"/>
  <c r="N630" i="5" a="1"/>
  <c r="N630" i="5" s="1"/>
  <c r="O630" i="5" s="1"/>
  <c r="N631" i="5" a="1"/>
  <c r="N631" i="5" s="1"/>
  <c r="O631" i="5" s="1"/>
  <c r="N632" i="5" a="1"/>
  <c r="N632" i="5" s="1"/>
  <c r="O632" i="5" s="1"/>
  <c r="N633" i="5" a="1"/>
  <c r="N633" i="5" s="1"/>
  <c r="O633" i="5" s="1"/>
  <c r="N634" i="5" a="1"/>
  <c r="N634" i="5"/>
  <c r="O634" i="5" s="1"/>
  <c r="N635" i="5" a="1"/>
  <c r="N635" i="5"/>
  <c r="O635" i="5" s="1"/>
  <c r="N636" i="5" a="1"/>
  <c r="N636" i="5"/>
  <c r="O636" i="5" s="1"/>
  <c r="N637" i="5" a="1"/>
  <c r="N637" i="5" s="1"/>
  <c r="O637" i="5" s="1"/>
  <c r="N638" i="5" a="1"/>
  <c r="N638" i="5" s="1"/>
  <c r="O638" i="5" s="1"/>
  <c r="N639" i="5" a="1"/>
  <c r="N639" i="5" s="1"/>
  <c r="O639" i="5" s="1"/>
  <c r="N640" i="5" a="1"/>
  <c r="N640" i="5" s="1"/>
  <c r="O640" i="5" s="1"/>
  <c r="N641" i="5" a="1"/>
  <c r="N641" i="5" s="1"/>
  <c r="O641" i="5" s="1"/>
  <c r="N642" i="5" a="1"/>
  <c r="N642" i="5"/>
  <c r="O642" i="5" s="1"/>
  <c r="N643" i="5" a="1"/>
  <c r="N643" i="5"/>
  <c r="O643" i="5" s="1"/>
  <c r="N644" i="5" a="1"/>
  <c r="N644" i="5"/>
  <c r="O644" i="5" s="1"/>
  <c r="N645" i="5" a="1"/>
  <c r="N645" i="5" s="1"/>
  <c r="O645" i="5" s="1"/>
  <c r="N646" i="5" a="1"/>
  <c r="N646" i="5" s="1"/>
  <c r="O646" i="5" s="1"/>
  <c r="N647" i="5" a="1"/>
  <c r="N647" i="5" s="1"/>
  <c r="O647" i="5" s="1"/>
  <c r="N648" i="5" a="1"/>
  <c r="N648" i="5" s="1"/>
  <c r="O648" i="5" s="1"/>
  <c r="N649" i="5" a="1"/>
  <c r="N649" i="5" s="1"/>
  <c r="O649" i="5" s="1"/>
  <c r="N650" i="5" a="1"/>
  <c r="N650" i="5"/>
  <c r="O650" i="5" s="1"/>
  <c r="N651" i="5" a="1"/>
  <c r="N651" i="5"/>
  <c r="O651" i="5" s="1"/>
  <c r="N652" i="5" a="1"/>
  <c r="N652" i="5"/>
  <c r="O652" i="5" s="1"/>
  <c r="N653" i="5" a="1"/>
  <c r="N653" i="5" s="1"/>
  <c r="O653" i="5" s="1"/>
  <c r="N654" i="5" a="1"/>
  <c r="N654" i="5" s="1"/>
  <c r="O654" i="5" s="1"/>
  <c r="N655" i="5" a="1"/>
  <c r="N655" i="5" s="1"/>
  <c r="O655" i="5" s="1"/>
  <c r="N656" i="5" a="1"/>
  <c r="N656" i="5" s="1"/>
  <c r="O656" i="5" s="1"/>
  <c r="N657" i="5" a="1"/>
  <c r="N657" i="5" s="1"/>
  <c r="O657" i="5" s="1"/>
  <c r="N658" i="5" a="1"/>
  <c r="N658" i="5"/>
  <c r="O658" i="5" s="1"/>
  <c r="N659" i="5" a="1"/>
  <c r="N659" i="5"/>
  <c r="O659" i="5" s="1"/>
  <c r="N660" i="5" a="1"/>
  <c r="N660" i="5"/>
  <c r="O660" i="5" s="1"/>
  <c r="N661" i="5" a="1"/>
  <c r="N661" i="5"/>
  <c r="O661" i="5" s="1"/>
  <c r="N662" i="5" a="1"/>
  <c r="N662" i="5"/>
  <c r="O662" i="5" s="1"/>
  <c r="N663" i="5" a="1"/>
  <c r="N663" i="5"/>
  <c r="O663" i="5" s="1"/>
  <c r="N664" i="5" a="1"/>
  <c r="N664" i="5"/>
  <c r="O664" i="5" s="1"/>
  <c r="N665" i="5" a="1"/>
  <c r="N665" i="5"/>
  <c r="O665" i="5" s="1"/>
  <c r="N666" i="5" a="1"/>
  <c r="N666" i="5"/>
  <c r="O666" i="5" s="1"/>
  <c r="N667" i="5" a="1"/>
  <c r="N667" i="5"/>
  <c r="O667" i="5" s="1"/>
  <c r="N668" i="5" a="1"/>
  <c r="N668" i="5"/>
  <c r="O668" i="5" s="1"/>
  <c r="N669" i="5" a="1"/>
  <c r="N669" i="5"/>
  <c r="O669" i="5" s="1"/>
  <c r="N670" i="5" a="1"/>
  <c r="N670" i="5"/>
  <c r="O670" i="5" s="1"/>
  <c r="N671" i="5" a="1"/>
  <c r="N671" i="5"/>
  <c r="O671" i="5" s="1"/>
  <c r="N672" i="5" a="1"/>
  <c r="N672" i="5"/>
  <c r="O672" i="5" s="1"/>
  <c r="N673" i="5" a="1"/>
  <c r="N673" i="5"/>
  <c r="O673" i="5" s="1"/>
  <c r="N674" i="5" a="1"/>
  <c r="N674" i="5"/>
  <c r="O674" i="5" s="1"/>
  <c r="N675" i="5" a="1"/>
  <c r="N675" i="5"/>
  <c r="O675" i="5" s="1"/>
  <c r="N676" i="5" a="1"/>
  <c r="N676" i="5"/>
  <c r="O676" i="5" s="1"/>
  <c r="N677" i="5" a="1"/>
  <c r="N677" i="5"/>
  <c r="O677" i="5" s="1"/>
  <c r="N678" i="5" a="1"/>
  <c r="N678" i="5"/>
  <c r="O678" i="5" s="1"/>
  <c r="N679" i="5" a="1"/>
  <c r="N679" i="5"/>
  <c r="O679" i="5" s="1"/>
  <c r="N680" i="5" a="1"/>
  <c r="N680" i="5"/>
  <c r="O680" i="5" s="1"/>
  <c r="N681" i="5" a="1"/>
  <c r="N681" i="5"/>
  <c r="O681" i="5" s="1"/>
  <c r="N682" i="5" a="1"/>
  <c r="N682" i="5"/>
  <c r="O682" i="5" s="1"/>
  <c r="N683" i="5" a="1"/>
  <c r="N683" i="5"/>
  <c r="O683" i="5" s="1"/>
  <c r="N684" i="5" a="1"/>
  <c r="N684" i="5"/>
  <c r="O684" i="5" s="1"/>
  <c r="N685" i="5" a="1"/>
  <c r="N685" i="5"/>
  <c r="O685" i="5" s="1"/>
  <c r="N686" i="5" a="1"/>
  <c r="N686" i="5"/>
  <c r="O686" i="5" s="1"/>
  <c r="N687" i="5" a="1"/>
  <c r="N687" i="5"/>
  <c r="O687" i="5" s="1"/>
  <c r="N688" i="5" a="1"/>
  <c r="N688" i="5"/>
  <c r="O688" i="5" s="1"/>
  <c r="N689" i="5" a="1"/>
  <c r="N689" i="5"/>
  <c r="O689" i="5" s="1"/>
  <c r="N690" i="5" a="1"/>
  <c r="N690" i="5"/>
  <c r="O690" i="5" s="1"/>
  <c r="N691" i="5" a="1"/>
  <c r="N691" i="5"/>
  <c r="O691" i="5" s="1"/>
  <c r="N692" i="5" a="1"/>
  <c r="N692" i="5"/>
  <c r="O692" i="5" s="1"/>
  <c r="N693" i="5" a="1"/>
  <c r="N693" i="5"/>
  <c r="O693" i="5" s="1"/>
  <c r="N694" i="5" a="1"/>
  <c r="N694" i="5"/>
  <c r="O694" i="5" s="1"/>
  <c r="N695" i="5" a="1"/>
  <c r="N695" i="5"/>
  <c r="O695" i="5" s="1"/>
  <c r="N696" i="5" a="1"/>
  <c r="N696" i="5"/>
  <c r="O696" i="5" s="1"/>
  <c r="N697" i="5" a="1"/>
  <c r="N697" i="5"/>
  <c r="O697" i="5" s="1"/>
  <c r="N698" i="5" a="1"/>
  <c r="N698" i="5"/>
  <c r="O698" i="5" s="1"/>
  <c r="N699" i="5" a="1"/>
  <c r="N699" i="5"/>
  <c r="O699" i="5" s="1"/>
  <c r="N700" i="5" a="1"/>
  <c r="N700" i="5"/>
  <c r="O700" i="5" s="1"/>
  <c r="N701" i="5" a="1"/>
  <c r="N701" i="5"/>
  <c r="O701" i="5" s="1"/>
  <c r="N702" i="5" a="1"/>
  <c r="N702" i="5"/>
  <c r="O702" i="5" s="1"/>
  <c r="N703" i="5" a="1"/>
  <c r="N703" i="5"/>
  <c r="O703" i="5" s="1"/>
  <c r="N704" i="5" a="1"/>
  <c r="N704" i="5"/>
  <c r="O704" i="5" s="1"/>
  <c r="N705" i="5" a="1"/>
  <c r="N705" i="5"/>
  <c r="O705" i="5" s="1"/>
  <c r="N706" i="5" a="1"/>
  <c r="N706" i="5"/>
  <c r="O706" i="5" s="1"/>
  <c r="N707" i="5" a="1"/>
  <c r="N707" i="5"/>
  <c r="O707" i="5" s="1"/>
  <c r="N708" i="5" a="1"/>
  <c r="N708" i="5"/>
  <c r="O708" i="5" s="1"/>
  <c r="N709" i="5" a="1"/>
  <c r="N709" i="5"/>
  <c r="O709" i="5" s="1"/>
  <c r="N710" i="5" a="1"/>
  <c r="N710" i="5"/>
  <c r="O710" i="5" s="1"/>
  <c r="N711" i="5" a="1"/>
  <c r="N711" i="5"/>
  <c r="O711" i="5" s="1"/>
  <c r="N712" i="5" a="1"/>
  <c r="N712" i="5"/>
  <c r="O712" i="5" s="1"/>
  <c r="N713" i="5" a="1"/>
  <c r="N713" i="5"/>
  <c r="O713" i="5" s="1"/>
  <c r="N714" i="5" a="1"/>
  <c r="N714" i="5"/>
  <c r="O714" i="5" s="1"/>
  <c r="N715" i="5" a="1"/>
  <c r="N715" i="5"/>
  <c r="O715" i="5" s="1"/>
  <c r="N716" i="5" a="1"/>
  <c r="N716" i="5"/>
  <c r="O716" i="5" s="1"/>
  <c r="N717" i="5" a="1"/>
  <c r="N717" i="5"/>
  <c r="O717" i="5" s="1"/>
  <c r="N718" i="5" a="1"/>
  <c r="N718" i="5"/>
  <c r="O718" i="5" s="1"/>
  <c r="N719" i="5" a="1"/>
  <c r="N719" i="5"/>
  <c r="O719" i="5" s="1"/>
  <c r="N720" i="5" a="1"/>
  <c r="N720" i="5"/>
  <c r="O720" i="5" s="1"/>
  <c r="N721" i="5" a="1"/>
  <c r="N721" i="5"/>
  <c r="O721" i="5" s="1"/>
  <c r="N722" i="5" a="1"/>
  <c r="N722" i="5"/>
  <c r="O722" i="5" s="1"/>
  <c r="N723" i="5" a="1"/>
  <c r="N723" i="5"/>
  <c r="O723" i="5" s="1"/>
  <c r="N724" i="5" a="1"/>
  <c r="N724" i="5"/>
  <c r="O724" i="5" s="1"/>
  <c r="N725" i="5" a="1"/>
  <c r="N725" i="5"/>
  <c r="O725" i="5" s="1"/>
  <c r="N726" i="5" a="1"/>
  <c r="N726" i="5"/>
  <c r="O726" i="5" s="1"/>
  <c r="N727" i="5" a="1"/>
  <c r="N727" i="5"/>
  <c r="O727" i="5" s="1"/>
  <c r="N728" i="5" a="1"/>
  <c r="N728" i="5"/>
  <c r="O728" i="5" s="1"/>
  <c r="N729" i="5" a="1"/>
  <c r="N729" i="5"/>
  <c r="O729" i="5" s="1"/>
  <c r="N730" i="5" a="1"/>
  <c r="N730" i="5"/>
  <c r="O730" i="5" s="1"/>
  <c r="N731" i="5" a="1"/>
  <c r="N731" i="5"/>
  <c r="O731" i="5" s="1"/>
  <c r="N732" i="5" a="1"/>
  <c r="N732" i="5"/>
  <c r="O732" i="5" s="1"/>
  <c r="N733" i="5" a="1"/>
  <c r="N733" i="5"/>
  <c r="O733" i="5" s="1"/>
  <c r="N734" i="5" a="1"/>
  <c r="N734" i="5"/>
  <c r="O734" i="5" s="1"/>
  <c r="N735" i="5" a="1"/>
  <c r="N735" i="5"/>
  <c r="O735" i="5" s="1"/>
  <c r="N736" i="5" a="1"/>
  <c r="N736" i="5"/>
  <c r="O736" i="5" s="1"/>
  <c r="N737" i="5" a="1"/>
  <c r="N737" i="5"/>
  <c r="O737" i="5" s="1"/>
  <c r="N738" i="5" a="1"/>
  <c r="N738" i="5"/>
  <c r="O738" i="5" s="1"/>
  <c r="N739" i="5" a="1"/>
  <c r="N739" i="5"/>
  <c r="O739" i="5" s="1"/>
  <c r="N740" i="5" a="1"/>
  <c r="N740" i="5"/>
  <c r="O740" i="5" s="1"/>
  <c r="N741" i="5" a="1"/>
  <c r="N741" i="5"/>
  <c r="O741" i="5" s="1"/>
  <c r="N742" i="5" a="1"/>
  <c r="N742" i="5"/>
  <c r="O742" i="5" s="1"/>
  <c r="N743" i="5" a="1"/>
  <c r="N743" i="5"/>
  <c r="O743" i="5" s="1"/>
  <c r="N744" i="5" a="1"/>
  <c r="N744" i="5"/>
  <c r="O744" i="5" s="1"/>
  <c r="N745" i="5" a="1"/>
  <c r="N745" i="5"/>
  <c r="O745" i="5" s="1"/>
  <c r="N746" i="5" a="1"/>
  <c r="N746" i="5"/>
  <c r="O746" i="5" s="1"/>
  <c r="N747" i="5" a="1"/>
  <c r="N747" i="5"/>
  <c r="O747" i="5" s="1"/>
  <c r="N748" i="5" a="1"/>
  <c r="N748" i="5"/>
  <c r="O748" i="5" s="1"/>
  <c r="N749" i="5" a="1"/>
  <c r="N749" i="5"/>
  <c r="O749" i="5" s="1"/>
  <c r="N750" i="5" a="1"/>
  <c r="N750" i="5"/>
  <c r="O750" i="5" s="1"/>
  <c r="N751" i="5" a="1"/>
  <c r="N751" i="5"/>
  <c r="O751" i="5" s="1"/>
  <c r="N752" i="5" a="1"/>
  <c r="N752" i="5"/>
  <c r="O752" i="5" s="1"/>
  <c r="N753" i="5" a="1"/>
  <c r="N753" i="5"/>
  <c r="O753" i="5" s="1"/>
  <c r="N754" i="5" a="1"/>
  <c r="N754" i="5"/>
  <c r="O754" i="5" s="1"/>
  <c r="N755" i="5" a="1"/>
  <c r="N755" i="5"/>
  <c r="O755" i="5" s="1"/>
  <c r="N756" i="5" a="1"/>
  <c r="N756" i="5"/>
  <c r="O756" i="5" s="1"/>
  <c r="N757" i="5" a="1"/>
  <c r="N757" i="5"/>
  <c r="O757" i="5" s="1"/>
  <c r="N758" i="5" a="1"/>
  <c r="N758" i="5"/>
  <c r="O758" i="5" s="1"/>
  <c r="N759" i="5" a="1"/>
  <c r="N759" i="5"/>
  <c r="O759" i="5" s="1"/>
  <c r="N760" i="5" a="1"/>
  <c r="N760" i="5"/>
  <c r="O760" i="5" s="1"/>
  <c r="N761" i="5" a="1"/>
  <c r="N761" i="5"/>
  <c r="O761" i="5" s="1"/>
  <c r="N762" i="5" a="1"/>
  <c r="N762" i="5"/>
  <c r="O762" i="5" s="1"/>
  <c r="N763" i="5" a="1"/>
  <c r="N763" i="5"/>
  <c r="O763" i="5" s="1"/>
  <c r="N764" i="5" a="1"/>
  <c r="N764" i="5"/>
  <c r="O764" i="5" s="1"/>
  <c r="N765" i="5" a="1"/>
  <c r="N765" i="5"/>
  <c r="O765" i="5" s="1"/>
  <c r="N766" i="5" a="1"/>
  <c r="N766" i="5"/>
  <c r="O766" i="5" s="1"/>
  <c r="N767" i="5" a="1"/>
  <c r="N767" i="5"/>
  <c r="O767" i="5" s="1"/>
  <c r="N768" i="5" a="1"/>
  <c r="N768" i="5"/>
  <c r="O768" i="5" s="1"/>
  <c r="N769" i="5" a="1"/>
  <c r="N769" i="5"/>
  <c r="O769" i="5" s="1"/>
  <c r="N770" i="5" a="1"/>
  <c r="N770" i="5"/>
  <c r="O770" i="5" s="1"/>
  <c r="N771" i="5" a="1"/>
  <c r="N771" i="5"/>
  <c r="O771" i="5" s="1"/>
  <c r="N772" i="5" a="1"/>
  <c r="N772" i="5"/>
  <c r="O772" i="5" s="1"/>
  <c r="N773" i="5" a="1"/>
  <c r="N773" i="5"/>
  <c r="O773" i="5" s="1"/>
  <c r="N774" i="5" a="1"/>
  <c r="N774" i="5"/>
  <c r="O774" i="5" s="1"/>
  <c r="N775" i="5" a="1"/>
  <c r="N775" i="5"/>
  <c r="O775" i="5" s="1"/>
  <c r="N776" i="5" a="1"/>
  <c r="N776" i="5"/>
  <c r="O776" i="5" s="1"/>
  <c r="N777" i="5" a="1"/>
  <c r="N777" i="5"/>
  <c r="O777" i="5" s="1"/>
  <c r="N778" i="5" a="1"/>
  <c r="N778" i="5" s="1"/>
  <c r="O778" i="5" s="1"/>
  <c r="N779" i="5" a="1"/>
  <c r="N779" i="5"/>
  <c r="O779" i="5" s="1"/>
  <c r="N780" i="5" a="1"/>
  <c r="N780" i="5"/>
  <c r="O780" i="5" s="1"/>
  <c r="N781" i="5" a="1"/>
  <c r="N781" i="5"/>
  <c r="O781" i="5" s="1"/>
  <c r="N782" i="5" a="1"/>
  <c r="N782" i="5"/>
  <c r="O782" i="5" s="1"/>
  <c r="N783" i="5" a="1"/>
  <c r="N783" i="5"/>
  <c r="O783" i="5" s="1"/>
  <c r="N784" i="5" a="1"/>
  <c r="N784" i="5"/>
  <c r="O784" i="5" s="1"/>
  <c r="N785" i="5" a="1"/>
  <c r="N785" i="5"/>
  <c r="O785" i="5" s="1"/>
  <c r="N786" i="5" a="1"/>
  <c r="N786" i="5" s="1"/>
  <c r="O786" i="5" s="1"/>
  <c r="N787" i="5" a="1"/>
  <c r="N787" i="5"/>
  <c r="O787" i="5" s="1"/>
  <c r="N788" i="5" a="1"/>
  <c r="N788" i="5"/>
  <c r="O788" i="5" s="1"/>
  <c r="N789" i="5" a="1"/>
  <c r="N789" i="5"/>
  <c r="O789" i="5" s="1"/>
  <c r="N790" i="5" a="1"/>
  <c r="N790" i="5"/>
  <c r="O790" i="5" s="1"/>
  <c r="N791" i="5" a="1"/>
  <c r="N791" i="5"/>
  <c r="O791" i="5" s="1"/>
  <c r="N792" i="5" a="1"/>
  <c r="N792" i="5"/>
  <c r="O792" i="5" s="1"/>
  <c r="N793" i="5" a="1"/>
  <c r="N793" i="5"/>
  <c r="O793" i="5" s="1"/>
  <c r="N794" i="5" a="1"/>
  <c r="N794" i="5"/>
  <c r="O794" i="5" s="1"/>
  <c r="N795" i="5" a="1"/>
  <c r="N795" i="5"/>
  <c r="O795" i="5" s="1"/>
  <c r="N796" i="5" a="1"/>
  <c r="N796" i="5"/>
  <c r="O796" i="5" s="1"/>
  <c r="N797" i="5" a="1"/>
  <c r="N797" i="5"/>
  <c r="O797" i="5" s="1"/>
  <c r="N798" i="5" a="1"/>
  <c r="N798" i="5"/>
  <c r="O798" i="5" s="1"/>
  <c r="N799" i="5" a="1"/>
  <c r="N799" i="5"/>
  <c r="O799" i="5" s="1"/>
  <c r="N800" i="5" a="1"/>
  <c r="N800" i="5"/>
  <c r="O800" i="5" s="1"/>
  <c r="N801" i="5" a="1"/>
  <c r="N801" i="5"/>
  <c r="O801" i="5" s="1"/>
  <c r="N802" i="5" a="1"/>
  <c r="N802" i="5"/>
  <c r="O802" i="5" s="1"/>
  <c r="N803" i="5" a="1"/>
  <c r="N803" i="5"/>
  <c r="O803" i="5" s="1"/>
  <c r="N804" i="5" a="1"/>
  <c r="N804" i="5"/>
  <c r="O804" i="5" s="1"/>
  <c r="N805" i="5" a="1"/>
  <c r="N805" i="5"/>
  <c r="O805" i="5" s="1"/>
  <c r="N806" i="5" a="1"/>
  <c r="N806" i="5"/>
  <c r="O806" i="5" s="1"/>
  <c r="N807" i="5" a="1"/>
  <c r="N807" i="5"/>
  <c r="O807" i="5" s="1"/>
  <c r="N808" i="5" a="1"/>
  <c r="N808" i="5"/>
  <c r="O808" i="5" s="1"/>
  <c r="N809" i="5" a="1"/>
  <c r="N809" i="5"/>
  <c r="O809" i="5" s="1"/>
  <c r="N810" i="5" a="1"/>
  <c r="N810" i="5"/>
  <c r="O810" i="5" s="1"/>
  <c r="N811" i="5" a="1"/>
  <c r="N811" i="5"/>
  <c r="O811" i="5" s="1"/>
  <c r="N812" i="5" a="1"/>
  <c r="N812" i="5"/>
  <c r="O812" i="5" s="1"/>
  <c r="N813" i="5" a="1"/>
  <c r="N813" i="5"/>
  <c r="O813" i="5" s="1"/>
  <c r="N814" i="5" a="1"/>
  <c r="N814" i="5"/>
  <c r="O814" i="5" s="1"/>
  <c r="N815" i="5" a="1"/>
  <c r="N815" i="5" s="1"/>
  <c r="O815" i="5" s="1"/>
  <c r="N816" i="5" a="1"/>
  <c r="N816" i="5"/>
  <c r="O816" i="5" s="1"/>
  <c r="N817" i="5" a="1"/>
  <c r="N817" i="5"/>
  <c r="O817" i="5" s="1"/>
  <c r="N818" i="5" a="1"/>
  <c r="N818" i="5"/>
  <c r="O818" i="5" s="1"/>
  <c r="N819" i="5" a="1"/>
  <c r="N819" i="5"/>
  <c r="O819" i="5" s="1"/>
  <c r="N820" i="5" a="1"/>
  <c r="N820" i="5"/>
  <c r="O820" i="5" s="1"/>
  <c r="N821" i="5" a="1"/>
  <c r="N821" i="5"/>
  <c r="O821" i="5" s="1"/>
  <c r="N822" i="5" a="1"/>
  <c r="N822" i="5"/>
  <c r="O822" i="5" s="1"/>
  <c r="N823" i="5" a="1"/>
  <c r="N823" i="5"/>
  <c r="O823" i="5" s="1"/>
  <c r="N824" i="5" a="1"/>
  <c r="N824" i="5"/>
  <c r="O824" i="5" s="1"/>
  <c r="N825" i="5" a="1"/>
  <c r="N825" i="5"/>
  <c r="O825" i="5" s="1"/>
  <c r="N826" i="5" a="1"/>
  <c r="N826" i="5"/>
  <c r="O826" i="5" s="1"/>
  <c r="N827" i="5" a="1"/>
  <c r="N827" i="5"/>
  <c r="O827" i="5" s="1"/>
  <c r="N828" i="5" a="1"/>
  <c r="N828" i="5"/>
  <c r="O828" i="5" s="1"/>
  <c r="N829" i="5" a="1"/>
  <c r="N829" i="5"/>
  <c r="O829" i="5" s="1"/>
  <c r="N830" i="5" a="1"/>
  <c r="N830" i="5"/>
  <c r="O830" i="5" s="1"/>
  <c r="N831" i="5" a="1"/>
  <c r="N831" i="5"/>
  <c r="O831" i="5" s="1"/>
  <c r="N832" i="5" a="1"/>
  <c r="N832" i="5"/>
  <c r="O832" i="5" s="1"/>
  <c r="N833" i="5" a="1"/>
  <c r="N833" i="5"/>
  <c r="O833" i="5" s="1"/>
  <c r="N834" i="5" a="1"/>
  <c r="N834" i="5"/>
  <c r="O834" i="5" s="1"/>
  <c r="N835" i="5" a="1"/>
  <c r="N835" i="5"/>
  <c r="O835" i="5" s="1"/>
  <c r="N836" i="5" a="1"/>
  <c r="N836" i="5"/>
  <c r="O836" i="5" s="1"/>
  <c r="N837" i="5" a="1"/>
  <c r="N837" i="5"/>
  <c r="O837" i="5" s="1"/>
  <c r="N838" i="5" a="1"/>
  <c r="N838" i="5"/>
  <c r="O838" i="5" s="1"/>
  <c r="N839" i="5" a="1"/>
  <c r="N839" i="5"/>
  <c r="O839" i="5" s="1"/>
  <c r="N840" i="5" a="1"/>
  <c r="N840" i="5"/>
  <c r="O840" i="5" s="1"/>
  <c r="N841" i="5" a="1"/>
  <c r="N841" i="5"/>
  <c r="O841" i="5" s="1"/>
  <c r="N842" i="5" a="1"/>
  <c r="N842" i="5"/>
  <c r="O842" i="5" s="1"/>
  <c r="N843" i="5" a="1"/>
  <c r="N843" i="5"/>
  <c r="O843" i="5" s="1"/>
  <c r="N844" i="5" a="1"/>
  <c r="N844" i="5"/>
  <c r="O844" i="5" s="1"/>
  <c r="N845" i="5" a="1"/>
  <c r="N845" i="5"/>
  <c r="O845" i="5" s="1"/>
  <c r="N846" i="5" a="1"/>
  <c r="N846" i="5"/>
  <c r="O846" i="5" s="1"/>
  <c r="N847" i="5" a="1"/>
  <c r="N847" i="5"/>
  <c r="O847" i="5" s="1"/>
  <c r="N848" i="5" a="1"/>
  <c r="N848" i="5"/>
  <c r="O848" i="5" s="1"/>
  <c r="N849" i="5" a="1"/>
  <c r="N849" i="5"/>
  <c r="O849" i="5" s="1"/>
  <c r="N850" i="5" a="1"/>
  <c r="N850" i="5"/>
  <c r="O850" i="5" s="1"/>
  <c r="N851" i="5" a="1"/>
  <c r="N851" i="5"/>
  <c r="O851" i="5" s="1"/>
  <c r="N852" i="5" a="1"/>
  <c r="N852" i="5"/>
  <c r="O852" i="5" s="1"/>
  <c r="N853" i="5" a="1"/>
  <c r="N853" i="5"/>
  <c r="O853" i="5" s="1"/>
  <c r="N854" i="5" a="1"/>
  <c r="N854" i="5"/>
  <c r="O854" i="5" s="1"/>
  <c r="N855" i="5" a="1"/>
  <c r="N855" i="5"/>
  <c r="O855" i="5" s="1"/>
  <c r="N856" i="5" a="1"/>
  <c r="N856" i="5"/>
  <c r="O856" i="5" s="1"/>
  <c r="N857" i="5" a="1"/>
  <c r="N857" i="5"/>
  <c r="O857" i="5" s="1"/>
  <c r="N858" i="5" a="1"/>
  <c r="N858" i="5"/>
  <c r="O858" i="5" s="1"/>
  <c r="N859" i="5" a="1"/>
  <c r="N859" i="5"/>
  <c r="O859" i="5" s="1"/>
  <c r="N860" i="5" a="1"/>
  <c r="N860" i="5"/>
  <c r="O860" i="5" s="1"/>
  <c r="N861" i="5" a="1"/>
  <c r="N861" i="5"/>
  <c r="O861" i="5" s="1"/>
  <c r="N862" i="5" a="1"/>
  <c r="N862" i="5"/>
  <c r="O862" i="5" s="1"/>
  <c r="N863" i="5" a="1"/>
  <c r="N863" i="5"/>
  <c r="O863" i="5" s="1"/>
  <c r="N864" i="5" a="1"/>
  <c r="N864" i="5"/>
  <c r="O864" i="5" s="1"/>
  <c r="N865" i="5" a="1"/>
  <c r="N865" i="5"/>
  <c r="O865" i="5" s="1"/>
  <c r="N866" i="5" a="1"/>
  <c r="N866" i="5"/>
  <c r="O866" i="5" s="1"/>
  <c r="N867" i="5" a="1"/>
  <c r="N867" i="5"/>
  <c r="O867" i="5" s="1"/>
  <c r="N868" i="5" a="1"/>
  <c r="N868" i="5"/>
  <c r="O868" i="5" s="1"/>
  <c r="N869" i="5" a="1"/>
  <c r="N869" i="5"/>
  <c r="O869" i="5" s="1"/>
  <c r="N870" i="5" a="1"/>
  <c r="N870" i="5"/>
  <c r="O870" i="5" s="1"/>
  <c r="N871" i="5" a="1"/>
  <c r="N871" i="5"/>
  <c r="O871" i="5" s="1"/>
  <c r="N872" i="5" a="1"/>
  <c r="N872" i="5"/>
  <c r="O872" i="5" s="1"/>
  <c r="N873" i="5" a="1"/>
  <c r="N873" i="5"/>
  <c r="O873" i="5" s="1"/>
  <c r="N874" i="5" a="1"/>
  <c r="N874" i="5"/>
  <c r="O874" i="5" s="1"/>
  <c r="N875" i="5" a="1"/>
  <c r="N875" i="5"/>
  <c r="O875" i="5" s="1"/>
  <c r="N876" i="5" a="1"/>
  <c r="N876" i="5"/>
  <c r="O876" i="5" s="1"/>
  <c r="N877" i="5" a="1"/>
  <c r="N877" i="5"/>
  <c r="O877" i="5" s="1"/>
  <c r="N878" i="5" a="1"/>
  <c r="N878" i="5"/>
  <c r="O878" i="5" s="1"/>
  <c r="N879" i="5" a="1"/>
  <c r="N879" i="5"/>
  <c r="O879" i="5" s="1"/>
  <c r="N880" i="5" a="1"/>
  <c r="N880" i="5"/>
  <c r="O880" i="5" s="1"/>
  <c r="N881" i="5" a="1"/>
  <c r="N881" i="5"/>
  <c r="O881" i="5" s="1"/>
  <c r="N882" i="5" a="1"/>
  <c r="N882" i="5"/>
  <c r="O882" i="5" s="1"/>
  <c r="N883" i="5" a="1"/>
  <c r="N883" i="5"/>
  <c r="O883" i="5" s="1"/>
  <c r="N884" i="5" a="1"/>
  <c r="N884" i="5"/>
  <c r="O884" i="5" s="1"/>
  <c r="N885" i="5" a="1"/>
  <c r="N885" i="5"/>
  <c r="O885" i="5" s="1"/>
  <c r="N886" i="5" a="1"/>
  <c r="N886" i="5"/>
  <c r="O886" i="5" s="1"/>
  <c r="N887" i="5" a="1"/>
  <c r="N887" i="5"/>
  <c r="O887" i="5" s="1"/>
  <c r="N888" i="5" a="1"/>
  <c r="N888" i="5"/>
  <c r="O888" i="5" s="1"/>
  <c r="N889" i="5" a="1"/>
  <c r="N889" i="5"/>
  <c r="O889" i="5" s="1"/>
  <c r="N890" i="5" a="1"/>
  <c r="N890" i="5"/>
  <c r="O890" i="5" s="1"/>
  <c r="N891" i="5" a="1"/>
  <c r="N891" i="5"/>
  <c r="O891" i="5" s="1"/>
  <c r="N892" i="5" a="1"/>
  <c r="N892" i="5"/>
  <c r="O892" i="5" s="1"/>
  <c r="N893" i="5" a="1"/>
  <c r="N893" i="5"/>
  <c r="O893" i="5" s="1"/>
  <c r="N894" i="5" a="1"/>
  <c r="N894" i="5"/>
  <c r="O894" i="5" s="1"/>
  <c r="N895" i="5" a="1"/>
  <c r="N895" i="5"/>
  <c r="O895" i="5" s="1"/>
  <c r="N896" i="5" a="1"/>
  <c r="N896" i="5"/>
  <c r="O896" i="5" s="1"/>
  <c r="N897" i="5" a="1"/>
  <c r="N897" i="5"/>
  <c r="O897" i="5" s="1"/>
  <c r="N898" i="5" a="1"/>
  <c r="N898" i="5"/>
  <c r="O898" i="5" s="1"/>
  <c r="N899" i="5" a="1"/>
  <c r="N899" i="5"/>
  <c r="O899" i="5" s="1"/>
  <c r="N900" i="5" a="1"/>
  <c r="N900" i="5"/>
  <c r="O900" i="5" s="1"/>
  <c r="N901" i="5" a="1"/>
  <c r="N901" i="5"/>
  <c r="O901" i="5" s="1"/>
  <c r="N902" i="5" a="1"/>
  <c r="N902" i="5"/>
  <c r="O902" i="5" s="1"/>
  <c r="N903" i="5" a="1"/>
  <c r="N903" i="5"/>
  <c r="O903" i="5" s="1"/>
  <c r="N904" i="5" a="1"/>
  <c r="N904" i="5"/>
  <c r="O904" i="5" s="1"/>
  <c r="N905" i="5" a="1"/>
  <c r="N905" i="5"/>
  <c r="O905" i="5" s="1"/>
  <c r="N906" i="5" a="1"/>
  <c r="N906" i="5"/>
  <c r="O906" i="5" s="1"/>
  <c r="N907" i="5" a="1"/>
  <c r="N907" i="5"/>
  <c r="O907" i="5" s="1"/>
  <c r="N908" i="5" a="1"/>
  <c r="N908" i="5"/>
  <c r="O908" i="5" s="1"/>
  <c r="N909" i="5" a="1"/>
  <c r="N909" i="5"/>
  <c r="O909" i="5" s="1"/>
  <c r="N910" i="5" a="1"/>
  <c r="N910" i="5"/>
  <c r="O910" i="5" s="1"/>
  <c r="N911" i="5" a="1"/>
  <c r="N911" i="5"/>
  <c r="O911" i="5" s="1"/>
  <c r="N912" i="5" a="1"/>
  <c r="N912" i="5"/>
  <c r="O912" i="5" s="1"/>
  <c r="N913" i="5" a="1"/>
  <c r="N913" i="5"/>
  <c r="O913" i="5" s="1"/>
  <c r="N914" i="5" a="1"/>
  <c r="N914" i="5"/>
  <c r="O914" i="5" s="1"/>
  <c r="N915" i="5" a="1"/>
  <c r="N915" i="5"/>
  <c r="O915" i="5" s="1"/>
  <c r="N916" i="5" a="1"/>
  <c r="N916" i="5"/>
  <c r="O916" i="5" s="1"/>
  <c r="N917" i="5" a="1"/>
  <c r="N917" i="5"/>
  <c r="O917" i="5" s="1"/>
  <c r="N918" i="5" a="1"/>
  <c r="N918" i="5"/>
  <c r="O918" i="5" s="1"/>
  <c r="N919" i="5" a="1"/>
  <c r="N919" i="5"/>
  <c r="O919" i="5" s="1"/>
  <c r="N920" i="5" a="1"/>
  <c r="N920" i="5"/>
  <c r="O920" i="5" s="1"/>
  <c r="N921" i="5" a="1"/>
  <c r="N921" i="5"/>
  <c r="O921" i="5" s="1"/>
  <c r="N922" i="5" a="1"/>
  <c r="N922" i="5"/>
  <c r="O922" i="5" s="1"/>
  <c r="N923" i="5" a="1"/>
  <c r="N923" i="5"/>
  <c r="O923" i="5" s="1"/>
  <c r="N924" i="5" a="1"/>
  <c r="N924" i="5"/>
  <c r="O924" i="5" s="1"/>
  <c r="N925" i="5" a="1"/>
  <c r="N925" i="5"/>
  <c r="O925" i="5" s="1"/>
  <c r="N926" i="5" a="1"/>
  <c r="N926" i="5"/>
  <c r="O926" i="5" s="1"/>
  <c r="N927" i="5" a="1"/>
  <c r="N927" i="5"/>
  <c r="O927" i="5" s="1"/>
  <c r="N928" i="5" a="1"/>
  <c r="N928" i="5"/>
  <c r="O928" i="5" s="1"/>
  <c r="N929" i="5" a="1"/>
  <c r="N929" i="5"/>
  <c r="O929" i="5" s="1"/>
  <c r="N930" i="5" a="1"/>
  <c r="N930" i="5"/>
  <c r="O930" i="5" s="1"/>
  <c r="N931" i="5" a="1"/>
  <c r="N931" i="5"/>
  <c r="O931" i="5" s="1"/>
  <c r="N932" i="5" a="1"/>
  <c r="N932" i="5"/>
  <c r="O932" i="5" s="1"/>
  <c r="N933" i="5" a="1"/>
  <c r="N933" i="5"/>
  <c r="O933" i="5" s="1"/>
  <c r="N934" i="5" a="1"/>
  <c r="N934" i="5"/>
  <c r="O934" i="5" s="1"/>
  <c r="N935" i="5" a="1"/>
  <c r="N935" i="5"/>
  <c r="O935" i="5" s="1"/>
  <c r="N936" i="5" a="1"/>
  <c r="N936" i="5"/>
  <c r="O936" i="5" s="1"/>
  <c r="N937" i="5" a="1"/>
  <c r="N937" i="5"/>
  <c r="O937" i="5" s="1"/>
  <c r="N938" i="5" a="1"/>
  <c r="N938" i="5"/>
  <c r="O938" i="5" s="1"/>
  <c r="N939" i="5" a="1"/>
  <c r="N939" i="5"/>
  <c r="O939" i="5" s="1"/>
  <c r="N940" i="5" a="1"/>
  <c r="N940" i="5"/>
  <c r="O940" i="5" s="1"/>
  <c r="N941" i="5" a="1"/>
  <c r="N941" i="5"/>
  <c r="O941" i="5" s="1"/>
  <c r="N942" i="5" a="1"/>
  <c r="N942" i="5"/>
  <c r="O942" i="5" s="1"/>
  <c r="N943" i="5" a="1"/>
  <c r="N943" i="5"/>
  <c r="O943" i="5" s="1"/>
  <c r="N944" i="5" a="1"/>
  <c r="N944" i="5"/>
  <c r="O944" i="5" s="1"/>
  <c r="N945" i="5" a="1"/>
  <c r="N945" i="5"/>
  <c r="O945" i="5" s="1"/>
  <c r="N946" i="5" a="1"/>
  <c r="N946" i="5"/>
  <c r="O946" i="5" s="1"/>
  <c r="N947" i="5" a="1"/>
  <c r="N947" i="5"/>
  <c r="O947" i="5" s="1"/>
  <c r="N948" i="5" a="1"/>
  <c r="N948" i="5"/>
  <c r="O948" i="5" s="1"/>
  <c r="N949" i="5" a="1"/>
  <c r="N949" i="5"/>
  <c r="O949" i="5" s="1"/>
  <c r="N950" i="5" a="1"/>
  <c r="N950" i="5"/>
  <c r="O950" i="5" s="1"/>
  <c r="N951" i="5" a="1"/>
  <c r="N951" i="5"/>
  <c r="O951" i="5" s="1"/>
  <c r="N952" i="5" a="1"/>
  <c r="N952" i="5"/>
  <c r="O952" i="5" s="1"/>
  <c r="N953" i="5" a="1"/>
  <c r="N953" i="5"/>
  <c r="O953" i="5" s="1"/>
  <c r="N954" i="5" a="1"/>
  <c r="N954" i="5"/>
  <c r="O954" i="5" s="1"/>
  <c r="N955" i="5" a="1"/>
  <c r="N955" i="5"/>
  <c r="O955" i="5" s="1"/>
  <c r="N956" i="5" a="1"/>
  <c r="N956" i="5"/>
  <c r="O956" i="5" s="1"/>
  <c r="N957" i="5" a="1"/>
  <c r="N957" i="5"/>
  <c r="O957" i="5" s="1"/>
  <c r="N958" i="5" a="1"/>
  <c r="N958" i="5"/>
  <c r="O958" i="5" s="1"/>
  <c r="N959" i="5" a="1"/>
  <c r="N959" i="5"/>
  <c r="O959" i="5" s="1"/>
  <c r="N960" i="5" a="1"/>
  <c r="N960" i="5"/>
  <c r="O960" i="5" s="1"/>
  <c r="N961" i="5" a="1"/>
  <c r="N961" i="5"/>
  <c r="O961" i="5" s="1"/>
  <c r="N962" i="5" a="1"/>
  <c r="N962" i="5"/>
  <c r="O962" i="5" s="1"/>
  <c r="N963" i="5" a="1"/>
  <c r="N963" i="5"/>
  <c r="O963" i="5" s="1"/>
  <c r="N964" i="5" a="1"/>
  <c r="N964" i="5"/>
  <c r="O964" i="5" s="1"/>
  <c r="N965" i="5" a="1"/>
  <c r="N965" i="5"/>
  <c r="O965" i="5" s="1"/>
  <c r="N966" i="5" a="1"/>
  <c r="N966" i="5"/>
  <c r="O966" i="5" s="1"/>
  <c r="N967" i="5" a="1"/>
  <c r="N967" i="5"/>
  <c r="O967" i="5" s="1"/>
  <c r="N968" i="5" a="1"/>
  <c r="N968" i="5"/>
  <c r="O968" i="5" s="1"/>
  <c r="N969" i="5" a="1"/>
  <c r="N969" i="5"/>
  <c r="O969" i="5" s="1"/>
  <c r="N970" i="5" a="1"/>
  <c r="N970" i="5"/>
  <c r="O970" i="5" s="1"/>
  <c r="N971" i="5" a="1"/>
  <c r="N971" i="5"/>
  <c r="O971" i="5" s="1"/>
  <c r="N972" i="5" a="1"/>
  <c r="N972" i="5"/>
  <c r="O972" i="5" s="1"/>
  <c r="N973" i="5" a="1"/>
  <c r="N973" i="5"/>
  <c r="O973" i="5" s="1"/>
  <c r="N974" i="5" a="1"/>
  <c r="N974" i="5"/>
  <c r="O974" i="5" s="1"/>
  <c r="N975" i="5" a="1"/>
  <c r="N975" i="5"/>
  <c r="O975" i="5" s="1"/>
  <c r="N976" i="5" a="1"/>
  <c r="N976" i="5"/>
  <c r="O976" i="5" s="1"/>
  <c r="N977" i="5" a="1"/>
  <c r="N977" i="5"/>
  <c r="O977" i="5" s="1"/>
  <c r="N978" i="5" a="1"/>
  <c r="N978" i="5"/>
  <c r="O978" i="5" s="1"/>
  <c r="N979" i="5" a="1"/>
  <c r="N979" i="5"/>
  <c r="O979" i="5" s="1"/>
  <c r="N980" i="5" a="1"/>
  <c r="N980" i="5"/>
  <c r="O980" i="5" s="1"/>
  <c r="N981" i="5" a="1"/>
  <c r="N981" i="5"/>
  <c r="O981" i="5" s="1"/>
  <c r="N982" i="5" a="1"/>
  <c r="N982" i="5"/>
  <c r="O982" i="5" s="1"/>
  <c r="N983" i="5" a="1"/>
  <c r="N983" i="5"/>
  <c r="O983" i="5" s="1"/>
  <c r="N984" i="5" a="1"/>
  <c r="N984" i="5"/>
  <c r="O984" i="5" s="1"/>
  <c r="N985" i="5" a="1"/>
  <c r="N985" i="5"/>
  <c r="O985" i="5" s="1"/>
  <c r="N986" i="5" a="1"/>
  <c r="N986" i="5"/>
  <c r="O986" i="5" s="1"/>
  <c r="N987" i="5" a="1"/>
  <c r="N987" i="5"/>
  <c r="O987" i="5" s="1"/>
  <c r="N988" i="5" a="1"/>
  <c r="N988" i="5"/>
  <c r="O988" i="5" s="1"/>
  <c r="N989" i="5" a="1"/>
  <c r="N989" i="5"/>
  <c r="O989" i="5" s="1"/>
  <c r="N990" i="5" a="1"/>
  <c r="N990" i="5"/>
  <c r="O990" i="5" s="1"/>
  <c r="N991" i="5" a="1"/>
  <c r="N991" i="5"/>
  <c r="O991" i="5" s="1"/>
  <c r="N992" i="5" a="1"/>
  <c r="N992" i="5"/>
  <c r="O992" i="5" s="1"/>
  <c r="N993" i="5" a="1"/>
  <c r="N993" i="5"/>
  <c r="O993" i="5" s="1"/>
  <c r="N994" i="5" a="1"/>
  <c r="N994" i="5"/>
  <c r="O994" i="5" s="1"/>
  <c r="N995" i="5" a="1"/>
  <c r="N995" i="5"/>
  <c r="O995" i="5" s="1"/>
  <c r="N996" i="5" a="1"/>
  <c r="N996" i="5"/>
  <c r="O996" i="5" s="1"/>
  <c r="N997" i="5" a="1"/>
  <c r="N997" i="5"/>
  <c r="O997" i="5" s="1"/>
  <c r="N998" i="5" a="1"/>
  <c r="N998" i="5"/>
  <c r="O998" i="5" s="1"/>
  <c r="N999" i="5" a="1"/>
  <c r="N999" i="5"/>
  <c r="O999" i="5" s="1"/>
  <c r="N1000" i="5" a="1"/>
  <c r="N1000" i="5"/>
  <c r="O1000" i="5" s="1"/>
  <c r="N1001" i="5" a="1"/>
  <c r="N1001" i="5"/>
  <c r="O1001" i="5" s="1"/>
  <c r="N1002" i="5" a="1"/>
  <c r="N1002" i="5"/>
  <c r="O1002" i="5" s="1"/>
  <c r="N1003" i="5" a="1"/>
  <c r="N1003" i="5"/>
  <c r="O1003" i="5" s="1"/>
  <c r="N1004" i="5" a="1"/>
  <c r="N1004" i="5"/>
  <c r="O1004" i="5" s="1"/>
  <c r="B20" i="3"/>
  <c r="B21" i="3"/>
  <c r="B22" i="3"/>
  <c r="B23" i="3"/>
  <c r="E5" i="3"/>
  <c r="E6" i="3"/>
  <c r="E7" i="3"/>
  <c r="E8" i="3"/>
  <c r="E9" i="3"/>
  <c r="E10" i="3"/>
  <c r="E11" i="3"/>
  <c r="E12" i="3"/>
  <c r="E13" i="3"/>
  <c r="E14" i="3"/>
  <c r="E15" i="3"/>
  <c r="E16" i="3"/>
  <c r="E17" i="3"/>
  <c r="B12" i="11"/>
  <c r="B15" i="11" l="1"/>
  <c r="F14" i="11"/>
  <c r="I20" i="9" a="1"/>
  <c r="I20" i="9" s="1"/>
  <c r="F27" i="9"/>
  <c r="F24" i="9"/>
  <c r="F22" i="9"/>
  <c r="F26" i="9"/>
  <c r="F25" i="9"/>
  <c r="F23" i="9"/>
  <c r="D20" i="9"/>
  <c r="F20" i="9"/>
  <c r="F21" i="9"/>
  <c r="O8" i="9" a="1"/>
  <c r="O8" i="9" s="1"/>
  <c r="P8" i="9" a="1"/>
  <c r="P8" i="9" s="1"/>
  <c r="Q8" i="9" a="1"/>
  <c r="Q8" i="9" s="1"/>
  <c r="R8" i="9" a="1"/>
  <c r="R8" i="9" s="1"/>
  <c r="S8" i="9" a="1"/>
  <c r="S8" i="9" s="1"/>
  <c r="T5" i="8" a="1"/>
  <c r="L5" i="8"/>
  <c r="H18" i="7"/>
  <c r="D18" i="7"/>
  <c r="G18" i="7" s="1"/>
  <c r="B18" i="7"/>
  <c r="C18" i="7"/>
  <c r="H17" i="7"/>
  <c r="D17" i="7"/>
  <c r="G17" i="7" s="1"/>
  <c r="I17" i="7" s="1"/>
  <c r="B17" i="7"/>
  <c r="C17" i="7"/>
  <c r="H16" i="7"/>
  <c r="D16" i="7"/>
  <c r="G16" i="7" s="1"/>
  <c r="B16" i="7"/>
  <c r="C16" i="7"/>
  <c r="H15" i="7"/>
  <c r="D15" i="7"/>
  <c r="G15" i="7" s="1"/>
  <c r="I15" i="7" s="1"/>
  <c r="B15" i="7"/>
  <c r="C15" i="7"/>
  <c r="C22" i="7"/>
  <c r="H22" i="7"/>
  <c r="D22" i="7"/>
  <c r="G22" i="7" s="1"/>
  <c r="I22" i="7" s="1"/>
  <c r="B22" i="7"/>
  <c r="C14" i="7"/>
  <c r="H14" i="7"/>
  <c r="D14" i="7"/>
  <c r="G14" i="7" s="1"/>
  <c r="B14" i="7"/>
  <c r="C21" i="7"/>
  <c r="H21" i="7"/>
  <c r="D21" i="7"/>
  <c r="G21" i="7" s="1"/>
  <c r="I21" i="7" s="1"/>
  <c r="B21" i="7"/>
  <c r="C13" i="7"/>
  <c r="D13" i="7"/>
  <c r="G13" i="7" s="1"/>
  <c r="B13" i="7"/>
  <c r="H13" i="7"/>
  <c r="C20" i="7"/>
  <c r="H20" i="7"/>
  <c r="D20" i="7"/>
  <c r="G20" i="7" s="1"/>
  <c r="I20" i="7" s="1"/>
  <c r="B20" i="7"/>
  <c r="C12" i="7"/>
  <c r="H12" i="7"/>
  <c r="D12" i="7"/>
  <c r="G12" i="7" s="1"/>
  <c r="B12" i="7"/>
  <c r="C19" i="7"/>
  <c r="H19" i="7"/>
  <c r="D19" i="7"/>
  <c r="G19" i="7" s="1"/>
  <c r="I19" i="7" s="1"/>
  <c r="B19" i="7"/>
  <c r="C11" i="7"/>
  <c r="H11" i="7"/>
  <c r="D11" i="7"/>
  <c r="G11" i="7" s="1"/>
  <c r="B11" i="7"/>
  <c r="C133" i="7" a="1"/>
  <c r="C133" i="7" s="1"/>
  <c r="B133" i="7" a="1"/>
  <c r="C126" i="7" a="1"/>
  <c r="C126" i="7" s="1"/>
  <c r="B126" i="7" a="1"/>
  <c r="C117" i="7" a="1"/>
  <c r="C117" i="7" s="1"/>
  <c r="B117" i="7" a="1"/>
  <c r="C109" i="7" a="1"/>
  <c r="C109" i="7" s="1"/>
  <c r="B109" i="7" a="1"/>
  <c r="C102" i="7" a="1"/>
  <c r="C102" i="7" s="1"/>
  <c r="B102" i="7" a="1"/>
  <c r="C95" i="7" a="1"/>
  <c r="C95" i="7" s="1"/>
  <c r="B95" i="7" a="1"/>
  <c r="C86" i="7" a="1"/>
  <c r="C86" i="7" s="1"/>
  <c r="B86" i="7" a="1"/>
  <c r="C76" i="7" a="1"/>
  <c r="C76" i="7" s="1"/>
  <c r="B76" i="7" a="1"/>
  <c r="C67" i="7" a="1"/>
  <c r="C67" i="7" s="1"/>
  <c r="B67" i="7" a="1"/>
  <c r="C58" i="7" a="1"/>
  <c r="C58" i="7" s="1"/>
  <c r="B58" i="7" a="1"/>
  <c r="C49" i="7" a="1"/>
  <c r="C49" i="7" s="1"/>
  <c r="B49" i="7" a="1"/>
  <c r="C42" i="7" a="1"/>
  <c r="C42" i="7" s="1"/>
  <c r="B42" i="7" a="1"/>
  <c r="J32" i="6" a="1"/>
  <c r="J32" i="6" s="1"/>
  <c r="J30" i="6" a="1"/>
  <c r="J30" i="6" s="1"/>
  <c r="J33" i="6" a="1"/>
  <c r="J33" i="6" s="1"/>
  <c r="J40" i="6" a="1"/>
  <c r="J40" i="6" s="1"/>
  <c r="L35" i="6" a="1"/>
  <c r="L35" i="6" s="1"/>
  <c r="C90" i="6" a="1"/>
  <c r="B90" i="6" a="1"/>
  <c r="C85" i="6" a="1"/>
  <c r="B85" i="6" a="1"/>
  <c r="C77" i="6" a="1"/>
  <c r="B77" i="6" a="1"/>
  <c r="C70" i="6" a="1"/>
  <c r="B70" i="6" a="1"/>
  <c r="C65" i="6" a="1"/>
  <c r="B65" i="6" a="1"/>
  <c r="C59" i="6" a="1"/>
  <c r="B59" i="6" a="1"/>
  <c r="C51" i="6" a="1"/>
  <c r="B51" i="6" a="1"/>
  <c r="C42" i="6" a="1"/>
  <c r="B42" i="6" a="1"/>
  <c r="C34" i="6" a="1"/>
  <c r="B34" i="6" a="1"/>
  <c r="C26" i="6" a="1"/>
  <c r="B26" i="6" a="1"/>
  <c r="C18" i="6" a="1"/>
  <c r="B18" i="6" a="1"/>
  <c r="C13" i="6" a="1"/>
  <c r="B13" i="6" a="1"/>
  <c r="F28" i="9" l="1"/>
  <c r="I7" i="9" s="1"/>
  <c r="I8" i="9" s="1"/>
  <c r="I9" i="9" s="1"/>
  <c r="I10" i="9" s="1"/>
  <c r="I11" i="9" s="1"/>
  <c r="T5" i="8"/>
  <c r="U5" i="8" a="1"/>
  <c r="U5" i="8" s="1"/>
  <c r="V5" i="8" a="1"/>
  <c r="I11" i="7"/>
  <c r="I12" i="7"/>
  <c r="I14" i="7"/>
  <c r="I13" i="7"/>
  <c r="I16" i="7"/>
  <c r="I18" i="7"/>
  <c r="B133" i="7"/>
  <c r="D133" i="7" a="1"/>
  <c r="B126" i="7"/>
  <c r="D126" i="7" a="1"/>
  <c r="B117" i="7"/>
  <c r="D117" i="7" a="1"/>
  <c r="B109" i="7"/>
  <c r="D109" i="7" a="1"/>
  <c r="B102" i="7"/>
  <c r="D102" i="7" a="1"/>
  <c r="B95" i="7"/>
  <c r="D95" i="7" a="1"/>
  <c r="B86" i="7"/>
  <c r="D86" i="7" s="1" a="1"/>
  <c r="B76" i="7"/>
  <c r="D76" i="7" a="1"/>
  <c r="B67" i="7"/>
  <c r="D67" i="7" a="1"/>
  <c r="B58" i="7"/>
  <c r="D58" i="7" a="1"/>
  <c r="B49" i="7"/>
  <c r="D49" i="7" a="1"/>
  <c r="B42" i="7"/>
  <c r="D42" i="7" a="1"/>
  <c r="B90" i="6"/>
  <c r="G90" i="6" s="1" a="1"/>
  <c r="G90" i="6" s="1"/>
  <c r="D90" i="6" a="1"/>
  <c r="C90" i="6"/>
  <c r="F90" i="6" s="1" a="1"/>
  <c r="F90" i="6" s="1"/>
  <c r="B85" i="6"/>
  <c r="G85" i="6" a="1"/>
  <c r="G85" i="6" s="1"/>
  <c r="C85" i="6"/>
  <c r="F85" i="6" s="1" a="1"/>
  <c r="F85" i="6" s="1"/>
  <c r="D85" i="6" a="1"/>
  <c r="B77" i="6"/>
  <c r="G77" i="6" a="1"/>
  <c r="G77" i="6" s="1"/>
  <c r="F77" i="6" a="1"/>
  <c r="F77" i="6" s="1"/>
  <c r="C77" i="6"/>
  <c r="D77" i="6" s="1" a="1"/>
  <c r="B70" i="6"/>
  <c r="G70" i="6" a="1"/>
  <c r="G70" i="6" s="1"/>
  <c r="F70" i="6" a="1"/>
  <c r="F70" i="6" s="1"/>
  <c r="C70" i="6"/>
  <c r="D70" i="6" a="1"/>
  <c r="B65" i="6"/>
  <c r="G65" i="6" a="1"/>
  <c r="G65" i="6" s="1"/>
  <c r="C65" i="6"/>
  <c r="D65" i="6" s="1" a="1"/>
  <c r="B59" i="6"/>
  <c r="G59" i="6" a="1"/>
  <c r="G59" i="6" s="1"/>
  <c r="C59" i="6"/>
  <c r="F59" i="6" s="1" a="1"/>
  <c r="F59" i="6" s="1"/>
  <c r="D59" i="6" a="1"/>
  <c r="B51" i="6"/>
  <c r="G51" i="6" a="1"/>
  <c r="G51" i="6" s="1"/>
  <c r="C51" i="6"/>
  <c r="F51" i="6" s="1" a="1"/>
  <c r="F51" i="6" s="1"/>
  <c r="D51" i="6" a="1"/>
  <c r="B42" i="6"/>
  <c r="G42" i="6" a="1"/>
  <c r="G42" i="6" s="1"/>
  <c r="F42" i="6" a="1"/>
  <c r="F42" i="6" s="1"/>
  <c r="D42" i="6" a="1"/>
  <c r="C42" i="6"/>
  <c r="B34" i="6"/>
  <c r="G34" i="6" a="1"/>
  <c r="G34" i="6" s="1"/>
  <c r="F34" i="6" a="1"/>
  <c r="F34" i="6" s="1"/>
  <c r="C34" i="6"/>
  <c r="D34" i="6" s="1" a="1"/>
  <c r="B26" i="6"/>
  <c r="G26" i="6" a="1"/>
  <c r="G26" i="6" s="1"/>
  <c r="F26" i="6" a="1"/>
  <c r="F26" i="6" s="1"/>
  <c r="C26" i="6"/>
  <c r="D26" i="6" a="1"/>
  <c r="B18" i="6"/>
  <c r="G18" i="6" a="1"/>
  <c r="G18" i="6" s="1"/>
  <c r="F18" i="6" a="1"/>
  <c r="F18" i="6" s="1"/>
  <c r="C18" i="6"/>
  <c r="D18" i="6" a="1"/>
  <c r="B13" i="6"/>
  <c r="G13" i="6" a="1"/>
  <c r="G13" i="6" s="1"/>
  <c r="F13" i="6" a="1"/>
  <c r="F13" i="6" s="1"/>
  <c r="C13" i="6"/>
  <c r="D13" i="6" a="1"/>
  <c r="V5" i="8" l="1"/>
  <c r="W5" i="8" a="1"/>
  <c r="F133" i="7" a="1"/>
  <c r="D133" i="7"/>
  <c r="E133" i="7" a="1"/>
  <c r="D126" i="7"/>
  <c r="F126" i="7" s="1" a="1"/>
  <c r="E126" i="7" a="1"/>
  <c r="D117" i="7"/>
  <c r="F117" i="7" s="1" a="1"/>
  <c r="F109" i="7" a="1"/>
  <c r="E109" i="7" a="1"/>
  <c r="D109" i="7"/>
  <c r="D102" i="7"/>
  <c r="F102" i="7" s="1" a="1"/>
  <c r="E102" i="7" a="1"/>
  <c r="F95" i="7" a="1"/>
  <c r="D95" i="7"/>
  <c r="E95" i="7" a="1"/>
  <c r="D86" i="7"/>
  <c r="E86" i="7" s="1" a="1"/>
  <c r="D76" i="7"/>
  <c r="F76" i="7" s="1" a="1"/>
  <c r="E76" i="7" a="1"/>
  <c r="D67" i="7"/>
  <c r="F67" i="7" s="1" a="1"/>
  <c r="E67" i="7" a="1"/>
  <c r="F58" i="7" a="1"/>
  <c r="D58" i="7"/>
  <c r="E58" i="7" a="1"/>
  <c r="D49" i="7"/>
  <c r="E49" i="7" s="1" a="1"/>
  <c r="F42" i="7" a="1"/>
  <c r="D42" i="7"/>
  <c r="E42" i="7" a="1"/>
  <c r="D90" i="6"/>
  <c r="E90" i="6" a="1"/>
  <c r="E90" i="6" s="1"/>
  <c r="D85" i="6"/>
  <c r="E85" i="6" s="1" a="1"/>
  <c r="E85" i="6" s="1"/>
  <c r="D77" i="6"/>
  <c r="E77" i="6" a="1"/>
  <c r="E77" i="6" s="1"/>
  <c r="D70" i="6"/>
  <c r="E70" i="6" a="1"/>
  <c r="E70" i="6" s="1"/>
  <c r="D65" i="6"/>
  <c r="E65" i="6" a="1"/>
  <c r="E65" i="6" s="1"/>
  <c r="F65" i="6" a="1"/>
  <c r="F65" i="6" s="1"/>
  <c r="E59" i="6" a="1"/>
  <c r="E59" i="6" s="1"/>
  <c r="D59" i="6"/>
  <c r="D51" i="6"/>
  <c r="E51" i="6" a="1"/>
  <c r="E51" i="6" s="1"/>
  <c r="D42" i="6"/>
  <c r="E42" i="6" s="1" a="1"/>
  <c r="E42" i="6" s="1"/>
  <c r="D34" i="6"/>
  <c r="E34" i="6" a="1"/>
  <c r="E34" i="6" s="1"/>
  <c r="D26" i="6"/>
  <c r="E26" i="6" s="1" a="1"/>
  <c r="E26" i="6" s="1"/>
  <c r="D18" i="6"/>
  <c r="E18" i="6" a="1"/>
  <c r="E18" i="6" s="1"/>
  <c r="D13" i="6"/>
  <c r="E13" i="6" a="1"/>
  <c r="E13" i="6" s="1"/>
  <c r="W5" i="8" l="1"/>
  <c r="X5" i="8" a="1"/>
  <c r="X5" i="8" s="1"/>
  <c r="F133" i="7"/>
  <c r="F135" i="7"/>
  <c r="E133" i="7"/>
  <c r="E135" i="7"/>
  <c r="E126" i="7"/>
  <c r="E128" i="7"/>
  <c r="F126" i="7"/>
  <c r="F128" i="7"/>
  <c r="F117" i="7"/>
  <c r="F122" i="7"/>
  <c r="E117" i="7" a="1"/>
  <c r="E109" i="7"/>
  <c r="E113" i="7"/>
  <c r="F109" i="7"/>
  <c r="F113" i="7"/>
  <c r="F102" i="7"/>
  <c r="F104" i="7"/>
  <c r="E102" i="7"/>
  <c r="E104" i="7"/>
  <c r="F95" i="7"/>
  <c r="F98" i="7"/>
  <c r="E95" i="7"/>
  <c r="E98" i="7"/>
  <c r="E86" i="7"/>
  <c r="E91" i="7"/>
  <c r="F86" i="7" a="1"/>
  <c r="E76" i="7"/>
  <c r="E82" i="7"/>
  <c r="F76" i="7"/>
  <c r="F82" i="7" s="1"/>
  <c r="F67" i="7"/>
  <c r="F72" i="7"/>
  <c r="E67" i="7"/>
  <c r="E72" i="7"/>
  <c r="F58" i="7"/>
  <c r="F63" i="7"/>
  <c r="E58" i="7"/>
  <c r="E63" i="7" s="1"/>
  <c r="E49" i="7"/>
  <c r="E54" i="7" s="1"/>
  <c r="F49" i="7" a="1"/>
  <c r="E42" i="7"/>
  <c r="E44" i="7"/>
  <c r="F42" i="7"/>
  <c r="F44" i="7"/>
  <c r="E117" i="7" l="1"/>
  <c r="E122" i="7"/>
  <c r="F86" i="7"/>
  <c r="F91" i="7"/>
  <c r="F49" i="7"/>
  <c r="F54" i="7"/>
  <c r="I19" i="9" a="1"/>
  <c r="I19"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<sst xmlns="http://schemas.openxmlformats.org/spreadsheetml/2006/main" count="17117" uniqueCount="430">
  <si>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</si>
  <si>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</si>
  <si>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</si>
  <si>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</si>
  <si>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</si>
  <si>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</si>
  <si>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</si>
  <si>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</si>
  <si>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</si>
  <si>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</si>
  <si>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</si>
  <si>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</si>
  <si>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</si>
  <si>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</si>
  <si>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</si>
  <si>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</si>
  <si>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</si>
  <si>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</si>
  <si>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</si>
  <si>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</si>
  <si>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</si>
  <si>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</si>
  <si>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</si>
  <si>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</si>
  <si>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</si>
  <si>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</si>
  <si>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</si>
  <si>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</si>
  <si>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</si>
  <si>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</si>
  <si>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</si>
  <si>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</si>
  <si>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</si>
  <si>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</si>
  <si>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</si>
  <si>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</si>
  <si>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Who Buys Bikes? A Customer Targeting Analysis</t>
  </si>
  <si>
    <t>Stakeholder</t>
  </si>
  <si>
    <t>Marketing Manager, bike retailer.</t>
  </si>
  <si>
    <t>Objective</t>
  </si>
  <si>
    <t>Purchase rate = buyers ÷ customers (analysed by rate, not raw counts).</t>
  </si>
  <si>
    <t>Dataset</t>
  </si>
  <si>
    <t>Alex the Analyst's public Bike Buyers dataset. Raw: 1,026 rows × 13 fields, including 26 exact duplicate rows. After cleaning: 1,000 unique customers, 13 fields.</t>
  </si>
  <si>
    <t>Approach</t>
  </si>
  <si>
    <t>Clean → Segment by purchase rate → Test significance → Score leads → Dashboard → Recommendations.</t>
  </si>
  <si>
    <t>Tools</t>
  </si>
  <si>
    <t>Author</t>
  </si>
  <si>
    <t>Sheet</t>
  </si>
  <si>
    <t>Description</t>
  </si>
  <si>
    <t>README_Brief</t>
  </si>
  <si>
    <t>Data_Dictionary</t>
  </si>
  <si>
    <t>Field definitions, data types, live unique-value counts and cleaning notes.</t>
  </si>
  <si>
    <t>Data_Quality_Log</t>
  </si>
  <si>
    <t>Clean_Data</t>
  </si>
  <si>
    <t>Segment_Analysis</t>
  </si>
  <si>
    <t>Significance_Tests</t>
  </si>
  <si>
    <t>Lead_Scoring</t>
  </si>
  <si>
    <t>Profile_Checker</t>
  </si>
  <si>
    <t>Dashboard</t>
  </si>
  <si>
    <t>Recommendations</t>
  </si>
  <si>
    <t>Raw_Data</t>
  </si>
  <si>
    <t>Field</t>
  </si>
  <si>
    <t>Data Type</t>
  </si>
  <si>
    <t>Example Values</t>
  </si>
  <si>
    <t>Unique Values</t>
  </si>
  <si>
    <t>Notes/Cleaning Needed</t>
  </si>
  <si>
    <t>Whole number</t>
  </si>
  <si>
    <t>Unique customer identifier (primary key).</t>
  </si>
  <si>
    <t>12496, 24107, 14177</t>
  </si>
  <si>
    <t>26 exact duplicate rows (1,026 rows → 1,000 unique IDs). Remove duplicates in Clean_Data.</t>
  </si>
  <si>
    <t>Text (code)</t>
  </si>
  <si>
    <t>Customer's marital status.</t>
  </si>
  <si>
    <t>M, S</t>
  </si>
  <si>
    <t>Recode M/S → Married/Single.</t>
  </si>
  <si>
    <t>Customer's gender.</t>
  </si>
  <si>
    <t>M, F</t>
  </si>
  <si>
    <t>Recode M/F → Male/Female.</t>
  </si>
  <si>
    <t>Number (US$)</t>
  </si>
  <si>
    <t>Annual household income in US dollars.</t>
  </si>
  <si>
    <t>$10,000 – $170,000</t>
  </si>
  <si>
    <t>Recorded in $10,000 steps. Band into income groups for segmentation; display as [$$-en-US]#,##0.</t>
  </si>
  <si>
    <t>Number of children.</t>
  </si>
  <si>
    <t>0 – 5</t>
  </si>
  <si>
    <t>No cleaning needed.</t>
  </si>
  <si>
    <t>Text (category)</t>
  </si>
  <si>
    <t>Highest level of education completed.</t>
  </si>
  <si>
    <t>Partial High School, High School, Partial College, Bachelors, Graduate Degree</t>
  </si>
  <si>
    <t>Ordinal: needs an ordered sort (Partial High School → High School → Partial College → Bachelors → Graduate Degree), not alphabetical.</t>
  </si>
  <si>
    <t>Occupation group.</t>
  </si>
  <si>
    <t>Manual, Skilled Manual, Clerical, Professional, Management</t>
  </si>
  <si>
    <t>Text (Yes/No)</t>
  </si>
  <si>
    <t>Whether the customer owns their home.</t>
  </si>
  <si>
    <t>Yes, No</t>
  </si>
  <si>
    <t>Number of cars owned.</t>
  </si>
  <si>
    <t>0 – 4</t>
  </si>
  <si>
    <t>Distance from home to work.</t>
  </si>
  <si>
    <t>0-1 Miles, 1-2 Miles, 2-5 Miles, 5-10 Miles, 10+ Miles</t>
  </si>
  <si>
    <t>Ordinal: needs a sort order (0-1, 1-2, 2-5, 5-10, 10+). Alphabetical sorting puts 10+ second.</t>
  </si>
  <si>
    <t>Geographic region.</t>
  </si>
  <si>
    <t>Europe, North America, Pacific</t>
  </si>
  <si>
    <t>Customer's age in years.</t>
  </si>
  <si>
    <t>25 – 89</t>
  </si>
  <si>
    <t>Too many distinct values to segment directly. Band into age groups.</t>
  </si>
  <si>
    <t>Whether the customer bought a bike.</t>
  </si>
  <si>
    <t>Total rows</t>
  </si>
  <si>
    <t>Unique IDs</t>
  </si>
  <si>
    <t>Exact duplicate rows</t>
  </si>
  <si>
    <t>Blank cells (all 13 fields)</t>
  </si>
  <si>
    <t>Raw dataset size.</t>
  </si>
  <si>
    <t>Unique customers after de-duplication.</t>
  </si>
  <si>
    <t>To be removed in Clean_Data.</t>
  </si>
  <si>
    <t>Married</t>
  </si>
  <si>
    <t>Female</t>
  </si>
  <si>
    <t>Male</t>
  </si>
  <si>
    <t>Single</t>
  </si>
  <si>
    <t>Age Band</t>
  </si>
  <si>
    <t>Age Band Sort</t>
  </si>
  <si>
    <t>Income Band</t>
  </si>
  <si>
    <t>Income Band Sort</t>
  </si>
  <si>
    <t>Car Ownership</t>
  </si>
  <si>
    <t>Commute Sort</t>
  </si>
  <si>
    <t>Education Sort</t>
  </si>
  <si>
    <t>Purchased Flag</t>
  </si>
  <si>
    <t>Step</t>
  </si>
  <si>
    <t>Check / Action</t>
  </si>
  <si>
    <t>Field(s)</t>
  </si>
  <si>
    <t>Rows Before</t>
  </si>
  <si>
    <t>Rows Affected</t>
  </si>
  <si>
    <t>Rows After</t>
  </si>
  <si>
    <t>Method</t>
  </si>
  <si>
    <t>Rationale</t>
  </si>
  <si>
    <t>Row count check (Raw_Data)</t>
  </si>
  <si>
    <t>All 13 fields</t>
  </si>
  <si>
    <t>Blank value check (all 13 fields)</t>
  </si>
  <si>
    <t>Exact duplicate removal</t>
  </si>
  <si>
    <t>Duplicate ID check after removal</t>
  </si>
  <si>
    <t>Range check: Age (25-89), Income ($10k-$170k), Children (0-5), Cars (0-4)</t>
  </si>
  <si>
    <t>Age, Income, Children, Cars</t>
  </si>
  <si>
    <t>Category consistency check (no typos / stray spaces in text fields)</t>
  </si>
  <si>
    <t>Marital Status, Gender, Education, Occupation, Home Owner, Commute Distance, Region, Purchased Bike</t>
  </si>
  <si>
    <t>Decode Marital Status and Gender</t>
  </si>
  <si>
    <t>Marital Status, Gender</t>
  </si>
  <si>
    <t>Derived columns added: Age Band, Age Band Sort, Income Band, Income Band Sort, Car Ownership, Commute Sort, Education Sort, Purchased Flag</t>
  </si>
  <si>
    <t>Age, Income, Cars, Commute Distance, Education, Purchased Bike</t>
  </si>
  <si>
    <t>ROWS() on Raw_Data.</t>
  </si>
  <si>
    <t>Establish the baseline row count before any cleaning.</t>
  </si>
  <si>
    <t>COUNTBLANK() across Raw_Data!A2:M1027 (Rows Affected = blank cells found).</t>
  </si>
  <si>
    <t>Blanks would bias purchase rates; none found, so no imputation or exclusion needed.</t>
  </si>
  <si>
    <t>Copied Raw_Data to Clean_Data and removed rows identical across all 13 fields, keeping the first occurrence in original order.</t>
  </si>
  <si>
    <t>Duplicate customers would be double-counted and inflate segment counts and rates.</t>
  </si>
  <si>
    <t>ROWS() minus ROWS(UNIQUE()) on tbl_Clean[ID].</t>
  </si>
  <si>
    <t>Confirms ID is a true primary key: one row per customer.</t>
  </si>
  <si>
    <t>COUNTIFS() for values outside each expected range (Rows Affected = out-of-range values).</t>
  </si>
  <si>
    <t>Catches impossible or mistyped values that would distort the bands.</t>
  </si>
  <si>
    <t>Typos or trailing spaces would split one category into several and fragment segment rates.</t>
  </si>
  <si>
    <t>Recoded in place in Clean_Data: M→Married, S→Single; M→Male, F→Female (Rows Affected = rows decoded).</t>
  </si>
  <si>
    <t>Live structured-reference formulas in tbl_Clean (IFS for bands, XMATCH for sort orders, IF for the 1/0 flag).</t>
  </si>
  <si>
    <t>Bands make continuous fields segmentable; sort keys give a logical (not alphabetical) order; the flag lets purchase rate = AVERAGE(flag).</t>
  </si>
  <si>
    <t>Check</t>
  </si>
  <si>
    <t>Expected</t>
  </si>
  <si>
    <t>Actual</t>
  </si>
  <si>
    <t>Status</t>
  </si>
  <si>
    <t>Clean rows = 1,000</t>
  </si>
  <si>
    <t>Unique IDs in tbl_Clean = 1,000</t>
  </si>
  <si>
    <t>Blank cells in tbl_Clean = 0</t>
  </si>
  <si>
    <t>Raw unique rows = Clean rows</t>
  </si>
  <si>
    <t>Sum of Purchased Flag = count of "Yes" in tbl_Clean</t>
  </si>
  <si>
    <t>Only Married/Single and Male/Female in Marital Status and Gender (invalid values = 0)</t>
  </si>
  <si>
    <t>Every row has a non-blank Age Band and Income Band (missing = 0)</t>
  </si>
  <si>
    <t>Purpose: audit trail of every data-quality check and cleaning action from Raw_Data to Clean_Data, with live validation checks.</t>
  </si>
  <si>
    <t>Purpose: live purchase rate, lift vs the overall average and buyer share for every segment of every factor, ranked by how strongly each factor separates buyers.</t>
  </si>
  <si>
    <t>Segment</t>
  </si>
  <si>
    <t>Customers</t>
  </si>
  <si>
    <t>Buyers</t>
  </si>
  <si>
    <t>Purchase Rate</t>
  </si>
  <si>
    <t>Lift vs Avg</t>
  </si>
  <si>
    <t>Share of All Buyers</t>
  </si>
  <si>
    <t>Factor</t>
  </si>
  <si>
    <t>Spread (pp)</t>
  </si>
  <si>
    <t>Purpose: chi-square tests of independence for each factor vs bike purchase, with effect size (Cramér's V), to separate real drivers from chance.</t>
  </si>
  <si>
    <t>How to read this</t>
  </si>
  <si>
    <t>• p-value &lt; 0.05 = the difference is statistically significant (unlikely to be chance).</t>
  </si>
  <si>
    <t>• Cramér's V = strength of the relationship: &lt;0.10 Negligible, 0.10–0.19 Small, 0.20–0.29 Moderate, ≥0.30 Strong.</t>
  </si>
  <si>
    <t>Bought</t>
  </si>
  <si>
    <t>Total</t>
  </si>
  <si>
    <t>Chi-square statistic</t>
  </si>
  <si>
    <t>Degrees of freedom</t>
  </si>
  <si>
    <t>p-value</t>
  </si>
  <si>
    <t>Cramér's V</t>
  </si>
  <si>
    <t>Min expected count</t>
  </si>
  <si>
    <t>Chi-square</t>
  </si>
  <si>
    <t>df</t>
  </si>
  <si>
    <t>Min Expected</t>
  </si>
  <si>
    <t>p check (CHISQ.DIST.RT)</t>
  </si>
  <si>
    <t>Strength</t>
  </si>
  <si>
    <t>Significant?</t>
  </si>
  <si>
    <t>Valid (min expected ≥5)</t>
  </si>
  <si>
    <t>Plain-English Verdict</t>
  </si>
  <si>
    <t>Purpose: score all 1,000 customers from their segments' purchase rates, test how well the score concentrates buyers, and list who to follow up first.</t>
  </si>
  <si>
    <t>• Score = weighted average of the purchase rates of each customer's segments.</t>
  </si>
  <si>
    <t>• Weights = Cramér's V from Significance_Tests, normalised to sum to 1.</t>
  </si>
  <si>
    <t>• Excluded: Occupation, Home Owner, Gender (not significant); Cars (duplicates Car Ownership).</t>
  </si>
  <si>
    <t>• Limitation: rates and scores come from the same 1,000 customers (in-sample), so results are indicative, not a validated forecast.</t>
  </si>
  <si>
    <t>Inputs</t>
  </si>
  <si>
    <t>Hot tier: up to decile</t>
  </si>
  <si>
    <t>Warm tier: up to decile</t>
  </si>
  <si>
    <t>Follow-up list size</t>
  </si>
  <si>
    <t>Weight</t>
  </si>
  <si>
    <t>Key</t>
  </si>
  <si>
    <t>0-1 Cars</t>
  </si>
  <si>
    <t>2+ Cars</t>
  </si>
  <si>
    <t>25-30</t>
  </si>
  <si>
    <t>31-40</t>
  </si>
  <si>
    <t>41-50</t>
  </si>
  <si>
    <t>51-60</t>
  </si>
  <si>
    <t>61+</t>
  </si>
  <si>
    <t>0</t>
  </si>
  <si>
    <t>1</t>
  </si>
  <si>
    <t>2</t>
  </si>
  <si>
    <t>3</t>
  </si>
  <si>
    <t>4</t>
  </si>
  <si>
    <t>5</t>
  </si>
  <si>
    <t>$10k-30k</t>
  </si>
  <si>
    <t>$40k-60k</t>
  </si>
  <si>
    <t>$70k-90k</t>
  </si>
  <si>
    <t>$100k+</t>
  </si>
  <si>
    <t>Segment check:</t>
  </si>
  <si>
    <t>Rank</t>
  </si>
  <si>
    <t>Decile</t>
  </si>
  <si>
    <t>Tier</t>
  </si>
  <si>
    <t>Hot</t>
  </si>
  <si>
    <t>Warm</t>
  </si>
  <si>
    <t>Cold</t>
  </si>
  <si>
    <t>Cumulative Buyers</t>
  </si>
  <si>
    <t>% of All Buyers Captured</t>
  </si>
  <si>
    <t>Score Range (min–max)</t>
  </si>
  <si>
    <t>Deciles 1–3 = Hot</t>
  </si>
  <si>
    <t>Deciles 4–6 = Warm; 7–10 = Cold</t>
  </si>
  <si>
    <t>Choose a value for each factor (or (Any) to ignore it). Results update instantly.</t>
  </si>
  <si>
    <t>(Any)</t>
  </si>
  <si>
    <t>Why this score</t>
  </si>
  <si>
    <t>Selected</t>
  </si>
  <si>
    <t>Segment Purchase Rate</t>
  </si>
  <si>
    <t>Contribution (pp)</t>
  </si>
  <si>
    <t>Results</t>
  </si>
  <si>
    <t>Workings (live from Lead_Scoring)</t>
  </si>
  <si>
    <t>Real customers like this</t>
  </si>
  <si>
    <t>Note</t>
  </si>
  <si>
    <t>Verdict</t>
  </si>
  <si>
    <t>Purchase Rate by Age Band</t>
  </si>
  <si>
    <t>Purchase Rate by Commute Distance</t>
  </si>
  <si>
    <t>Purchase Rate by Cars</t>
  </si>
  <si>
    <t>Purchase Rate by Children</t>
  </si>
  <si>
    <t>Purchase Rate by Car Ownership</t>
  </si>
  <si>
    <t>1,000 customers · purchase rate analysis · use the slicers to filter</t>
  </si>
  <si>
    <t>Slicers filter the KPI cards and the four purchase-rate charts. Model charts show all customers.</t>
  </si>
  <si>
    <t>Chart data — do not edit</t>
  </si>
  <si>
    <t>% of Customers Targeted</t>
  </si>
  <si>
    <t>Model</t>
  </si>
  <si>
    <t>Random</t>
  </si>
  <si>
    <t>Significant</t>
  </si>
  <si>
    <t>Not significant</t>
  </si>
  <si>
    <t>Excel Tables, dynamic array formulas (LET, XLOOKUP, UNIQUE, FILTER, SORTBY), COUNTIFS, CHISQ.TEST, PivotTables, PivotCharts, slicers, GETPIVOTDATA, data validation, conditional formatting.</t>
  </si>
  <si>
    <t>Log of every data issue found and the cleaning action taken, with live checks against Raw_Data.</t>
  </si>
  <si>
    <t>Clean dataset (tbl_Clean): 1,000 de-duplicated customers with decoded fields, plus 8 live formula columns (bands, sort keys, 1/0 purchase flag).</t>
  </si>
  <si>
    <t>Purchase rate and lift by every customer attribute and band, with a factor ranking by spread.</t>
  </si>
  <si>
    <t>Chi-square tests (CHISQ.TEST) and Cramér's V showing which factors are significantly linked to purchasing.</t>
  </si>
  <si>
    <t>0–100 propensity score, rank, decile and Hot/Warm/Cold tier for every customer, with tier summary and gains table.</t>
  </si>
  <si>
    <t>Interactive dropdowns: pick a customer profile to see its estimated purchase rate, score, tier and matching customers.</t>
  </si>
  <si>
    <t>Pivot_Analysis</t>
  </si>
  <si>
    <t>One-page summary: KPI cards, takeaways and four slicer-driven PivotCharts, plus two static model charts.</t>
  </si>
  <si>
    <t>#</t>
  </si>
  <si>
    <t>Where</t>
  </si>
  <si>
    <t>What</t>
  </si>
  <si>
    <t>Why</t>
  </si>
  <si>
    <t>Dashboard, columns AA–AI (hidden)</t>
  </si>
  <si>
    <t>Chart data area for the two model charts: the gains table with "% of customers targeted", a random-targeting line and a 0% start point; Cramér's V split into "Significant" and "Not significant" columns, with #N/A where a factor doesn't belong.</t>
  </si>
  <si>
    <t>Ordinary charts must read from cells. Reshaping lets the gains curve compare the model with random targeting and lets bars be coloured by significance (#N/A draws no bar). Hidden to keep the dashboard clean; both charts are set to show data in hidden columns. Right-click the column headers → Unhide to inspect.</t>
  </si>
  <si>
    <t>The 13 original columns are pasted values after de-duplication; the 8 derived columns are live formulas.</t>
  </si>
  <si>
    <t>An Excel Table can't hold a live UNIQUE() spill. Data_Quality_Log re-checks Clean_Data against Raw_Data with live formulas.</t>
  </si>
  <si>
    <t>Commute Distance order set manually (10+ Miles moved to the end).</t>
  </si>
  <si>
    <t>PivotTables sort text alphabetically, which would put 10+ before 2-5. A manual order persists on refresh.</t>
  </si>
  <si>
    <t>Dashboard slicers</t>
  </si>
  <si>
    <t>One click filters every PivotChart, KPI card and takeaway together.</t>
  </si>
  <si>
    <t>Slicers + PivotCharts for the filtered views; formula-based charts for the model results.</t>
  </si>
  <si>
    <t>Slicers can only drive PivotTables. Model results describe the whole customer base, so they stay fixed.</t>
  </si>
  <si>
    <t>Dropdowns (data validation) instead of slicers.</t>
  </si>
  <si>
    <t>The checker scores one hypothetical profile with formulas, which slicers can't drive.</t>
  </si>
  <si>
    <t>Ties in Raw Score broken by lower ID; Decile = ROUNDUP(Rank × 10 / customers).</t>
  </si>
  <si>
    <t>Unique ranks give exactly 100 customers per decile.</t>
  </si>
  <si>
    <t>Model uses 8 factors; excludes Cars (duplicates Car Ownership) and Occupation, Home Owner, Gender (not significant).</t>
  </si>
  <si>
    <t>Avoids double-counting and keeps only factors with statistical evidence (Significance_Tests).</t>
  </si>
  <si>
    <t>Scores outside the real customers' range are clamped to 0–100; likelihood uses the tier's actual purchase rate, not the decile's.</t>
  </si>
  <si>
    <t>Hypothetical profiles can be more extreme than any real customer; deciles 6 and 8 are uneven, tier rates are more stable.</t>
  </si>
  <si>
    <t>Lead_Scoring / Profile_Checker</t>
  </si>
  <si>
    <t>Rates and scores are in-sample (built and evaluated on the same 1,000 customers).</t>
  </si>
  <si>
    <t>Clean_Data and money cells</t>
  </si>
  <si>
    <t>Currency format [$$-en-US]#,##0.</t>
  </si>
  <si>
    <t>Prevents the en-NG locale displaying £.</t>
  </si>
  <si>
    <t>Dashboard KPI cards</t>
  </si>
  <si>
    <t>Custom small-group warning: shows "⚠ Small group (n = X)" when filtered customers &lt; 50.</t>
  </si>
  <si>
    <t>Percentages from small groups swing wildly (one customer can move the rate by 2+ pp); the threshold of 50 is a common rule of thumb, not an Excel feature.</t>
  </si>
  <si>
    <t>Customers by Age Band (segment sizes for takeaways)</t>
  </si>
  <si>
    <t>Customers by Commute Distance (segment sizes for takeaways)</t>
  </si>
  <si>
    <t>Customers by Car Ownership (segment sizes for takeaways)</t>
  </si>
  <si>
    <t>Takeaway minimum group size</t>
  </si>
  <si>
    <t>Each slicer is connected to all 9 PivotTables via Report Connections.</t>
  </si>
  <si>
    <t>Takeaways ignore segments with fewer than Takeaway_MinN (10) customers and show n. Three count-only PivotTables supply the segment sizes and are connected to all 3 slicers.</t>
  </si>
  <si>
    <t>Without this, heavy filtering produced claims like "buys at 100%" based on 1–2 customers.</t>
  </si>
  <si>
    <t>Recommendation</t>
  </si>
  <si>
    <t>Evidence (live)</t>
  </si>
  <si>
    <t>Source</t>
  </si>
  <si>
    <t>Priority</t>
  </si>
  <si>
    <t>High</t>
  </si>
  <si>
    <t>Segment_Analysis, Significance_Tests</t>
  </si>
  <si>
    <t>Medium</t>
  </si>
  <si>
    <t>Don't segment campaigns by gender, home ownership or occupation.</t>
  </si>
  <si>
    <t>Score new prospects with the Profile Checker before outreach.</t>
  </si>
  <si>
    <t>Low</t>
  </si>
  <si>
    <t>Limitations</t>
  </si>
  <si>
    <t>Limitation</t>
  </si>
  <si>
    <t>Why it matters</t>
  </si>
  <si>
    <t>Mitigation</t>
  </si>
  <si>
    <t>Real-world lift may be lower</t>
  </si>
  <si>
    <t>Validate on a hold-out set or the next campaign's results</t>
  </si>
  <si>
    <t>Correlation, not causation</t>
  </si>
  <si>
    <t>Car ownership may proxy for income, location or lifestyle</t>
  </si>
  <si>
    <t>Run an A/B test: Hot-tier targeting vs random</t>
  </si>
  <si>
    <t>Scores rank well at the top and bottom, less precisely in the middle</t>
  </si>
  <si>
    <t>Use tiers (Hot/Warm/Cold), not exact scores</t>
  </si>
  <si>
    <t>Rates from small groups are unstable</t>
  </si>
  <si>
    <t>Small-group warnings and minimum-n takeaways are built in</t>
  </si>
  <si>
    <t>No cost or revenue data</t>
  </si>
  <si>
    <t>Can't calculate campaign ROI</t>
  </si>
  <si>
    <t>Add cost per contact and margin per bike to estimate return</t>
  </si>
  <si>
    <t>Public sample dataset (Alex the Analyst)</t>
  </si>
  <si>
    <t>Not a real company's customers</t>
  </si>
  <si>
    <t>Treat as a method demonstration</t>
  </si>
  <si>
    <t>• Pilot an A/B test: Hot-tier targeting vs random selection on the next campaign.</t>
  </si>
  <si>
    <t>• Refit the model with logistic regression on new campaign data.</t>
  </si>
  <si>
    <t>• Add cost and revenue data to compute campaign ROI.</t>
  </si>
  <si>
    <t>Dashboard chart titles (linked)</t>
  </si>
  <si>
    <t>Cars Owned</t>
  </si>
  <si>
    <t>Number of Children</t>
  </si>
  <si>
    <t>Model · all customers</t>
  </si>
  <si>
    <t>Pivot_Analysis E8:F12</t>
  </si>
  <si>
    <t>Title cells for the 4 PivotCharts, linked to Baseline_Rate.</t>
  </si>
  <si>
    <t>PivotChart titles can only link to a cell, so these cells build "… (overall avg 48.1%)" and keep the average live.</t>
  </si>
  <si>
    <t>Purpose: PivotTables feeding the Dashboard charts, KPI cards and slicers.</t>
  </si>
  <si>
    <t>Purpose: turns the analysis into actions for the Marketing Manager, with the evidence and limits behind each.</t>
  </si>
  <si>
    <t>Who Buys Bikes? Customer targeting dashboard</t>
  </si>
  <si>
    <t>Purchase rate</t>
  </si>
  <si>
    <t>Takeaways (these follow the slicers)</t>
  </si>
  <si>
    <t>Chart data for the model charts is in hidden columns AA–AI. See README_Brief › Technical notes.</t>
  </si>
  <si>
    <t>Purpose: project brief with the business question, approach and dataset, and a guide to every sheet in this workbook.</t>
  </si>
  <si>
    <t>Business question</t>
  </si>
  <si>
    <t>Success metric</t>
  </si>
  <si>
    <t>Sheet index</t>
  </si>
  <si>
    <t>Malachy Ugwu (github.com/Shikamaru-n)</t>
  </si>
  <si>
    <t>Project brief, approach, this sheet index and technical notes.</t>
  </si>
  <si>
    <t>Original source data (1,026 rows × 13 fields). Read-only and never modified.</t>
  </si>
  <si>
    <t>Technical notes</t>
  </si>
  <si>
    <t>Results are indicative, not a validated forecast. See Recommendations.</t>
  </si>
  <si>
    <t>Dashboard takeaways + Pivot_Analysis (pt_AgeN, pt_CommuteN, pt_CarOwnN)</t>
  </si>
  <si>
    <t>Data dictionary</t>
  </si>
  <si>
    <t>Purpose: defines every Raw_Data field (type, meaning, examples and live unique-value count) and the cleaning it needs before analysis.</t>
  </si>
  <si>
    <t>Target variable. Convert to a 1/0 flag in Clean_Data so purchase rate = AVERAGE(flag).</t>
  </si>
  <si>
    <t>Live data checks (against Raw_Data)</t>
  </si>
  <si>
    <t>No blank values in any field, so no imputation is needed.</t>
  </si>
  <si>
    <t>Data quality log</t>
  </si>
  <si>
    <t>LEN() vs LEN(TRIM()) for stray spaces (Rows Affected = cells with stray spaces). UNIQUE() level counts were reviewed against Data_Dictionary and showed no unexpected variants.</t>
  </si>
  <si>
    <t>Validation checks</t>
  </si>
  <si>
    <t>Overall data quality:</t>
  </si>
  <si>
    <t>Clean data</t>
  </si>
  <si>
    <t>Purpose: analysis-ready dataset of 1,000 unique customers (26 exact duplicates removed), with codes decoded and live band, sort and flag columns.</t>
  </si>
  <si>
    <t>Segment analysis: purchase rate by customer attribute</t>
  </si>
  <si>
    <t>Total customers</t>
  </si>
  <si>
    <t>Total buyers</t>
  </si>
  <si>
    <t>Overall purchase rate</t>
  </si>
  <si>
    <t>Observations</t>
  </si>
  <si>
    <t>Factor ranking (sorted by spread, highest first)</t>
  </si>
  <si>
    <t>Ranking workings (unsorted; feeds the factor ranking above)</t>
  </si>
  <si>
    <t>Sample flag</t>
  </si>
  <si>
    <t>Highest segment</t>
  </si>
  <si>
    <t>Highest rate</t>
  </si>
  <si>
    <t>Lowest segment</t>
  </si>
  <si>
    <t>Lowest rate</t>
  </si>
  <si>
    <t>Significance tests: which factors really matter?</t>
  </si>
  <si>
    <t>• Chi-square test: compares actual buyers per segment with the number expected if the factor had no effect.</t>
  </si>
  <si>
    <t>Results summary (sorted by Cramér's V, strongest first)</t>
  </si>
  <si>
    <t>Test workings (unsorted, in block order; feeds the results summary)</t>
  </si>
  <si>
    <t>Not bought</t>
  </si>
  <si>
    <t>Expected bought</t>
  </si>
  <si>
    <t>Expected not bought</t>
  </si>
  <si>
    <t>Customer scores (all customers, tbl_Clean order)</t>
  </si>
  <si>
    <t>Raw score</t>
  </si>
  <si>
    <t>Lead score (0-100)</t>
  </si>
  <si>
    <t>Non-buyers shown in the priority follow-up list</t>
  </si>
  <si>
    <t>Model weights</t>
  </si>
  <si>
    <t>Tier summary</t>
  </si>
  <si>
    <t>Gains table (by score decile, 1 = highest scores)</t>
  </si>
  <si>
    <t>Segment rates (lookup for scoring)</t>
  </si>
  <si>
    <t>Lead score</t>
  </si>
  <si>
    <t>Profile checker: what drives a customer profile's purchase rate</t>
  </si>
  <si>
    <t>Dropdown lists (helper, live from tbl_SegmentRates; do not edit)</t>
  </si>
  <si>
    <t>Selection</t>
  </si>
  <si>
    <t>Estimated purchase likelihood</t>
  </si>
  <si>
    <t>Lift vs average</t>
  </si>
  <si>
    <t>Raw score min (all customers)</t>
  </si>
  <si>
    <t>Raw score max (all customers)</t>
  </si>
  <si>
    <t>Matching customers</t>
  </si>
  <si>
    <t>Matching buyers</t>
  </si>
  <si>
    <t>Actual purchase rate</t>
  </si>
  <si>
    <t>Pivot analysis: PivotTables feeding the Dashboard</t>
  </si>
  <si>
    <t>KPI totals (all customers)</t>
  </si>
  <si>
    <t>The Dashboard takeaways ignore segments smaller than this.</t>
  </si>
  <si>
    <t>Recommendations: who to target</t>
  </si>
  <si>
    <t>Executive summary</t>
  </si>
  <si>
    <t>Next steps</t>
  </si>
  <si>
    <t>With a limited marketing budget, which customers should the retailer target to sell more bikes?</t>
  </si>
  <si>
    <t>Find the groups most likely to buy, then score every customer so the best leads come first.</t>
  </si>
  <si>
    <t>Nine PivotTables. Six feed the Dashboard charts and KPI cards (KPIs, Age Band, Commute, Cars, Children, Car Ownership); three count segment sizes for the takeaways.</t>
  </si>
  <si>
    <t>Seven actions for the Marketing Manager, each backed by a live number, plus limitations and next steps.</t>
  </si>
  <si>
    <t>Readable labels for charts and slicers. It also removes the clash between M (Married) and M (Male).</t>
  </si>
  <si>
    <t>Lead scoring: ranking every customer by how likely they are to buy</t>
  </si>
  <si>
    <t>Contact Hot-tier customers first, starting with the priority follow-up list (top 25 non-buyers).</t>
  </si>
  <si>
    <t>Pitch bikes as everyday transport to households with 0–1 cars.</t>
  </si>
  <si>
    <t>Aim ads and channels at customers aged 31–40.</t>
  </si>
  <si>
    <t>Target people who commute under 5 miles. Spend less on those travelling 10+ miles.</t>
  </si>
  <si>
    <t>Put the most regional spend into Pacific. In North America, test new messages before cutting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</si>
</sst>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00"/>
    <numFmt numFmtId="165" formatCode="[$$-409]#,##0"/>
    <numFmt numFmtId="166" formatCode="0.0%"/>
    <numFmt numFmtId="167" formatCode="0.00&quot;x&quot;"/>
    <numFmt numFmtId="168" formatCode="0.0&quot; pp&quot;"/>
    <numFmt numFmtId="169" formatCode="0.0000"/>
    <numFmt numFmtId="170" formatCode="0.000"/>
    <numFmt numFmtId="171" formatCode="0.0"/>
    <numFmt numFmtId="172" formatCode="\+0.00&quot; pp&quot;;\-0.00&quot; pp&quot;;0.00&quot; pp&quot;"/>
  </numFmts>
  <fonts count="42" x14ac:knownFonts="1">
    <font>
      <sz val="11"/>
      <color theme="1"/>
      <name val="Aptos Narrow"/>
      <family val="2"/>
      <scheme val="minor"/>
    </font>
    <font>
      <u/>
      <sz val="11"/>
      <color theme="1"/>
      <name val="Aptos Narrow"/>
      <family val="2"/>
      <scheme val="minor"/>
    </font>
    <font>
      <sz val="11"/>
      <color theme="1"/>
      <name val="Calibri"/>
    </font>
    <font>
      <b/>
      <sz val="18"/>
      <color rgb="FF1F3A5F"/>
      <name val="Calibri"/>
    </font>
    <font>
      <i/>
      <sz val="11"/>
      <color rgb="FF595959"/>
      <name val="Calibri"/>
    </font>
    <font>
      <b/>
      <sz val="11"/>
      <color rgb="FF1F3A5F"/>
      <name val="Calibri"/>
    </font>
    <font>
      <b/>
      <sz val="14"/>
      <color rgb="FF1F3A5F"/>
      <name val="Calibri"/>
    </font>
    <font>
      <b/>
      <sz val="11"/>
      <color rgb="FFFFFFFF"/>
      <name val="Calibri"/>
    </font>
    <font>
      <b/>
      <sz val="11"/>
      <color theme="1"/>
      <name val="Calibri"/>
    </font>
    <font>
      <b/>
      <sz val="12"/>
      <color rgb="FF1F3A5F"/>
      <name val="Calibri"/>
    </font>
    <font>
      <i/>
      <sz val="11"/>
      <color rgb="FFC00000"/>
      <name val="Calibri"/>
    </font>
    <font>
      <b/>
      <i/>
      <sz val="10"/>
      <color rgb="FF595959"/>
      <name val="Calibri"/>
    </font>
    <font>
      <sz val="11"/>
      <color rgb="FF595959"/>
      <name val="Calibri"/>
    </font>
    <font>
      <b/>
      <sz val="11"/>
      <color theme="1"/>
      <name val="Aptos Narrow"/>
      <family val="2"/>
      <scheme val="minor"/>
    </font>
    <font>
      <i/>
      <sz val="11"/>
      <color theme="1"/>
      <name val="Calibri"/>
    </font>
    <font>
      <b/>
      <sz val="14"/>
      <color rgb="FFFFFFFF"/>
      <name val="Calibri"/>
    </font>
    <font>
      <sz val="11"/>
      <color rgb="FF0000FF"/>
      <name val="Calibri"/>
    </font>
    <font>
      <sz val="11"/>
      <color rgb="FF7F7F7F"/>
      <name val="Calibri"/>
    </font>
    <font>
      <i/>
      <sz val="11"/>
      <color rgb="FF7F7F7F"/>
      <name val="Calibri"/>
    </font>
    <font>
      <b/>
      <sz val="11"/>
      <color rgb="FF404040"/>
      <name val="Calibri"/>
    </font>
    <font>
      <b/>
      <sz val="13"/>
      <color rgb="FFFFFFFF"/>
      <name val="Calibri"/>
    </font>
    <font>
      <b/>
      <sz val="16"/>
      <color theme="1"/>
      <name val="Calibri"/>
    </font>
    <font>
      <b/>
      <sz val="16"/>
      <color rgb="FF000000"/>
      <name val="Calibri"/>
    </font>
    <font>
      <b/>
      <i/>
      <sz val="10"/>
      <color rgb="FF7F7F7F"/>
      <name val="Calibri"/>
    </font>
    <font>
      <sz val="10"/>
      <color rgb="FF7F7F7F"/>
      <name val="Calibri"/>
    </font>
    <font>
      <i/>
      <sz val="11"/>
      <color rgb="FF595959"/>
      <name val="Aptos Narrow"/>
      <family val="2"/>
      <scheme val="minor"/>
    </font>
    <font>
      <b/>
      <sz val="12"/>
      <color rgb="FF1F3A5F"/>
      <name val="Aptos Narrow"/>
      <family val="2"/>
      <scheme val="minor"/>
    </font>
    <font>
      <b/>
      <sz val="11"/>
      <color rgb="FFC00000"/>
      <name val="Calibri"/>
    </font>
    <font>
      <sz val="11"/>
      <color rgb="FF0000FF"/>
      <name val="Aptos Narrow"/>
      <family val="2"/>
      <scheme val="minor"/>
    </font>
    <font>
      <sz val="12"/>
      <color theme="1"/>
      <name val="Aptos Narrow"/>
      <family val="2"/>
      <scheme val="minor"/>
    </font>
    <font>
      <sz val="11"/>
      <color theme="1"/>
      <name val="Aptos Narrow"/>
    </font>
    <font>
      <b/>
      <sz val="20"/>
      <color rgb="FFFFFFFF"/>
      <name val="Aptos Narrow"/>
      <scheme val="minor"/>
    </font>
    <font>
      <i/>
      <sz val="11"/>
      <color rgb="FFFFFFFF"/>
      <name val="Aptos Narrow"/>
      <scheme val="minor"/>
    </font>
    <font>
      <i/>
      <sz val="9"/>
      <color rgb="FF595959"/>
      <name val="Aptos Narrow"/>
    </font>
    <font>
      <b/>
      <sz val="10"/>
      <color rgb="FF1F3A5F"/>
      <name val="Aptos Narrow"/>
      <scheme val="minor"/>
    </font>
    <font>
      <b/>
      <i/>
      <sz val="10"/>
      <color rgb="FF1F3A5F"/>
      <name val="Aptos Narrow"/>
      <scheme val="minor"/>
    </font>
    <font>
      <b/>
      <sz val="22"/>
      <color rgb="FF1F3A5F"/>
      <name val="Aptos Narrow"/>
      <scheme val="minor"/>
    </font>
    <font>
      <sz val="9"/>
      <color rgb="FF595959"/>
      <name val="Aptos Narrow"/>
      <scheme val="minor"/>
    </font>
    <font>
      <b/>
      <sz val="10"/>
      <color rgb="FFC00000"/>
      <name val="Aptos Narrow"/>
      <scheme val="minor"/>
    </font>
    <font>
      <b/>
      <sz val="10"/>
      <color rgb="FF1F3A5F"/>
      <name val="Aptos Narrow"/>
    </font>
    <font>
      <sz val="11"/>
      <color rgb="FF262626"/>
      <name val="Aptos Narrow"/>
      <scheme val="minor"/>
    </font>
    <font>
      <i/>
      <sz val="9"/>
      <color rgb="FF7F7F7F"/>
      <name val="Aptos Narrow"/>
    </font>
  </fonts>
  <fills count="9">
    <fill>
      <patternFill patternType="none"/>
    </fill>
    <fill>
      <patternFill patternType="gray125"/>
    </fill>
    <fill>
      <patternFill patternType="solid">
        <fgColor rgb="FF1F3A5F"/>
        <bgColor indexed="64"/>
      </patternFill>
    </fill>
    <fill>
      <patternFill patternType="solid">
        <fgColor theme="0" tint="-0.14999847407452621"/>
        <bgColor theme="0" tint="-0.14999847407452621"/>
      </patternFill>
    </fill>
    <fill>
      <patternFill patternType="solid">
        <fgColor rgb="FFF2F2F2"/>
        <bgColor indexed="64"/>
      </patternFill>
    </fill>
    <fill>
      <patternFill patternType="solid">
        <fgColor rgb="FFEEF2F7"/>
        <bgColor indexed="64"/>
      </patternFill>
    </fill>
    <fill>
      <patternFill patternType="solid">
        <fgColor rgb="FF8497B0"/>
        <bgColor indexed="64"/>
      </patternFill>
    </fill>
    <fill>
      <patternFill patternType="solid">
        <fgColor rgb="FFFFF2CC"/>
        <bgColor indexed="64"/>
      </patternFill>
    </fill>
    <fill>
      <patternFill patternType="solid">
        <fgColor rgb="FFD9D9D9"/>
        <bgColor indexed="64"/>
      </patternFill>
    </fill>
  </fills>
  <borders count="39">
    <border>
      <left/>
      <right/>
      <top/>
      <bottom/>
      <diagonal/>
    </border>
    <border>
      <left/>
      <right/>
      <top style="thin">
        <color rgb="FFD9D9D9"/>
      </top>
      <bottom style="thin">
        <color rgb="FFD9D9D9"/>
      </bottom>
      <diagonal/>
    </border>
    <border>
      <left/>
      <right/>
      <top style="thin">
        <color theme="1"/>
      </top>
      <bottom/>
      <diagonal/>
    </border>
    <border>
      <left/>
      <right/>
      <top style="thin">
        <color rgb="FF1F3A5F"/>
      </top>
      <bottom/>
      <diagonal/>
    </border>
    <border>
      <left/>
      <right/>
      <top/>
      <bottom style="thin">
        <color rgb="FF1F3A5F"/>
      </bottom>
      <diagonal/>
    </border>
    <border>
      <left style="thin">
        <color rgb="FF1F3A5F"/>
      </left>
      <right/>
      <top style="thin">
        <color rgb="FF1F3A5F"/>
      </top>
      <bottom/>
      <diagonal/>
    </border>
    <border>
      <left style="thin">
        <color rgb="FF1F3A5F"/>
      </left>
      <right/>
      <top/>
      <bottom/>
      <diagonal/>
    </border>
    <border>
      <left style="thin">
        <color rgb="FF1F3A5F"/>
      </left>
      <right/>
      <top/>
      <bottom style="thin">
        <color rgb="FF1F3A5F"/>
      </bottom>
      <diagonal/>
    </border>
    <border>
      <left/>
      <right style="thin">
        <color rgb="FF1F3A5F"/>
      </right>
      <top style="thin">
        <color rgb="FF1F3A5F"/>
      </top>
      <bottom/>
      <diagonal/>
    </border>
    <border>
      <left/>
      <right style="thin">
        <color rgb="FF1F3A5F"/>
      </right>
      <top/>
      <bottom/>
      <diagonal/>
    </border>
    <border>
      <left/>
      <right style="thin">
        <color rgb="FF1F3A5F"/>
      </right>
      <top/>
      <bottom style="thin">
        <color rgb="FF1F3A5F"/>
      </bottom>
      <diagonal/>
    </border>
    <border>
      <left/>
      <right/>
      <top style="thin">
        <color rgb="FF1F3A5F"/>
      </top>
      <bottom style="double">
        <color rgb="FF1F3A5F"/>
      </bottom>
      <diagonal/>
    </border>
    <border>
      <left/>
      <right/>
      <top style="thin">
        <color rgb="FF1F3A5F"/>
      </top>
      <bottom style="thin">
        <color rgb="FF1F3A5F"/>
      </bottom>
      <diagonal/>
    </border>
    <border>
      <left style="thin">
        <color rgb="FF1F3A5F"/>
      </left>
      <right/>
      <top style="thin">
        <color rgb="FF1F3A5F"/>
      </top>
      <bottom style="thin">
        <color rgb="FF1F3A5F"/>
      </bottom>
      <diagonal/>
    </border>
    <border>
      <left/>
      <right/>
      <top style="thin">
        <color rgb="FFBFBFBF"/>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1F3A5F"/>
      </right>
      <top style="thin">
        <color rgb="FF1F3A5F"/>
      </top>
      <bottom style="thin">
        <color rgb="FF1F3A5F"/>
      </bottom>
      <diagonal/>
    </border>
    <border>
      <left/>
      <right style="thin">
        <color rgb="FF7F7F7F"/>
      </right>
      <top style="thin">
        <color rgb="FF7F7F7F"/>
      </top>
      <bottom style="thin">
        <color rgb="FF7F7F7F"/>
      </bottom>
      <diagonal/>
    </border>
    <border>
      <left style="thin">
        <color rgb="FFBFBFBF"/>
      </left>
      <right style="thin">
        <color rgb="FF7F7F7F"/>
      </right>
      <top style="thin">
        <color rgb="FFBFBFBF"/>
      </top>
      <bottom style="thin">
        <color rgb="FFBFBFBF"/>
      </bottom>
      <diagonal/>
    </border>
    <border>
      <left style="medium">
        <color rgb="FF1F3A5F"/>
      </left>
      <right/>
      <top style="medium">
        <color rgb="FF1F3A5F"/>
      </top>
      <bottom/>
      <diagonal/>
    </border>
    <border>
      <left style="medium">
        <color rgb="FF1F3A5F"/>
      </left>
      <right/>
      <top/>
      <bottom style="thin">
        <color rgb="FFBFBFBF"/>
      </bottom>
      <diagonal/>
    </border>
    <border>
      <left style="medium">
        <color rgb="FF1F3A5F"/>
      </left>
      <right/>
      <top style="thin">
        <color rgb="FFBFBFBF"/>
      </top>
      <bottom style="thin">
        <color rgb="FFBFBFBF"/>
      </bottom>
      <diagonal/>
    </border>
    <border>
      <left style="medium">
        <color rgb="FF1F3A5F"/>
      </left>
      <right/>
      <top style="thin">
        <color rgb="FFBFBFBF"/>
      </top>
      <bottom style="medium">
        <color rgb="FF1F3A5F"/>
      </bottom>
      <diagonal/>
    </border>
    <border>
      <left/>
      <right style="medium">
        <color rgb="FF1F3A5F"/>
      </right>
      <top style="medium">
        <color rgb="FF1F3A5F"/>
      </top>
      <bottom/>
      <diagonal/>
    </border>
    <border>
      <left/>
      <right style="medium">
        <color rgb="FF1F3A5F"/>
      </right>
      <top/>
      <bottom style="thin">
        <color rgb="FFBFBFBF"/>
      </bottom>
      <diagonal/>
    </border>
    <border>
      <left/>
      <right style="medium">
        <color rgb="FF1F3A5F"/>
      </right>
      <top style="thin">
        <color rgb="FFBFBFBF"/>
      </top>
      <bottom style="thin">
        <color rgb="FFBFBFBF"/>
      </bottom>
      <diagonal/>
    </border>
    <border>
      <left/>
      <right style="medium">
        <color rgb="FF1F3A5F"/>
      </right>
      <top style="thin">
        <color rgb="FFBFBFBF"/>
      </top>
      <bottom style="medium">
        <color rgb="FF1F3A5F"/>
      </bottom>
      <diagonal/>
    </border>
    <border>
      <left/>
      <right/>
      <top style="thick">
        <color rgb="FF1F3A5F"/>
      </top>
      <bottom/>
      <diagonal/>
    </border>
    <border>
      <left style="thick">
        <color rgb="FFFFFFFF"/>
      </left>
      <right/>
      <top style="thick">
        <color rgb="FF1F3A5F"/>
      </top>
      <bottom/>
      <diagonal/>
    </border>
    <border>
      <left style="thick">
        <color rgb="FFFFFFFF"/>
      </left>
      <right/>
      <top/>
      <bottom/>
      <diagonal/>
    </border>
    <border>
      <left/>
      <right style="thick">
        <color rgb="FFFFFFFF"/>
      </right>
      <top style="thick">
        <color rgb="FF1F3A5F"/>
      </top>
      <bottom/>
      <diagonal/>
    </border>
    <border>
      <left/>
      <right style="thick">
        <color rgb="FFFFFFFF"/>
      </right>
      <top/>
      <bottom/>
      <diagonal/>
    </border>
    <border>
      <left style="thick">
        <color rgb="FF1F3A5F"/>
      </left>
      <right/>
      <top/>
      <bottom/>
      <diagonal/>
    </border>
    <border>
      <left style="thick">
        <color rgb="FF1F3A5F"/>
      </left>
      <right/>
      <top style="thin">
        <color rgb="FFBFBFBF"/>
      </top>
      <bottom/>
      <diagonal/>
    </border>
    <border>
      <left style="thick">
        <color rgb="FF1F3A5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s>
  <cellStyleXfs count="1">
    <xf numFmtId="0" fontId="0" fillId="0" borderId="0"/>
  </cellStyleXfs>
  <cellXfs count="209">
    <xf numFmtId="0" fontId="0" fillId="0" borderId="0" xfId="0"/>
    <xf numFmtId="16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vertical="top" wrapText="1"/>
    </xf>
    <xf numFmtId="0" fontId="5" fillId="0" borderId="1" xfId="0" applyFont="1" applyBorder="1" applyAlignment="1">
      <alignment vertical="top"/>
    </xf>
    <xf numFmtId="0" fontId="2" fillId="0" borderId="1" xfId="0" applyFont="1" applyBorder="1" applyAlignment="1">
      <alignment vertical="top" wrapText="1"/>
    </xf>
    <xf numFmtId="0" fontId="6" fillId="0" borderId="0" xfId="0" applyFont="1"/>
    <xf numFmtId="0" fontId="7" fillId="2" borderId="0" xfId="0" applyFont="1" applyFill="1"/>
    <xf numFmtId="0" fontId="2" fillId="0" borderId="1" xfId="0" applyFont="1" applyBorder="1"/>
    <xf numFmtId="3" fontId="2" fillId="0" borderId="1" xfId="0" applyNumberFormat="1" applyFont="1" applyBorder="1" applyAlignment="1">
      <alignment horizontal="center"/>
    </xf>
    <xf numFmtId="0" fontId="8" fillId="0" borderId="1" xfId="0" applyFont="1" applyBorder="1"/>
    <xf numFmtId="0" fontId="7" fillId="2" borderId="0" xfId="0" applyFont="1" applyFill="1" applyAlignment="1">
      <alignment vertical="center" wrapText="1"/>
    </xf>
    <xf numFmtId="0" fontId="8" fillId="0" borderId="0" xfId="0" applyFont="1" applyAlignment="1">
      <alignment vertical="top" wrapText="1"/>
    </xf>
    <xf numFmtId="0" fontId="7" fillId="2" borderId="0" xfId="0" applyFont="1" applyFill="1" applyAlignment="1">
      <alignment horizontal="center" vertical="center" wrapText="1"/>
    </xf>
    <xf numFmtId="0" fontId="2" fillId="0" borderId="0" xfId="0" applyFont="1" applyAlignment="1">
      <alignment horizontal="center" vertical="top" wrapText="1"/>
    </xf>
    <xf numFmtId="3" fontId="2" fillId="0" borderId="0" xfId="0" applyNumberFormat="1" applyFont="1" applyAlignment="1">
      <alignment horizontal="center" vertical="top" wrapText="1"/>
    </xf>
    <xf numFmtId="165" fontId="2" fillId="0" borderId="0" xfId="0" applyNumberFormat="1" applyFont="1"/>
    <xf numFmtId="0" fontId="2" fillId="0" borderId="0" xfId="0" applyFont="1" applyAlignment="1">
      <alignment horizontal="center"/>
    </xf>
    <xf numFmtId="0" fontId="2" fillId="3" borderId="2" xfId="0" applyFont="1" applyFill="1" applyBorder="1" applyAlignment="1">
      <alignment vertical="top" wrapText="1"/>
    </xf>
    <xf numFmtId="0" fontId="2" fillId="3" borderId="0" xfId="0" applyFont="1" applyFill="1" applyAlignment="1">
      <alignment vertical="top" wrapText="1"/>
    </xf>
    <xf numFmtId="0" fontId="2" fillId="3" borderId="2" xfId="0" applyFont="1" applyFill="1" applyBorder="1" applyAlignment="1">
      <alignment horizontal="center" vertical="top" wrapText="1"/>
    </xf>
    <xf numFmtId="0" fontId="2" fillId="3" borderId="0" xfId="0" applyFont="1" applyFill="1" applyAlignment="1">
      <alignment horizontal="center" vertical="top" wrapText="1"/>
    </xf>
    <xf numFmtId="3" fontId="2" fillId="3" borderId="2" xfId="0" applyNumberFormat="1" applyFont="1" applyFill="1" applyBorder="1" applyAlignment="1">
      <alignment horizontal="center" vertical="top" wrapText="1"/>
    </xf>
    <xf numFmtId="3" fontId="2" fillId="3" borderId="0" xfId="0" applyNumberFormat="1" applyFont="1" applyFill="1" applyAlignment="1">
      <alignment horizontal="center" vertical="top" wrapText="1"/>
    </xf>
    <xf numFmtId="0" fontId="8" fillId="0" borderId="0" xfId="0" applyFont="1" applyAlignment="1">
      <alignment horizontal="center" vertical="top" wrapText="1"/>
    </xf>
    <xf numFmtId="0" fontId="5" fillId="0" borderId="0" xfId="0" applyFont="1" applyAlignment="1">
      <alignment horizontal="right"/>
    </xf>
    <xf numFmtId="0" fontId="8" fillId="0" borderId="0" xfId="0" applyFont="1" applyAlignment="1">
      <alignment horizontal="center"/>
    </xf>
    <xf numFmtId="0" fontId="8" fillId="4" borderId="0" xfId="0" applyFont="1" applyFill="1"/>
    <xf numFmtId="3" fontId="6" fillId="4" borderId="0" xfId="0" applyNumberFormat="1" applyFont="1" applyFill="1" applyAlignment="1">
      <alignment horizontal="center" vertical="center"/>
    </xf>
    <xf numFmtId="166" fontId="6" fillId="4" borderId="0" xfId="0" applyNumberFormat="1" applyFont="1" applyFill="1" applyAlignment="1">
      <alignment horizontal="center" vertical="center"/>
    </xf>
    <xf numFmtId="0" fontId="2" fillId="5" borderId="0" xfId="0" applyFont="1" applyFill="1"/>
    <xf numFmtId="0" fontId="2" fillId="5" borderId="3" xfId="0" applyFont="1" applyFill="1" applyBorder="1"/>
    <xf numFmtId="0" fontId="2" fillId="5" borderId="4" xfId="0" applyFont="1" applyFill="1" applyBorder="1"/>
    <xf numFmtId="0" fontId="2" fillId="5" borderId="6" xfId="0" applyFont="1" applyFill="1" applyBorder="1"/>
    <xf numFmtId="0" fontId="2" fillId="5" borderId="7" xfId="0" applyFont="1" applyFill="1" applyBorder="1"/>
    <xf numFmtId="0" fontId="2" fillId="5" borderId="8" xfId="0" applyFont="1" applyFill="1" applyBorder="1"/>
    <xf numFmtId="0" fontId="2" fillId="5" borderId="9" xfId="0" applyFont="1" applyFill="1" applyBorder="1"/>
    <xf numFmtId="0" fontId="2" fillId="5" borderId="10" xfId="0" applyFont="1" applyFill="1" applyBorder="1"/>
    <xf numFmtId="0" fontId="5" fillId="5" borderId="5" xfId="0" applyFont="1" applyFill="1" applyBorder="1"/>
    <xf numFmtId="0" fontId="9" fillId="5" borderId="5" xfId="0" applyFont="1" applyFill="1" applyBorder="1"/>
    <xf numFmtId="0" fontId="8" fillId="0" borderId="0" xfId="0" applyFont="1"/>
    <xf numFmtId="0" fontId="9" fillId="0" borderId="0" xfId="0" applyFont="1"/>
    <xf numFmtId="0" fontId="7" fillId="2" borderId="0" xfId="0" applyFont="1" applyFill="1" applyAlignment="1">
      <alignment horizontal="center" wrapText="1"/>
    </xf>
    <xf numFmtId="0" fontId="2" fillId="0" borderId="0" xfId="0" applyFont="1" applyAlignment="1">
      <alignment horizontal="left"/>
    </xf>
    <xf numFmtId="0" fontId="2" fillId="4" borderId="0" xfId="0" applyFont="1" applyFill="1" applyAlignment="1">
      <alignment horizontal="left"/>
    </xf>
    <xf numFmtId="0" fontId="2" fillId="4" borderId="0" xfId="0" applyFont="1" applyFill="1" applyAlignment="1">
      <alignment horizontal="center"/>
    </xf>
    <xf numFmtId="3" fontId="2" fillId="0" borderId="0" xfId="0" applyNumberFormat="1" applyFont="1" applyAlignment="1">
      <alignment horizontal="center"/>
    </xf>
    <xf numFmtId="3" fontId="2" fillId="4" borderId="0" xfId="0" applyNumberFormat="1" applyFont="1" applyFill="1" applyAlignment="1">
      <alignment horizontal="center"/>
    </xf>
    <xf numFmtId="166" fontId="2" fillId="0" borderId="0" xfId="0" applyNumberFormat="1" applyFont="1" applyAlignment="1">
      <alignment horizontal="center"/>
    </xf>
    <xf numFmtId="166" fontId="2" fillId="4" borderId="0" xfId="0" applyNumberFormat="1" applyFont="1" applyFill="1" applyAlignment="1">
      <alignment horizontal="center"/>
    </xf>
    <xf numFmtId="167" fontId="2" fillId="0" borderId="0" xfId="0" applyNumberFormat="1" applyFont="1" applyAlignment="1">
      <alignment horizontal="center"/>
    </xf>
    <xf numFmtId="167" fontId="2" fillId="4" borderId="0" xfId="0" applyNumberFormat="1" applyFont="1" applyFill="1" applyAlignment="1">
      <alignment horizontal="center"/>
    </xf>
    <xf numFmtId="0" fontId="10" fillId="0" borderId="0" xfId="0" applyFont="1" applyAlignment="1">
      <alignment horizontal="center"/>
    </xf>
    <xf numFmtId="0" fontId="10" fillId="4" borderId="0" xfId="0" applyFont="1" applyFill="1" applyAlignment="1">
      <alignment horizontal="center"/>
    </xf>
    <xf numFmtId="0" fontId="2" fillId="4" borderId="4" xfId="0" applyFont="1" applyFill="1" applyBorder="1" applyAlignment="1">
      <alignment horizontal="left"/>
    </xf>
    <xf numFmtId="3" fontId="2" fillId="4" borderId="4" xfId="0" applyNumberFormat="1" applyFont="1" applyFill="1" applyBorder="1" applyAlignment="1">
      <alignment horizontal="center"/>
    </xf>
    <xf numFmtId="166" fontId="2" fillId="4" borderId="4" xfId="0" applyNumberFormat="1" applyFont="1" applyFill="1" applyBorder="1" applyAlignment="1">
      <alignment horizontal="center"/>
    </xf>
    <xf numFmtId="167" fontId="2" fillId="4" borderId="4" xfId="0" applyNumberFormat="1" applyFont="1" applyFill="1" applyBorder="1" applyAlignment="1">
      <alignment horizontal="center"/>
    </xf>
    <xf numFmtId="0" fontId="10" fillId="4" borderId="4" xfId="0" applyFont="1" applyFill="1" applyBorder="1" applyAlignment="1">
      <alignment horizontal="center"/>
    </xf>
    <xf numFmtId="0" fontId="2" fillId="0" borderId="4" xfId="0" applyFont="1" applyBorder="1" applyAlignment="1">
      <alignment horizontal="left"/>
    </xf>
    <xf numFmtId="3" fontId="2" fillId="0" borderId="4" xfId="0" applyNumberFormat="1" applyFont="1" applyBorder="1" applyAlignment="1">
      <alignment horizontal="center"/>
    </xf>
    <xf numFmtId="166" fontId="2" fillId="0" borderId="4" xfId="0" applyNumberFormat="1" applyFont="1" applyBorder="1" applyAlignment="1">
      <alignment horizontal="center"/>
    </xf>
    <xf numFmtId="167" fontId="2" fillId="0" borderId="4" xfId="0" applyNumberFormat="1" applyFont="1" applyBorder="1" applyAlignment="1">
      <alignment horizontal="center"/>
    </xf>
    <xf numFmtId="0" fontId="10" fillId="0" borderId="4" xfId="0" applyFont="1" applyBorder="1" applyAlignment="1">
      <alignment horizontal="center"/>
    </xf>
    <xf numFmtId="168" fontId="2" fillId="0" borderId="0" xfId="0" applyNumberFormat="1" applyFont="1" applyAlignment="1">
      <alignment horizontal="center"/>
    </xf>
    <xf numFmtId="168" fontId="2" fillId="4" borderId="0" xfId="0" applyNumberFormat="1" applyFont="1" applyFill="1" applyAlignment="1">
      <alignment horizontal="center"/>
    </xf>
    <xf numFmtId="0" fontId="2" fillId="4" borderId="4" xfId="0" applyFont="1" applyFill="1" applyBorder="1" applyAlignment="1">
      <alignment horizontal="center"/>
    </xf>
    <xf numFmtId="168" fontId="2" fillId="4" borderId="4" xfId="0" applyNumberFormat="1" applyFont="1" applyFill="1" applyBorder="1" applyAlignment="1">
      <alignment horizontal="center"/>
    </xf>
    <xf numFmtId="0" fontId="11" fillId="0" borderId="0" xfId="0" applyFont="1"/>
    <xf numFmtId="0" fontId="7" fillId="6" borderId="0" xfId="0" applyFont="1" applyFill="1" applyAlignment="1">
      <alignment horizontal="center" wrapText="1"/>
    </xf>
    <xf numFmtId="0" fontId="12" fillId="0" borderId="0" xfId="0" applyFont="1"/>
    <xf numFmtId="0" fontId="12" fillId="0" borderId="0" xfId="0" applyFont="1" applyAlignment="1">
      <alignment horizontal="center"/>
    </xf>
    <xf numFmtId="166" fontId="12" fillId="0" borderId="0" xfId="0" applyNumberFormat="1" applyFont="1" applyAlignment="1">
      <alignment horizontal="center"/>
    </xf>
    <xf numFmtId="168" fontId="12" fillId="0" borderId="0" xfId="0" applyNumberFormat="1" applyFont="1" applyAlignment="1">
      <alignment horizontal="center"/>
    </xf>
    <xf numFmtId="0" fontId="12" fillId="4" borderId="0" xfId="0" applyFont="1" applyFill="1"/>
    <xf numFmtId="0" fontId="12" fillId="4" borderId="0" xfId="0" applyFont="1" applyFill="1" applyAlignment="1">
      <alignment horizontal="center"/>
    </xf>
    <xf numFmtId="166" fontId="12" fillId="4" borderId="0" xfId="0" applyNumberFormat="1" applyFont="1" applyFill="1" applyAlignment="1">
      <alignment horizontal="center"/>
    </xf>
    <xf numFmtId="168" fontId="12" fillId="4" borderId="0" xfId="0" applyNumberFormat="1" applyFont="1" applyFill="1" applyAlignment="1">
      <alignment horizontal="center"/>
    </xf>
    <xf numFmtId="0" fontId="12" fillId="4" borderId="4" xfId="0" applyFont="1" applyFill="1" applyBorder="1"/>
    <xf numFmtId="0" fontId="12" fillId="4" borderId="4" xfId="0" applyFont="1" applyFill="1" applyBorder="1" applyAlignment="1">
      <alignment horizontal="center"/>
    </xf>
    <xf numFmtId="166" fontId="12" fillId="4" borderId="4" xfId="0" applyNumberFormat="1" applyFont="1" applyFill="1" applyBorder="1" applyAlignment="1">
      <alignment horizontal="center"/>
    </xf>
    <xf numFmtId="168" fontId="12" fillId="4" borderId="4" xfId="0" applyNumberFormat="1" applyFont="1" applyFill="1" applyBorder="1" applyAlignment="1">
      <alignment horizontal="center"/>
    </xf>
    <xf numFmtId="0" fontId="8" fillId="4" borderId="4" xfId="0" applyFont="1" applyFill="1" applyBorder="1"/>
    <xf numFmtId="0" fontId="7" fillId="2" borderId="0" xfId="0" applyFont="1" applyFill="1" applyAlignment="1">
      <alignment horizontal="right" vertical="center" wrapText="1"/>
    </xf>
    <xf numFmtId="0" fontId="7" fillId="6" borderId="0" xfId="0" applyFont="1" applyFill="1" applyAlignment="1">
      <alignment horizontal="center" vertical="center" wrapText="1"/>
    </xf>
    <xf numFmtId="2" fontId="2" fillId="0" borderId="0" xfId="0" applyNumberFormat="1" applyFont="1" applyAlignment="1">
      <alignment horizontal="center"/>
    </xf>
    <xf numFmtId="169" fontId="2" fillId="0" borderId="0" xfId="0" applyNumberFormat="1" applyFont="1" applyAlignment="1">
      <alignment horizontal="center"/>
    </xf>
    <xf numFmtId="170" fontId="2" fillId="0" borderId="0" xfId="0" applyNumberFormat="1" applyFont="1" applyAlignment="1">
      <alignment horizontal="center"/>
    </xf>
    <xf numFmtId="171" fontId="2" fillId="0" borderId="0" xfId="0" applyNumberFormat="1" applyFont="1" applyAlignment="1">
      <alignment horizontal="center"/>
    </xf>
    <xf numFmtId="2" fontId="12" fillId="0" borderId="0" xfId="0" applyNumberFormat="1" applyFont="1" applyAlignment="1">
      <alignment horizontal="center"/>
    </xf>
    <xf numFmtId="169" fontId="12" fillId="0" borderId="0" xfId="0" applyNumberFormat="1" applyFont="1" applyAlignment="1">
      <alignment horizontal="center"/>
    </xf>
    <xf numFmtId="170" fontId="12" fillId="0" borderId="0" xfId="0" applyNumberFormat="1" applyFont="1" applyAlignment="1">
      <alignment horizontal="center"/>
    </xf>
    <xf numFmtId="171" fontId="12" fillId="0" borderId="0" xfId="0" applyNumberFormat="1" applyFont="1" applyAlignment="1">
      <alignment horizontal="center"/>
    </xf>
    <xf numFmtId="171" fontId="2" fillId="4" borderId="0" xfId="0" applyNumberFormat="1" applyFont="1" applyFill="1" applyAlignment="1">
      <alignment horizontal="center"/>
    </xf>
    <xf numFmtId="3" fontId="8" fillId="0" borderId="11" xfId="0" applyNumberFormat="1" applyFont="1" applyBorder="1" applyAlignment="1">
      <alignment horizontal="center"/>
    </xf>
    <xf numFmtId="171" fontId="8" fillId="0" borderId="11" xfId="0" applyNumberFormat="1" applyFont="1" applyBorder="1" applyAlignment="1">
      <alignment horizontal="center"/>
    </xf>
    <xf numFmtId="0" fontId="5" fillId="5" borderId="6" xfId="0" applyFont="1" applyFill="1" applyBorder="1"/>
    <xf numFmtId="0" fontId="5" fillId="5" borderId="7" xfId="0" applyFont="1" applyFill="1" applyBorder="1"/>
    <xf numFmtId="2" fontId="2" fillId="5" borderId="8" xfId="0" applyNumberFormat="1" applyFont="1" applyFill="1" applyBorder="1" applyAlignment="1">
      <alignment horizontal="left"/>
    </xf>
    <xf numFmtId="1" fontId="2" fillId="5" borderId="9" xfId="0" applyNumberFormat="1" applyFont="1" applyFill="1" applyBorder="1" applyAlignment="1">
      <alignment horizontal="left"/>
    </xf>
    <xf numFmtId="169" fontId="2" fillId="5" borderId="9" xfId="0" applyNumberFormat="1" applyFont="1" applyFill="1" applyBorder="1" applyAlignment="1">
      <alignment horizontal="left"/>
    </xf>
    <xf numFmtId="170" fontId="2" fillId="5" borderId="9" xfId="0" applyNumberFormat="1" applyFont="1" applyFill="1" applyBorder="1" applyAlignment="1">
      <alignment horizontal="left"/>
    </xf>
    <xf numFmtId="171" fontId="2" fillId="5" borderId="10" xfId="0" applyNumberFormat="1" applyFont="1" applyFill="1" applyBorder="1" applyAlignment="1">
      <alignment horizontal="left"/>
    </xf>
    <xf numFmtId="0" fontId="9" fillId="0" borderId="0" xfId="0" applyFont="1" applyAlignment="1">
      <alignment horizontal="left"/>
    </xf>
    <xf numFmtId="0" fontId="7" fillId="2" borderId="0" xfId="0" applyFont="1" applyFill="1" applyAlignment="1">
      <alignment horizontal="left" wrapText="1"/>
    </xf>
    <xf numFmtId="0" fontId="8" fillId="0" borderId="11" xfId="0" applyFont="1" applyBorder="1" applyAlignment="1">
      <alignment horizontal="left"/>
    </xf>
    <xf numFmtId="49" fontId="2" fillId="0" borderId="0" xfId="0" applyNumberFormat="1" applyFont="1"/>
    <xf numFmtId="0" fontId="15" fillId="2" borderId="0" xfId="0" applyFont="1" applyFill="1" applyAlignment="1">
      <alignment horizontal="center" vertical="center" wrapText="1"/>
    </xf>
    <xf numFmtId="0" fontId="16" fillId="7" borderId="16" xfId="0" applyFont="1" applyFill="1" applyBorder="1" applyAlignment="1">
      <alignment horizontal="center"/>
    </xf>
    <xf numFmtId="170" fontId="2" fillId="0" borderId="0" xfId="0" applyNumberFormat="1" applyFont="1"/>
    <xf numFmtId="166" fontId="2" fillId="0" borderId="0" xfId="0" applyNumberFormat="1" applyFont="1"/>
    <xf numFmtId="170" fontId="8" fillId="0" borderId="0" xfId="0" applyNumberFormat="1" applyFont="1" applyAlignment="1">
      <alignment horizontal="center"/>
    </xf>
    <xf numFmtId="166" fontId="8" fillId="0" borderId="0" xfId="0" applyNumberFormat="1" applyFont="1" applyAlignment="1">
      <alignment horizontal="center"/>
    </xf>
    <xf numFmtId="1" fontId="2" fillId="0" borderId="0" xfId="0" applyNumberFormat="1" applyFont="1" applyAlignment="1">
      <alignment horizontal="center"/>
    </xf>
    <xf numFmtId="49" fontId="2" fillId="0" borderId="0" xfId="0" applyNumberFormat="1" applyFont="1" applyAlignment="1">
      <alignment horizontal="center"/>
    </xf>
    <xf numFmtId="0" fontId="17" fillId="0" borderId="0" xfId="0" applyFont="1"/>
    <xf numFmtId="0" fontId="9" fillId="5" borderId="5" xfId="0" applyFont="1" applyFill="1" applyBorder="1" applyAlignment="1"/>
    <xf numFmtId="0" fontId="2" fillId="5" borderId="3" xfId="0" applyFont="1" applyFill="1" applyBorder="1" applyAlignment="1"/>
    <xf numFmtId="0" fontId="2" fillId="5" borderId="8" xfId="0" applyFont="1" applyFill="1" applyBorder="1" applyAlignment="1"/>
    <xf numFmtId="0" fontId="2" fillId="5" borderId="6" xfId="0" applyFont="1" applyFill="1" applyBorder="1" applyAlignment="1"/>
    <xf numFmtId="0" fontId="2" fillId="5" borderId="0" xfId="0" applyFont="1" applyFill="1" applyBorder="1" applyAlignment="1"/>
    <xf numFmtId="0" fontId="2" fillId="5" borderId="9" xfId="0" applyFont="1" applyFill="1" applyBorder="1" applyAlignment="1"/>
    <xf numFmtId="0" fontId="2" fillId="5" borderId="7" xfId="0" applyFont="1" applyFill="1" applyBorder="1" applyAlignment="1"/>
    <xf numFmtId="0" fontId="2" fillId="5" borderId="4" xfId="0" applyFont="1" applyFill="1" applyBorder="1" applyAlignment="1"/>
    <xf numFmtId="0" fontId="2" fillId="5" borderId="10" xfId="0" applyFont="1" applyFill="1" applyBorder="1" applyAlignment="1"/>
    <xf numFmtId="0" fontId="5" fillId="5" borderId="12" xfId="0" applyFont="1" applyFill="1" applyBorder="1"/>
    <xf numFmtId="0" fontId="5" fillId="5" borderId="13" xfId="0" applyFont="1" applyFill="1" applyBorder="1"/>
    <xf numFmtId="0" fontId="5" fillId="5" borderId="17" xfId="0" applyFont="1" applyFill="1" applyBorder="1"/>
    <xf numFmtId="0" fontId="18" fillId="0" borderId="0" xfId="0" applyFont="1"/>
    <xf numFmtId="0" fontId="19" fillId="8" borderId="0" xfId="0" applyFont="1" applyFill="1" applyAlignment="1">
      <alignment horizontal="center" wrapText="1"/>
    </xf>
    <xf numFmtId="0" fontId="17" fillId="0" borderId="0" xfId="0" applyFont="1" applyAlignment="1">
      <alignment horizontal="center"/>
    </xf>
    <xf numFmtId="0" fontId="20" fillId="2" borderId="20" xfId="0" applyFont="1" applyFill="1" applyBorder="1" applyAlignment="1">
      <alignment horizontal="center" vertical="center"/>
    </xf>
    <xf numFmtId="0" fontId="9" fillId="5" borderId="21" xfId="0" applyFont="1" applyFill="1" applyBorder="1" applyAlignment="1">
      <alignment vertical="center"/>
    </xf>
    <xf numFmtId="0" fontId="9" fillId="5" borderId="22" xfId="0" applyFont="1" applyFill="1" applyBorder="1" applyAlignment="1">
      <alignment vertical="center"/>
    </xf>
    <xf numFmtId="0" fontId="9" fillId="5" borderId="23" xfId="0" applyFont="1" applyFill="1" applyBorder="1" applyAlignment="1">
      <alignment vertical="center"/>
    </xf>
    <xf numFmtId="0" fontId="20" fillId="2" borderId="24" xfId="0" applyFont="1" applyFill="1" applyBorder="1" applyAlignment="1">
      <alignment horizontal="center" vertical="center"/>
    </xf>
    <xf numFmtId="0" fontId="22" fillId="5" borderId="26" xfId="0" applyFont="1" applyFill="1" applyBorder="1" applyAlignment="1">
      <alignment horizontal="center" vertical="center"/>
    </xf>
    <xf numFmtId="169" fontId="22" fillId="5" borderId="25" xfId="0" applyNumberFormat="1" applyFont="1" applyFill="1" applyBorder="1" applyAlignment="1">
      <alignment horizontal="center" vertical="center"/>
    </xf>
    <xf numFmtId="171" fontId="22" fillId="5" borderId="26" xfId="0" applyNumberFormat="1" applyFont="1" applyFill="1" applyBorder="1" applyAlignment="1">
      <alignment horizontal="center" vertical="center"/>
    </xf>
    <xf numFmtId="166" fontId="22" fillId="5" borderId="26" xfId="0" applyNumberFormat="1" applyFont="1" applyFill="1" applyBorder="1" applyAlignment="1">
      <alignment horizontal="center" vertical="center"/>
    </xf>
    <xf numFmtId="167" fontId="22" fillId="5" borderId="27" xfId="0" applyNumberFormat="1" applyFont="1" applyFill="1" applyBorder="1" applyAlignment="1">
      <alignment horizontal="center" vertical="center"/>
    </xf>
    <xf numFmtId="3" fontId="21" fillId="5" borderId="25" xfId="0" applyNumberFormat="1" applyFont="1" applyFill="1" applyBorder="1" applyAlignment="1">
      <alignment horizontal="center" vertical="center"/>
    </xf>
    <xf numFmtId="3" fontId="21" fillId="5" borderId="26" xfId="0" applyNumberFormat="1" applyFont="1" applyFill="1" applyBorder="1" applyAlignment="1">
      <alignment horizontal="center" vertical="center"/>
    </xf>
    <xf numFmtId="166" fontId="21" fillId="5" borderId="26" xfId="0" applyNumberFormat="1" applyFont="1" applyFill="1" applyBorder="1" applyAlignment="1">
      <alignment horizontal="center" vertical="center" wrapText="1"/>
    </xf>
    <xf numFmtId="0" fontId="14" fillId="5" borderId="27" xfId="0" applyFont="1" applyFill="1" applyBorder="1" applyAlignment="1">
      <alignment horizontal="center" vertical="center" wrapText="1"/>
    </xf>
    <xf numFmtId="0" fontId="2" fillId="0" borderId="0" xfId="0" applyFont="1" applyAlignment="1">
      <alignment vertical="center"/>
    </xf>
    <xf numFmtId="0" fontId="8" fillId="0" borderId="19" xfId="0" applyFont="1" applyBorder="1" applyAlignment="1">
      <alignment vertical="center"/>
    </xf>
    <xf numFmtId="49" fontId="16" fillId="7" borderId="18" xfId="0" applyNumberFormat="1" applyFont="1" applyFill="1" applyBorder="1" applyAlignment="1">
      <alignment horizontal="center" vertical="center"/>
    </xf>
    <xf numFmtId="0" fontId="23" fillId="0" borderId="0" xfId="0" applyFont="1" applyAlignment="1">
      <alignment vertical="center"/>
    </xf>
    <xf numFmtId="0" fontId="24" fillId="0" borderId="0" xfId="0" applyFont="1" applyAlignment="1">
      <alignment vertical="center"/>
    </xf>
    <xf numFmtId="169" fontId="24" fillId="0" borderId="0" xfId="0" applyNumberFormat="1" applyFont="1" applyAlignment="1">
      <alignment horizontal="center" vertical="center"/>
    </xf>
    <xf numFmtId="171" fontId="24" fillId="0" borderId="0" xfId="0" applyNumberFormat="1" applyFont="1" applyAlignment="1">
      <alignment horizontal="center" vertical="center"/>
    </xf>
    <xf numFmtId="0" fontId="9" fillId="0" borderId="0" xfId="0" applyFont="1" applyAlignment="1">
      <alignment vertical="center"/>
    </xf>
    <xf numFmtId="0" fontId="2" fillId="0" borderId="0" xfId="0" applyFont="1" applyAlignment="1">
      <alignment horizontal="center" vertical="center"/>
    </xf>
    <xf numFmtId="166" fontId="2" fillId="0" borderId="0" xfId="0" applyNumberFormat="1" applyFont="1" applyAlignment="1">
      <alignment horizontal="center" vertical="center"/>
    </xf>
    <xf numFmtId="167" fontId="2"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13" fillId="0" borderId="0" xfId="0" applyFont="1"/>
    <xf numFmtId="3" fontId="0" fillId="0" borderId="0" xfId="0" applyNumberFormat="1"/>
    <xf numFmtId="166" fontId="0" fillId="0" borderId="0" xfId="0" applyNumberFormat="1"/>
    <xf numFmtId="0" fontId="0" fillId="0" borderId="0" xfId="0" pivotButton="1"/>
    <xf numFmtId="0" fontId="25" fillId="0" borderId="0" xfId="0" applyFont="1"/>
    <xf numFmtId="0" fontId="26" fillId="0" borderId="0" xfId="0" applyFont="1"/>
    <xf numFmtId="0" fontId="0" fillId="0" borderId="0" xfId="0" applyAlignment="1">
      <alignment indent="1"/>
    </xf>
    <xf numFmtId="0" fontId="27" fillId="0" borderId="0" xfId="0" applyFont="1"/>
    <xf numFmtId="9" fontId="2" fillId="0" borderId="0" xfId="0" applyNumberFormat="1" applyFont="1"/>
    <xf numFmtId="0" fontId="8" fillId="0" borderId="0" xfId="0" applyFont="1" applyAlignment="1">
      <alignment wrapText="1"/>
    </xf>
    <xf numFmtId="1" fontId="7" fillId="2" borderId="0" xfId="0" applyNumberFormat="1" applyFont="1" applyFill="1"/>
    <xf numFmtId="49" fontId="7" fillId="2" borderId="0" xfId="0" applyNumberFormat="1" applyFont="1" applyFill="1"/>
    <xf numFmtId="49" fontId="2" fillId="0" borderId="0" xfId="0" applyNumberFormat="1" applyFont="1" applyAlignment="1">
      <alignment vertical="top" wrapText="1"/>
    </xf>
    <xf numFmtId="1" fontId="2" fillId="0" borderId="0" xfId="0" applyNumberFormat="1" applyFont="1" applyAlignment="1">
      <alignment horizontal="center" vertical="top" wrapText="1"/>
    </xf>
    <xf numFmtId="1" fontId="28" fillId="0" borderId="0" xfId="0" applyNumberFormat="1" applyFont="1"/>
    <xf numFmtId="0" fontId="29" fillId="5" borderId="0" xfId="0" applyFont="1" applyFill="1" applyBorder="1" applyAlignment="1">
      <alignment vertical="center" wrapText="1" indent="1"/>
    </xf>
    <xf numFmtId="0" fontId="29" fillId="5" borderId="33" xfId="0" applyFont="1" applyFill="1" applyBorder="1" applyAlignment="1">
      <alignment vertical="center" wrapText="1" indent="1"/>
    </xf>
    <xf numFmtId="0" fontId="30" fillId="0" borderId="0" xfId="0" applyFont="1"/>
    <xf numFmtId="0" fontId="31" fillId="2" borderId="0" xfId="0" applyFont="1" applyFill="1" applyAlignment="1">
      <alignment horizontal="left" vertical="center" indent="1"/>
    </xf>
    <xf numFmtId="0" fontId="32" fillId="2" borderId="0" xfId="0" applyFont="1" applyFill="1" applyAlignment="1">
      <alignment vertical="center" indent="1"/>
    </xf>
    <xf numFmtId="0" fontId="33" fillId="0" borderId="0" xfId="0" applyFont="1"/>
    <xf numFmtId="0" fontId="34" fillId="5" borderId="29" xfId="0" applyFont="1" applyFill="1" applyBorder="1" applyAlignment="1">
      <alignment horizontal="center" vertical="center"/>
    </xf>
    <xf numFmtId="0" fontId="34" fillId="5" borderId="28" xfId="0" applyFont="1" applyFill="1" applyBorder="1" applyAlignment="1">
      <alignment horizontal="center" vertical="center"/>
    </xf>
    <xf numFmtId="0" fontId="35" fillId="5" borderId="29" xfId="0" applyFont="1" applyFill="1" applyBorder="1" applyAlignment="1">
      <alignment horizontal="center" vertical="center"/>
    </xf>
    <xf numFmtId="0" fontId="34" fillId="5" borderId="31" xfId="0" applyFont="1" applyFill="1" applyBorder="1" applyAlignment="1">
      <alignment horizontal="center" vertical="center"/>
    </xf>
    <xf numFmtId="3" fontId="36" fillId="5" borderId="30" xfId="0" applyNumberFormat="1" applyFont="1" applyFill="1" applyBorder="1" applyAlignment="1">
      <alignment horizontal="center" vertical="center"/>
    </xf>
    <xf numFmtId="0" fontId="36" fillId="5" borderId="0" xfId="0" applyFont="1" applyFill="1" applyBorder="1" applyAlignment="1">
      <alignment horizontal="center" vertical="center"/>
    </xf>
    <xf numFmtId="166" fontId="36" fillId="5" borderId="30" xfId="0" applyNumberFormat="1" applyFont="1" applyFill="1" applyBorder="1" applyAlignment="1">
      <alignment horizontal="center" vertical="center"/>
    </xf>
    <xf numFmtId="0" fontId="36" fillId="5" borderId="32" xfId="0" applyFont="1" applyFill="1" applyBorder="1" applyAlignment="1">
      <alignment horizontal="center" vertical="center"/>
    </xf>
    <xf numFmtId="0" fontId="36" fillId="5" borderId="30" xfId="0" applyFont="1" applyFill="1" applyBorder="1" applyAlignment="1">
      <alignment horizontal="center" vertical="center"/>
    </xf>
    <xf numFmtId="0" fontId="37" fillId="5" borderId="30" xfId="0" applyFont="1" applyFill="1" applyBorder="1" applyAlignment="1">
      <alignment horizontal="center" vertical="center"/>
    </xf>
    <xf numFmtId="0" fontId="37" fillId="5" borderId="0" xfId="0" applyFont="1" applyFill="1" applyBorder="1" applyAlignment="1">
      <alignment horizontal="center" vertical="center"/>
    </xf>
    <xf numFmtId="0" fontId="37" fillId="5" borderId="32" xfId="0" applyFont="1" applyFill="1" applyBorder="1" applyAlignment="1">
      <alignment horizontal="center" vertical="center"/>
    </xf>
    <xf numFmtId="0" fontId="38" fillId="0" borderId="0" xfId="0" applyFont="1" applyAlignment="1">
      <alignment horizontal="center"/>
    </xf>
    <xf numFmtId="0" fontId="39" fillId="0" borderId="0" xfId="0" applyFont="1"/>
    <xf numFmtId="0" fontId="40" fillId="4" borderId="34" xfId="0" applyFont="1" applyFill="1" applyBorder="1" applyAlignment="1">
      <alignment vertical="center" indent="1"/>
    </xf>
    <xf numFmtId="0" fontId="40" fillId="4" borderId="14" xfId="0" applyFont="1" applyFill="1" applyBorder="1" applyAlignment="1">
      <alignment vertical="center" indent="1"/>
    </xf>
    <xf numFmtId="0" fontId="40" fillId="4" borderId="36" xfId="0" applyFont="1" applyFill="1" applyBorder="1" applyAlignment="1">
      <alignment vertical="center" indent="1"/>
    </xf>
    <xf numFmtId="0" fontId="40" fillId="4" borderId="33" xfId="0" applyFont="1" applyFill="1" applyBorder="1" applyAlignment="1">
      <alignment vertical="center" indent="1"/>
    </xf>
    <xf numFmtId="0" fontId="40" fillId="4" borderId="0" xfId="0" applyFont="1" applyFill="1" applyBorder="1" applyAlignment="1">
      <alignment vertical="center" indent="1"/>
    </xf>
    <xf numFmtId="0" fontId="40" fillId="4" borderId="37" xfId="0" applyFont="1" applyFill="1" applyBorder="1" applyAlignment="1">
      <alignment vertical="center" indent="1"/>
    </xf>
    <xf numFmtId="0" fontId="40" fillId="4" borderId="35" xfId="0" applyFont="1" applyFill="1" applyBorder="1" applyAlignment="1">
      <alignment vertical="center" indent="1"/>
    </xf>
    <xf numFmtId="0" fontId="40" fillId="4" borderId="15" xfId="0" applyFont="1" applyFill="1" applyBorder="1" applyAlignment="1">
      <alignment vertical="center" indent="1"/>
    </xf>
    <xf numFmtId="0" fontId="40" fillId="4" borderId="38" xfId="0" applyFont="1" applyFill="1" applyBorder="1" applyAlignment="1">
      <alignment vertical="center" indent="1"/>
    </xf>
    <xf numFmtId="0" fontId="41" fillId="0" borderId="0" xfId="0" applyFont="1" applyAlignment="1"/>
    <xf numFmtId="172" fontId="2" fillId="0" borderId="0" xfId="0" applyNumberFormat="1" applyFont="1" applyAlignment="1">
      <alignment horizontal="left" vertical="center" indent="1"/>
    </xf>
    <xf numFmtId="172" fontId="8" fillId="0" borderId="0" xfId="0" applyNumberFormat="1" applyFont="1" applyAlignment="1">
      <alignment horizontal="left" vertical="center" indent="1"/>
    </xf>
  </cellXfs>
  <cellStyles count="1">
    <cellStyle name="Normal" xfId="0" builtinId="0"/>
  </cellStyles>
  <dxfs count="171">
    <dxf>
      <font>
        <color rgb="FF404040"/>
      </font>
      <fill>
        <patternFill patternType="solid">
          <fgColor indexed="64"/>
          <bgColor rgb="FFEDEDED"/>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b val="0"/>
        <i val="0"/>
        <color rgb="FF9C0006"/>
      </font>
    </dxf>
    <dxf>
      <font>
        <color rgb="FF9C0006"/>
      </font>
      <fill>
        <patternFill patternType="solid">
          <fgColor indexed="64"/>
          <bgColor rgb="FFFFC7CE"/>
        </patternFill>
      </fill>
    </dxf>
    <dxf>
      <font>
        <color rgb="FF9C0006"/>
      </font>
      <fill>
        <patternFill patternType="solid">
          <fgColor indexed="64"/>
          <bgColor rgb="FFFFC7CE"/>
        </patternFill>
      </fill>
    </dxf>
    <dxf>
      <font>
        <color rgb="FF7F6000"/>
      </font>
      <fill>
        <patternFill patternType="solid">
          <fgColor indexed="64"/>
          <bgColor rgb="FFFFE699"/>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1F4E79"/>
      </font>
      <fill>
        <patternFill patternType="solid">
          <fgColor indexed="64"/>
          <bgColor rgb="FFBDD7EE"/>
        </patternFill>
      </fill>
    </dxf>
    <dxf>
      <font>
        <color rgb="FF7F6000"/>
      </font>
      <fill>
        <patternFill patternType="solid">
          <fgColor indexed="64"/>
          <bgColor rgb="FFFFE699"/>
        </patternFill>
      </fill>
    </dxf>
    <dxf>
      <font>
        <color rgb="FF843C0C"/>
      </font>
      <fill>
        <patternFill patternType="solid">
          <fgColor indexed="64"/>
          <bgColor rgb="FFF8CBAD"/>
        </patternFill>
      </fill>
    </dxf>
    <dxf>
      <font>
        <color rgb="FF1F4E79"/>
      </font>
      <fill>
        <patternFill patternType="solid">
          <fgColor indexed="64"/>
          <bgColor rgb="FFBDD7EE"/>
        </patternFill>
      </fill>
    </dxf>
    <dxf>
      <font>
        <color rgb="FF7F6000"/>
      </font>
      <fill>
        <patternFill patternType="solid">
          <fgColor indexed="64"/>
          <bgColor rgb="FFFFE699"/>
        </patternFill>
      </fill>
    </dxf>
    <dxf>
      <font>
        <color rgb="FF843C0C"/>
      </font>
      <fill>
        <patternFill patternType="solid">
          <fgColor indexed="64"/>
          <bgColor rgb="FFF8CBAD"/>
        </patternFill>
      </fill>
    </dxf>
    <dxf>
      <font>
        <color rgb="FF1F4E79"/>
      </font>
      <fill>
        <patternFill patternType="solid">
          <fgColor indexed="64"/>
          <bgColor rgb="FFBDD7EE"/>
        </patternFill>
      </fill>
    </dxf>
    <dxf>
      <font>
        <color rgb="FF7F6000"/>
      </font>
      <fill>
        <patternFill patternType="solid">
          <fgColor indexed="64"/>
          <bgColor rgb="FFFFE699"/>
        </patternFill>
      </fill>
    </dxf>
    <dxf>
      <font>
        <color rgb="FF843C0C"/>
      </font>
      <fill>
        <patternFill patternType="solid">
          <fgColor indexed="64"/>
          <bgColor rgb="FFF8CBAD"/>
        </patternFill>
      </fill>
    </dxf>
    <dxf>
      <fill>
        <patternFill patternType="solid">
          <fgColor indexed="64"/>
          <bgColor rgb="FFF2F2F2"/>
        </patternFill>
      </fill>
    </dxf>
    <dxf>
      <fill>
        <patternFill patternType="solid">
          <fgColor indexed="64"/>
          <bgColor rgb="FFF2F2F2"/>
        </patternFill>
      </fill>
    </dxf>
    <dxf>
      <font>
        <color rgb="FFA6A6A6"/>
      </font>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C00000"/>
      </font>
    </dxf>
    <dxf>
      <font>
        <color rgb="FF006100"/>
      </font>
    </dxf>
    <dxf>
      <font>
        <name val="Calibri"/>
      </font>
      <numFmt numFmtId="172" formatCode="\+0.00&quot; pp&quot;;\-0.00&quot; pp&quot;;0.00&quot; pp&quot;"/>
      <alignment horizontal="left" vertical="center" inden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indexed="64"/>
          <bgColor rgb="FF1F3A5F"/>
        </patternFill>
      </fill>
    </dxf>
    <dxf>
      <font>
        <b/>
        <i val="0"/>
        <strike val="0"/>
        <condense val="0"/>
        <extend val="0"/>
        <outline val="0"/>
        <shadow val="0"/>
        <u val="none"/>
        <vertAlign val="baseline"/>
        <sz val="11"/>
        <color theme="1"/>
        <name val="Calibri"/>
        <scheme val="none"/>
      </font>
      <alignment horizontal="center" vertical="top" wrapText="1"/>
    </dxf>
    <dxf>
      <font>
        <b val="0"/>
        <i val="0"/>
        <strike val="0"/>
        <condense val="0"/>
        <extend val="0"/>
        <outline val="0"/>
        <shadow val="0"/>
        <u val="none"/>
        <vertAlign val="baseline"/>
        <sz val="11"/>
        <color theme="1"/>
        <name val="Calibri"/>
        <scheme val="none"/>
      </font>
      <alignment horizontal="center"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indexed="64"/>
          <bgColor rgb="FF1F3A5F"/>
        </patternFill>
      </fill>
    </dxf>
    <dxf>
      <font>
        <b val="0"/>
        <i val="0"/>
        <strike val="0"/>
        <condense val="0"/>
        <extend val="0"/>
        <outline val="0"/>
        <shadow val="0"/>
        <u val="none"/>
        <vertAlign val="baseline"/>
        <sz val="11"/>
        <color theme="1"/>
        <name val="Calibri"/>
        <scheme val="none"/>
      </font>
      <numFmt numFmtId="30" formatCode="@"/>
      <alignment vertical="top" wrapText="1"/>
    </dxf>
    <dxf>
      <font>
        <b/>
        <i val="0"/>
        <strike val="0"/>
        <condense val="0"/>
        <extend val="0"/>
        <outline val="0"/>
        <shadow val="0"/>
        <u val="none"/>
        <vertAlign val="baseline"/>
        <sz val="11"/>
        <color rgb="FFFFFFFF"/>
        <name val="Calibri"/>
        <scheme val="none"/>
      </font>
      <numFmt numFmtId="30" formatCode="@"/>
      <fill>
        <patternFill patternType="solid">
          <fgColor indexed="64"/>
          <bgColor rgb="FF1F3A5F"/>
        </patternFill>
      </fill>
    </dxf>
    <dxf>
      <font>
        <b val="0"/>
        <i val="0"/>
        <strike val="0"/>
        <condense val="0"/>
        <extend val="0"/>
        <outline val="0"/>
        <shadow val="0"/>
        <u val="none"/>
        <vertAlign val="baseline"/>
        <sz val="11"/>
        <color theme="1"/>
        <name val="Calibri"/>
        <scheme val="none"/>
      </font>
      <numFmt numFmtId="30" formatCode="@"/>
      <alignment vertical="top" wrapText="1"/>
    </dxf>
    <dxf>
      <font>
        <b val="0"/>
        <i val="0"/>
        <strike val="0"/>
        <condense val="0"/>
        <extend val="0"/>
        <outline val="0"/>
        <shadow val="0"/>
        <u val="none"/>
        <vertAlign val="baseline"/>
        <sz val="11"/>
        <color theme="1"/>
        <name val="Calibri"/>
        <scheme val="none"/>
      </font>
      <numFmt numFmtId="30" formatCode="@"/>
      <alignment vertical="top" wrapText="1"/>
    </dxf>
    <dxf>
      <font>
        <b val="0"/>
        <i val="0"/>
        <strike val="0"/>
        <condense val="0"/>
        <extend val="0"/>
        <outline val="0"/>
        <shadow val="0"/>
        <u val="none"/>
        <vertAlign val="baseline"/>
        <sz val="11"/>
        <color theme="1"/>
        <name val="Calibri"/>
        <scheme val="none"/>
      </font>
      <numFmt numFmtId="30" formatCode="@"/>
      <alignment vertical="top" wrapText="1"/>
    </dxf>
    <dxf>
      <font>
        <b val="0"/>
        <i val="0"/>
        <strike val="0"/>
        <condense val="0"/>
        <extend val="0"/>
        <outline val="0"/>
        <shadow val="0"/>
        <u val="none"/>
        <vertAlign val="baseline"/>
        <sz val="11"/>
        <color theme="1"/>
        <name val="Calibri"/>
        <scheme val="none"/>
      </font>
      <numFmt numFmtId="1" formatCode="0"/>
      <alignment horizontal="center" vertical="top" wrapText="1"/>
    </dxf>
    <dxf>
      <font>
        <name val="Calibri"/>
      </font>
      <alignment vertical="center"/>
    </dxf>
    <dxf>
      <font>
        <b/>
        <name val="Calibri"/>
      </font>
      <alignment vertical="center"/>
    </dxf>
    <dxf>
      <font>
        <b/>
        <color rgb="FFFFFFFF"/>
        <name val="Calibri"/>
      </font>
      <fill>
        <patternFill patternType="solid">
          <fgColor indexed="64"/>
          <bgColor rgb="FF1F3A5F"/>
        </patternFill>
      </fill>
      <alignment horizontal="center" vertical="center" wrapText="1"/>
    </dxf>
    <dxf>
      <font>
        <b/>
        <name val="Calibri"/>
      </font>
      <alignment vertical="center"/>
    </dxf>
    <dxf>
      <font>
        <b/>
        <name val="Calibri"/>
      </font>
      <alignment vertical="center"/>
    </dxf>
    <dxf>
      <font>
        <name val="Calibri"/>
      </font>
      <numFmt numFmtId="166" formatCode="0.0%"/>
      <alignment horizontal="center" vertical="center"/>
    </dxf>
    <dxf>
      <font>
        <b/>
        <name val="Calibri"/>
      </font>
      <alignment vertical="center"/>
    </dxf>
    <dxf>
      <font>
        <name val="Calibri"/>
      </font>
      <numFmt numFmtId="167" formatCode="0.00&quot;x&quot;"/>
      <alignment horizontal="center" vertical="center"/>
    </dxf>
    <dxf>
      <font>
        <b/>
        <name val="Calibri"/>
      </font>
      <alignment vertical="center"/>
    </dxf>
    <dxf>
      <font>
        <name val="Calibri"/>
      </font>
      <numFmt numFmtId="166" formatCode="0.0%"/>
      <alignment horizontal="center" vertical="center"/>
    </dxf>
    <dxf>
      <font>
        <b/>
        <name val="Calibri"/>
      </font>
      <alignment vertical="center"/>
    </dxf>
    <dxf>
      <font>
        <name val="Calibri"/>
      </font>
      <alignment horizontal="center" vertical="center"/>
    </dxf>
    <dxf>
      <font>
        <b/>
        <name val="Calibri"/>
      </font>
      <alignment vertical="center"/>
    </dxf>
    <dxf>
      <font>
        <name val="Calibri"/>
      </font>
      <alignment vertical="center"/>
    </dxf>
    <dxf>
      <font>
        <color rgb="FF7F7F7F"/>
        <name val="Calibri"/>
      </font>
    </dxf>
    <dxf>
      <font>
        <name val="Calibri"/>
      </font>
      <numFmt numFmtId="166" formatCode="0.0%"/>
      <alignment horizontal="center"/>
    </dxf>
    <dxf>
      <font>
        <name val="Calibri"/>
      </font>
      <numFmt numFmtId="3" formatCode="#,##0"/>
      <alignment horizontal="center"/>
    </dxf>
    <dxf>
      <font>
        <name val="Calibri"/>
      </font>
      <numFmt numFmtId="3" formatCode="#,##0"/>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b/>
        <name val="Calibri"/>
      </font>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numFmt numFmtId="166" formatCode="0.0%"/>
      <alignment horizontal="center"/>
    </dxf>
    <dxf>
      <font>
        <name val="Calibri"/>
      </font>
      <numFmt numFmtId="170" formatCode="0.000"/>
      <alignment horizontal="center"/>
    </dxf>
    <dxf>
      <font>
        <b/>
        <name val="Calibri"/>
      </font>
    </dxf>
    <dxf>
      <font>
        <b/>
        <name val="Calibri"/>
      </font>
    </dxf>
    <dxf>
      <font>
        <b/>
        <name val="Calibri"/>
      </font>
    </dxf>
    <dxf>
      <font>
        <b/>
        <name val="Calibri"/>
      </font>
    </dxf>
    <dxf>
      <font>
        <b/>
        <color rgb="FFFFFFFF"/>
        <name val="Calibri"/>
      </font>
      <fill>
        <patternFill patternType="solid">
          <fgColor indexed="64"/>
          <bgColor rgb="FF1F3A5F"/>
        </patternFill>
      </fill>
      <alignment horizontal="center" vertical="center" wrapText="1"/>
    </dxf>
    <dxf>
      <font>
        <b/>
        <color rgb="FFFFFFFF"/>
        <name val="Calibri"/>
      </font>
      <fill>
        <patternFill patternType="solid">
          <fgColor indexed="64"/>
          <bgColor rgb="FF1F3A5F"/>
        </patternFill>
      </fill>
      <alignment horizontal="center" vertical="center" wrapText="1"/>
    </dxf>
    <dxf>
      <font>
        <b/>
        <color rgb="FFFFFFFF"/>
        <name val="Calibri"/>
      </font>
      <fill>
        <patternFill patternType="solid">
          <fgColor indexed="64"/>
          <bgColor rgb="FF1F3A5F"/>
        </patternFill>
      </fill>
      <alignment horizontal="center" vertical="center" wrapText="1"/>
    </dxf>
    <dxf>
      <font>
        <b/>
        <color rgb="FFFFFFFF"/>
        <name val="Calibri"/>
      </font>
      <fill>
        <patternFill patternType="solid">
          <fgColor indexed="64"/>
          <bgColor rgb="FF1F3A5F"/>
        </patternFill>
      </fill>
      <alignment horizontal="center" vertical="center" wrapText="1"/>
    </dxf>
    <dxf>
      <font>
        <name val="Calibri"/>
      </font>
    </dxf>
    <dxf>
      <font>
        <name val="Calibri"/>
      </font>
    </dxf>
    <dxf>
      <font>
        <name val="Calibri"/>
      </font>
      <numFmt numFmtId="30" formatCode="@"/>
    </dxf>
    <dxf>
      <font>
        <name val="Calibri"/>
      </font>
    </dxf>
    <dxf>
      <font>
        <name val="Calibri"/>
      </font>
    </dxf>
    <dxf>
      <font>
        <name val="Calibri"/>
      </font>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alignment horizontal="center"/>
    </dxf>
    <dxf>
      <font>
        <name val="Calibri"/>
      </font>
    </dxf>
    <dxf>
      <font>
        <name val="Calibri"/>
      </font>
      <alignment horizontal="center"/>
    </dxf>
    <dxf>
      <font>
        <name val="Calibri"/>
      </font>
    </dxf>
    <dxf>
      <font>
        <name val="Calibri"/>
      </font>
    </dxf>
    <dxf>
      <font>
        <name val="Calibri"/>
      </font>
      <alignment horizontal="center"/>
    </dxf>
    <dxf>
      <font>
        <name val="Calibri"/>
      </font>
    </dxf>
    <dxf>
      <font>
        <name val="Calibri"/>
      </font>
    </dxf>
    <dxf>
      <font>
        <name val="Calibri"/>
      </font>
    </dxf>
    <dxf>
      <font>
        <name val="Calibri"/>
      </font>
      <alignment horizontal="center"/>
    </dxf>
    <dxf>
      <font>
        <name val="Calibri"/>
      </font>
      <numFmt numFmtId="165" formatCode="[$$-409]#,##0"/>
    </dxf>
    <dxf>
      <font>
        <name val="Calibri"/>
      </font>
    </dxf>
    <dxf>
      <font>
        <name val="Calibri"/>
      </font>
    </dxf>
    <dxf>
      <font>
        <name val="Calibri"/>
      </font>
      <alignment horizontal="center"/>
    </dxf>
    <dxf>
      <font>
        <name val="Calibri"/>
      </font>
    </dxf>
    <dxf>
      <font>
        <b/>
        <color rgb="FFFFFFFF"/>
        <name val="Calibri"/>
      </font>
      <fill>
        <patternFill patternType="solid">
          <fgColor indexed="64"/>
          <bgColor rgb="FF1F3A5F"/>
        </patternFill>
      </fill>
      <alignment horizontal="center" vertical="center" wrapText="1"/>
    </dxf>
    <dxf>
      <font>
        <b/>
        <name val="Calibri"/>
      </font>
      <alignment horizontal="center" vertical="top" wrapText="1"/>
    </dxf>
    <dxf>
      <font>
        <name val="Calibri"/>
      </font>
      <numFmt numFmtId="3" formatCode="#,##0"/>
      <alignment horizontal="center" vertical="top" wrapText="1"/>
    </dxf>
    <dxf>
      <font>
        <name val="Calibri"/>
      </font>
      <numFmt numFmtId="3" formatCode="#,##0"/>
      <alignment horizontal="center" vertical="top" wrapText="1"/>
    </dxf>
    <dxf>
      <font>
        <name val="Calibri"/>
      </font>
      <alignment vertical="top" wrapText="1"/>
    </dxf>
    <dxf>
      <font>
        <name val="Calibri"/>
      </font>
      <alignment vertical="top" wrapText="1"/>
    </dxf>
    <dxf>
      <font>
        <b/>
        <color rgb="FFFFFFFF"/>
        <name val="Calibri"/>
      </font>
      <fill>
        <patternFill patternType="solid">
          <fgColor indexed="64"/>
          <bgColor rgb="FF1F3A5F"/>
        </patternFill>
      </fill>
      <alignment vertical="center" wrapText="1"/>
    </dxf>
    <dxf>
      <font>
        <b val="0"/>
        <i val="0"/>
        <strike val="0"/>
        <condense val="0"/>
        <extend val="0"/>
        <outline val="0"/>
        <shadow val="0"/>
        <u val="none"/>
        <vertAlign val="baseline"/>
        <sz val="11"/>
        <color theme="1"/>
        <name val="Calibri"/>
        <scheme val="minor"/>
      </font>
      <alignment vertical="top" wrapText="1"/>
    </dxf>
    <dxf>
      <font>
        <b val="0"/>
        <i val="0"/>
        <strike val="0"/>
        <condense val="0"/>
        <extend val="0"/>
        <outline val="0"/>
        <shadow val="0"/>
        <u val="none"/>
        <vertAlign val="baseline"/>
        <sz val="11"/>
        <color theme="1"/>
        <name val="Calibri"/>
        <scheme val="minor"/>
      </font>
      <alignment vertical="top" wrapText="1"/>
    </dxf>
    <dxf>
      <font>
        <b val="0"/>
        <i val="0"/>
        <strike val="0"/>
        <condense val="0"/>
        <extend val="0"/>
        <outline val="0"/>
        <shadow val="0"/>
        <u val="none"/>
        <vertAlign val="baseline"/>
        <sz val="11"/>
        <color theme="1"/>
        <name val="Calibri"/>
        <scheme val="minor"/>
      </font>
      <numFmt numFmtId="3" formatCode="#,##0"/>
      <alignment horizontal="center" vertical="top" wrapText="1"/>
    </dxf>
    <dxf>
      <font>
        <b val="0"/>
        <i val="0"/>
        <strike val="0"/>
        <condense val="0"/>
        <extend val="0"/>
        <outline val="0"/>
        <shadow val="0"/>
        <u val="none"/>
        <vertAlign val="baseline"/>
        <sz val="11"/>
        <color theme="1"/>
        <name val="Calibri"/>
        <scheme val="minor"/>
      </font>
      <numFmt numFmtId="3" formatCode="#,##0"/>
      <alignment horizontal="center" vertical="top" wrapText="1"/>
    </dxf>
    <dxf>
      <font>
        <b val="0"/>
        <i val="0"/>
        <strike val="0"/>
        <condense val="0"/>
        <extend val="0"/>
        <outline val="0"/>
        <shadow val="0"/>
        <u val="none"/>
        <vertAlign val="baseline"/>
        <sz val="11"/>
        <color theme="1"/>
        <name val="Calibri"/>
        <scheme val="minor"/>
      </font>
      <numFmt numFmtId="3" formatCode="#,##0"/>
      <alignment horizontal="center" vertical="top" wrapText="1"/>
    </dxf>
    <dxf>
      <font>
        <b val="0"/>
        <i val="0"/>
        <strike val="0"/>
        <condense val="0"/>
        <extend val="0"/>
        <outline val="0"/>
        <shadow val="0"/>
        <u val="none"/>
        <vertAlign val="baseline"/>
        <sz val="11"/>
        <color theme="1"/>
        <name val="Calibri"/>
        <scheme val="minor"/>
      </font>
      <alignment vertical="top" wrapText="1"/>
    </dxf>
    <dxf>
      <font>
        <b val="0"/>
        <i val="0"/>
        <strike val="0"/>
        <condense val="0"/>
        <extend val="0"/>
        <outline val="0"/>
        <shadow val="0"/>
        <u val="none"/>
        <vertAlign val="baseline"/>
        <sz val="11"/>
        <color theme="1"/>
        <name val="Calibri"/>
        <scheme val="minor"/>
      </font>
      <alignment vertical="top" wrapText="1"/>
    </dxf>
    <dxf>
      <font>
        <b val="0"/>
        <i val="0"/>
        <strike val="0"/>
        <condense val="0"/>
        <extend val="0"/>
        <outline val="0"/>
        <shadow val="0"/>
        <u val="none"/>
        <vertAlign val="baseline"/>
        <sz val="11"/>
        <color theme="1"/>
        <name val="Calibri"/>
        <scheme val="minor"/>
      </font>
      <alignment horizontal="center" vertical="top" wrapText="1"/>
    </dxf>
    <dxf>
      <border outline="0">
        <top style="thin">
          <color theme="1"/>
        </top>
        <bottom style="thin">
          <color theme="1"/>
        </bottom>
      </border>
    </dxf>
    <dxf>
      <font>
        <b val="0"/>
        <i val="0"/>
        <strike val="0"/>
        <condense val="0"/>
        <extend val="0"/>
        <outline val="0"/>
        <shadow val="0"/>
        <u val="none"/>
        <vertAlign val="baseline"/>
        <sz val="11"/>
        <color theme="1"/>
        <name val="Calibri"/>
        <scheme val="minor"/>
      </font>
      <alignment vertical="top" wrapText="1"/>
    </dxf>
    <dxf>
      <font>
        <b/>
        <i val="0"/>
        <strike val="0"/>
        <condense val="0"/>
        <extend val="0"/>
        <outline val="0"/>
        <shadow val="0"/>
        <u val="none"/>
        <vertAlign val="baseline"/>
        <sz val="11"/>
        <color rgb="FFFFFFFF"/>
        <name val="Calibri"/>
        <scheme val="minor"/>
      </font>
      <fill>
        <patternFill patternType="solid">
          <fgColor indexed="64"/>
          <bgColor rgb="FF1F3A5F"/>
        </patternFill>
      </fill>
      <alignment vertical="center"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numFmt numFmtId="3" formatCode="#,##0"/>
      <alignment horizontal="center"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indexed="64"/>
          <bgColor rgb="FF1F3A5F"/>
        </patternFill>
      </fill>
      <alignment vertical="center"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val="0"/>
        <i val="0"/>
        <strike val="0"/>
        <condense val="0"/>
        <extend val="0"/>
        <outline val="0"/>
        <shadow val="0"/>
        <u val="none"/>
        <vertAlign val="baseline"/>
        <sz val="11"/>
        <color theme="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indexed="64"/>
          <bgColor rgb="FF1F3A5F"/>
        </patternFill>
      </fill>
    </dxf>
    <dxf>
      <font>
        <name val="Calibri"/>
      </font>
    </dxf>
    <dxf>
      <font>
        <name val="Calibri"/>
      </font>
      <alignment horizontal="center"/>
    </dxf>
    <dxf>
      <font>
        <name val="Calibri"/>
      </font>
      <alignment horizontal="center"/>
    </dxf>
    <dxf>
      <font>
        <name val="Calibri"/>
      </font>
      <alignment horizontal="center"/>
    </dxf>
    <dxf>
      <font>
        <name val="Calibri"/>
      </font>
      <numFmt numFmtId="170" formatCode="0.000"/>
      <alignment horizontal="center"/>
    </dxf>
    <dxf>
      <font>
        <name val="Calibri"/>
      </font>
      <numFmt numFmtId="169" formatCode="0.0000"/>
      <alignment horizontal="center"/>
    </dxf>
    <dxf>
      <font>
        <name val="Calibri"/>
      </font>
      <alignment horizontal="center"/>
    </dxf>
    <dxf>
      <font>
        <name val="Calibri"/>
      </font>
      <numFmt numFmtId="2" formatCode="0.00"/>
      <alignment horizontal="center"/>
    </dxf>
    <dxf>
      <font>
        <b/>
        <name val="Calibri"/>
      </font>
    </dxf>
    <dxf>
      <font>
        <name val="Calibri"/>
      </font>
    </dxf>
    <dxf>
      <font>
        <b/>
        <color rgb="FFFFFFFF"/>
        <name val="Calibri"/>
      </font>
      <fill>
        <patternFill patternType="solid">
          <fgColor indexed="64"/>
          <bgColor rgb="FF1F3A5F"/>
        </patternFill>
      </fill>
      <alignment horizontal="center" vertical="center" wrapText="1"/>
    </dxf>
    <dxf>
      <font>
        <color rgb="FF595959"/>
        <name val="Calibri"/>
      </font>
      <numFmt numFmtId="169" formatCode="0.0000"/>
      <alignment horizontal="center"/>
    </dxf>
    <dxf>
      <font>
        <color rgb="FF595959"/>
        <name val="Calibri"/>
      </font>
      <numFmt numFmtId="171" formatCode="0.0"/>
      <alignment horizontal="center"/>
    </dxf>
    <dxf>
      <font>
        <color rgb="FF595959"/>
        <name val="Calibri"/>
      </font>
      <numFmt numFmtId="170" formatCode="0.000"/>
      <alignment horizontal="center"/>
    </dxf>
    <dxf>
      <font>
        <color rgb="FF595959"/>
        <name val="Calibri"/>
      </font>
      <numFmt numFmtId="169" formatCode="0.0000"/>
      <alignment horizontal="center"/>
    </dxf>
    <dxf>
      <font>
        <color rgb="FF595959"/>
        <name val="Calibri"/>
      </font>
      <alignment horizontal="center"/>
    </dxf>
    <dxf>
      <font>
        <color rgb="FF595959"/>
        <name val="Calibri"/>
      </font>
      <numFmt numFmtId="2" formatCode="0.00"/>
      <alignment horizontal="center"/>
    </dxf>
    <dxf>
      <font>
        <color rgb="FF595959"/>
        <name val="Calibri"/>
      </font>
    </dxf>
    <dxf>
      <font>
        <color rgb="FF595959"/>
        <name val="Calibri"/>
      </font>
    </dxf>
    <dxf>
      <font>
        <b/>
        <color rgb="FFFFFFFF"/>
        <name val="Calibri"/>
      </font>
      <fill>
        <patternFill patternType="solid">
          <fgColor indexed="64"/>
          <bgColor rgb="FF8497B0"/>
        </patternFill>
      </fill>
      <alignment horizontal="center" vertical="center" wrapText="1"/>
    </dxf>
  </dxfs>
  <tableStyles count="0" defaultTableStyle="TableStyleMedium2" defaultPivotStyle="PivotStyleLight16"/>
  <colors>
    <mruColors>
      <color rgb="FF1F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[Bike_Buyers_Targeting_Analysis.xlsx]Pivot_Analysis!pt_Age</c:name>
    <c:fmtId val="4"/>
  </c:pivotSource>
  <c:chart>
    <c:title>
      <c:tx>
        <c:strRef>
          <c:f>Pivot_Analysis!$F$9</c:f>
          <c:strCache>
            <c:ptCount val="1"/>
            <c:pt idx="0">
              <c:v>Purchase Rate by Age Band (overall avg 48.1%)</c:v>
            </c:pt>
          </c:strCache>
        </c:strRef>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Pivot_Analysis!$F$9</c:f>
              <c:strCache>
                <c:ptCount val="1"/>
                <c:pt idx="0">
                  <c:v>Total</c:v>
                </c:pt>
              </c:strCache>
            </c:strRef>
          </c:tx>
          <c:spPr>
            <a:solidFill>
              <a:srgbClr val="1F3A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Pivot_Analysis!$F$9</c:f>
              <c:strCache>
                <c:ptCount val="5"/>
                <c:pt idx="0">
                  <c:v>25-30</c:v>
                </c:pt>
                <c:pt idx="1">
                  <c:v>31-40</c:v>
                </c:pt>
                <c:pt idx="2">
                  <c:v>41-50</c:v>
                </c:pt>
                <c:pt idx="3">
                  <c:v>51-60</c:v>
                </c:pt>
                <c:pt idx="4">
                  <c:v>61+</c:v>
                </c:pt>
              </c:strCache>
            </c:strRef>
          </c:cat>
          <c:val>
            <c:numRef>
              <c:f>Pivot_Analysis!$F$9</c:f>
              <c:numCache>
                <c:formatCode>0.0%</c:formatCode>
                <c:ptCount val="5"/>
                <c:pt idx="0">
                  <c:v>0.35454545454545455</c:v>
                </c:pt>
                <c:pt idx="1">
                  <c:v>0.61075949367088611</c:v>
                </c:pt>
                <c:pt idx="2">
                  <c:v>0.46644295302013422</c:v>
                </c:pt>
                <c:pt idx="3">
                  <c:v>0.45454545454545453</c:v>
                </c:pt>
                <c:pt idx="4">
                  <c:v>0.3</c:v>
                </c:pt>
              </c:numCache>
            </c:numRef>
          </c:val>
          <c:extLst>
            <c:ext xmlns:c16="http://schemas.microsoft.com/office/drawing/2014/chart" uri="{C3380CC4-5D6E-409C-BE32-E72D297353CC}">
              <c16:uniqueId val="{00000000-9506-4C80-938E-F34C902EF581}"/>
            </c:ext>
          </c:extLst>
        </c:ser>
        <c:dLbls>
          <c:dLblPos val="outEnd"/>
          <c:showLegendKey val="0"/>
          <c:showVal val="1"/>
          <c:showCatName val="0"/>
          <c:showSerName val="0"/>
          <c:showPercent val="0"/>
          <c:showBubbleSize val="0"/>
        </c:dLbls>
        <c:gapWidth val="219"/>
        <c:overlap val="-27"/>
        <c:axId val="1644693392"/>
        <c:axId val="1965132464"/>
      </c:barChart>
      <c:catAx>
        <c:axId val="16446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5132464"/>
        <c:crosses val="autoZero"/>
        <c:auto val="1"/>
        <c:lblAlgn val="ctr"/>
        <c:lblOffset val="100"/>
        <c:noMultiLvlLbl val="0"/>
      </c:catAx>
      <c:valAx>
        <c:axId val="196513246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69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[Bike_Buyers_Targeting_Analysis.xlsx]Pivot_Analysis!pt_Commute</c:name>
    <c:fmtId val="4"/>
  </c:pivotSource>
  <c:chart>
    <c:title>
      <c:tx>
        <c:strRef>
          <c:f>Pivot_Analysis!$F$10</c:f>
          <c:strCache>
            <c:ptCount val="1"/>
            <c:pt idx="0">
              <c:v>Purchase Rate by Commute Distance (overall avg 48.1%)</c:v>
            </c:pt>
          </c:strCache>
        </c:strRef>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Pivot_Analysis!$F$10</c:f>
              <c:strCache>
                <c:ptCount val="1"/>
                <c:pt idx="0">
                  <c:v>Total</c:v>
                </c:pt>
              </c:strCache>
            </c:strRef>
          </c:tx>
          <c:spPr>
            <a:solidFill>
              <a:srgbClr val="1F3A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Pivot_Analysis!$F$10</c:f>
              <c:strCache>
                <c:ptCount val="5"/>
                <c:pt idx="0">
                  <c:v>0-1 Miles</c:v>
                </c:pt>
                <c:pt idx="1">
                  <c:v>1-2 Miles</c:v>
                </c:pt>
                <c:pt idx="2">
                  <c:v>2-5 Miles</c:v>
                </c:pt>
                <c:pt idx="3">
                  <c:v>5-10 Miles</c:v>
                </c:pt>
                <c:pt idx="4">
                  <c:v>10+ Miles</c:v>
                </c:pt>
              </c:strCache>
            </c:strRef>
          </c:cat>
          <c:val>
            <c:numRef>
              <c:f>Pivot_Analysis!$F$10</c:f>
              <c:numCache>
                <c:formatCode>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5F76-444B-A18B-C002B1866101}"/>
            </c:ext>
          </c:extLst>
        </c:ser>
        <c:dLbls>
          <c:dLblPos val="outEnd"/>
          <c:showLegendKey val="0"/>
          <c:showVal val="1"/>
          <c:showCatName val="0"/>
          <c:showSerName val="0"/>
          <c:showPercent val="0"/>
          <c:showBubbleSize val="0"/>
        </c:dLbls>
        <c:gapWidth val="219"/>
        <c:overlap val="-27"/>
        <c:axId val="140508032"/>
        <c:axId val="1965063824"/>
      </c:barChart>
      <c:catAx>
        <c:axId val="14050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5063824"/>
        <c:crosses val="autoZero"/>
        <c:auto val="1"/>
        <c:lblAlgn val="ctr"/>
        <c:lblOffset val="100"/>
        <c:noMultiLvlLbl val="0"/>
      </c:catAx>
      <c:valAx>
        <c:axId val="196506382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50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[Bike_Buyers_Targeting_Analysis.xlsx]Pivot_Analysis!pt_Cars</c:name>
    <c:fmtId val="6"/>
  </c:pivotSource>
  <c:chart>
    <c:title>
      <c:tx>
        <c:strRef>
          <c:f>Pivot_Analysis!$F$11</c:f>
          <c:strCache>
            <c:ptCount val="1"/>
            <c:pt idx="0">
              <c:v>Purchase Rate by Cars Owned (overall avg 48.1%)</c:v>
            </c:pt>
          </c:strCache>
        </c:strRef>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Pivot_Analysis!$F$11</c:f>
              <c:strCache>
                <c:ptCount val="1"/>
                <c:pt idx="0">
                  <c:v>Total</c:v>
                </c:pt>
              </c:strCache>
            </c:strRef>
          </c:tx>
          <c:spPr>
            <a:solidFill>
              <a:srgbClr val="1F3A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Pivot_Analysis!$F$11</c:f>
              <c:strCache>
                <c:ptCount val="5"/>
                <c:pt idx="0">
                  <c:v>0</c:v>
                </c:pt>
                <c:pt idx="1">
                  <c:v>1</c:v>
                </c:pt>
                <c:pt idx="2">
                  <c:v>2</c:v>
                </c:pt>
                <c:pt idx="3">
                  <c:v>3</c:v>
                </c:pt>
                <c:pt idx="4">
                  <c:v>4</c:v>
                </c:pt>
              </c:strCache>
            </c:strRef>
          </c:cat>
          <c:val>
            <c:numRef>
              <c:f>Pivot_Analysis!$F$11</c:f>
              <c:numCache>
                <c:formatCode>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0-1458-48F2-A03D-4FA072E6D5F1}"/>
            </c:ext>
          </c:extLst>
        </c:ser>
        <c:dLbls>
          <c:dLblPos val="outEnd"/>
          <c:showLegendKey val="0"/>
          <c:showVal val="1"/>
          <c:showCatName val="0"/>
          <c:showSerName val="0"/>
          <c:showPercent val="0"/>
          <c:showBubbleSize val="0"/>
        </c:dLbls>
        <c:gapWidth val="219"/>
        <c:overlap val="-27"/>
        <c:axId val="1644693392"/>
        <c:axId val="1965132464"/>
      </c:barChart>
      <c:catAx>
        <c:axId val="16446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5132464"/>
        <c:crosses val="autoZero"/>
        <c:auto val="1"/>
        <c:lblAlgn val="ctr"/>
        <c:lblOffset val="100"/>
        <c:noMultiLvlLbl val="0"/>
      </c:catAx>
      <c:valAx>
        <c:axId val="196513246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69339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[Bike_Buyers_Targeting_Analysis.xlsx]Pivot_Analysis!pt_Children</c:name>
    <c:fmtId val="4"/>
  </c:pivotSource>
  <c:chart>
    <c:title>
      <c:tx>
        <c:strRef>
          <c:f>Pivot_Analysis!$F$12</c:f>
          <c:strCache>
            <c:ptCount val="1"/>
            <c:pt idx="0">
              <c:v>Purchase Rate by Number of Children (overall avg 48.1%)</c:v>
            </c:pt>
          </c:strCache>
        </c:strRef>
      </c:tx>
      <c:overlay val="0"/>
      <c:spPr>
        <a:noFill/>
        <a:ln>
          <a:noFill/>
        </a:ln>
        <a:effectLst/>
      </c:spPr>
      <c:txPr>
        <a:bodyPr rot="0" spcFirstLastPara="1" vertOverflow="ellipsis" vert="horz" wrap="square" anchor="ctr" anchorCtr="1"/>
        <a:lstStyle/>
        <a:p>
          <a:pPr>
            <a:defRPr sz="13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Pivot_Analysis!$F$12</c:f>
              <c:strCache>
                <c:ptCount val="1"/>
                <c:pt idx="0">
                  <c:v>Total</c:v>
                </c:pt>
              </c:strCache>
            </c:strRef>
          </c:tx>
          <c:spPr>
            <a:solidFill>
              <a:srgbClr val="1F3A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Pivot_Analysis!$F$12</c:f>
              <c:strCache>
                <c:ptCount val="6"/>
                <c:pt idx="0">
                  <c:v>0</c:v>
                </c:pt>
                <c:pt idx="1">
                  <c:v>1</c:v>
                </c:pt>
                <c:pt idx="2">
                  <c:v>2</c:v>
                </c:pt>
                <c:pt idx="3">
                  <c:v>3</c:v>
                </c:pt>
                <c:pt idx="4">
                  <c:v>4</c:v>
                </c:pt>
                <c:pt idx="5">
                  <c:v>5</c:v>
                </c:pt>
              </c:strCache>
            </c:strRef>
          </c:cat>
          <c:val>
            <c:numRef>
              <c:f>Pivot_Analysis!$F$12</c:f>
              <c:numCache>
                <c:formatCode>0.0%</c:formatCode>
                <c:ptCount val="6"/>
                <c:pt idx="0">
                  <c:v>0.50533807829181498</c:v>
                </c:pt>
                <c:pt idx="1">
                  <c:v>0.57396449704142016</c:v>
                </c:pt>
                <c:pt idx="2">
                  <c:v>0.46411483253588515</c:v>
                </c:pt>
                <c:pt idx="3">
                  <c:v>0.54477611940298509</c:v>
                </c:pt>
                <c:pt idx="4">
                  <c:v>0.42857142857142855</c:v>
                </c:pt>
                <c:pt idx="5">
                  <c:v>0.22222222222222221</c:v>
                </c:pt>
              </c:numCache>
            </c:numRef>
          </c:val>
          <c:extLst>
            <c:ext xmlns:c16="http://schemas.microsoft.com/office/drawing/2014/chart" uri="{C3380CC4-5D6E-409C-BE32-E72D297353CC}">
              <c16:uniqueId val="{00000000-9F59-4B08-BD3A-31CE09B8517E}"/>
            </c:ext>
          </c:extLst>
        </c:ser>
        <c:dLbls>
          <c:dLblPos val="outEnd"/>
          <c:showLegendKey val="0"/>
          <c:showVal val="1"/>
          <c:showCatName val="0"/>
          <c:showSerName val="0"/>
          <c:showPercent val="0"/>
          <c:showBubbleSize val="0"/>
        </c:dLbls>
        <c:gapWidth val="219"/>
        <c:overlap val="-27"/>
        <c:axId val="1644693392"/>
        <c:axId val="1965132464"/>
      </c:barChart>
      <c:catAx>
        <c:axId val="164469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65132464"/>
        <c:crosses val="autoZero"/>
        <c:auto val="1"/>
        <c:lblAlgn val="ctr"/>
        <c:lblOffset val="100"/>
        <c:noMultiLvlLbl val="0"/>
      </c:catAx>
      <c:valAx>
        <c:axId val="1965132464"/>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469339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US"/>
              <a:t>Gains Curve: Model vs Random Targeting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NG"/>
        </a:p>
      </c:txPr>
    </c:title>
    <c:autoTitleDeleted val="0"/>
    <c:plotArea>
      <c:layout/>
      <c:scatterChart>
        <c:scatterStyle val="lineMarker"/>
        <c:varyColors val="0"/>
        <c:ser>
          <c:idx val="0"/>
          <c:order val="0"/>
          <c:tx>
            <c:strRef>
              <c:f>Dashboard!$AB$3</c:f>
              <c:strCache>
                <c:ptCount val="1"/>
                <c:pt idx="0">
                  <c:v>Model</c:v>
                </c:pt>
              </c:strCache>
            </c:strRef>
          </c:tx>
          <c:spPr>
            <a:ln w="28575" cap="rnd">
              <a:solidFill>
                <a:srgbClr val="1F3A5F"/>
              </a:solidFill>
              <a:prstDash val="solid"/>
              <a:round/>
            </a:ln>
            <a:effectLst/>
          </c:spPr>
          <c:marker>
            <c:symbol val="circle"/>
            <c:size val="6"/>
            <c:spPr>
              <a:solidFill>
                <a:srgbClr val="1F3A5F"/>
              </a:solidFill>
              <a:ln w="9525">
                <a:solidFill>
                  <a:srgbClr val="1F3A5F"/>
                </a:solidFill>
                <a:prstDash val="solid"/>
              </a:ln>
              <a:effectLst/>
            </c:spPr>
          </c:marker>
          <c:xVal>
            <c:numRef>
              <c:f>Dashboard!$AA$4:$AA$14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Dashboard!$AB$4:$AB$14</c:f>
              <c:numCache>
                <c:formatCode>0.0%</c:formatCode>
                <c:ptCount val="11"/>
                <c:pt idx="0">
                  <c:v>0</c:v>
                </c:pt>
                <c:pt idx="1">
                  <c:v>0.16632016632016633</c:v>
                </c:pt>
                <c:pt idx="2">
                  <c:v>0.30145530145530147</c:v>
                </c:pt>
                <c:pt idx="3">
                  <c:v>0.43866943866943869</c:v>
                </c:pt>
                <c:pt idx="4">
                  <c:v>0.54677754677754675</c:v>
                </c:pt>
                <c:pt idx="5">
                  <c:v>0.65280665280665284</c:v>
                </c:pt>
                <c:pt idx="6">
                  <c:v>0.72557172557172556</c:v>
                </c:pt>
                <c:pt idx="7">
                  <c:v>0.8066528066528067</c:v>
                </c:pt>
                <c:pt idx="8">
                  <c:v>0.91683991683991684</c:v>
                </c:pt>
                <c:pt idx="9">
                  <c:v>0.96049896049896055</c:v>
                </c:pt>
                <c:pt idx="10">
                  <c:v>1</c:v>
                </c:pt>
              </c:numCache>
            </c:numRef>
          </c:yVal>
          <c:smooth val="0"/>
          <c:extLst>
            <c:ext xmlns:c16="http://schemas.microsoft.com/office/drawing/2014/chart" uri="{C3380CC4-5D6E-409C-BE32-E72D297353CC}">
              <c16:uniqueId val="{00000000-69BC-48FD-B218-003415CC3550}"/>
            </c:ext>
          </c:extLst>
        </c:ser>
        <c:ser>
          <c:idx val="1"/>
          <c:order val="1"/>
          <c:tx>
            <c:strRef>
              <c:f>Dashboard!$AC$3</c:f>
              <c:strCache>
                <c:ptCount val="1"/>
                <c:pt idx="0">
                  <c:v>Random</c:v>
                </c:pt>
              </c:strCache>
            </c:strRef>
          </c:tx>
          <c:spPr>
            <a:ln w="19050" cap="rnd">
              <a:solidFill>
                <a:srgbClr val="A6A6A6"/>
              </a:solidFill>
              <a:prstDash val="lgDash"/>
              <a:round/>
            </a:ln>
            <a:effectLst/>
          </c:spPr>
          <c:marker>
            <c:symbol val="none"/>
          </c:marker>
          <c:xVal>
            <c:numRef>
              <c:f>Dashboard!$AA$4:$AA$14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xVal>
          <c:yVal>
            <c:numRef>
              <c:f>Dashboard!$AC$4:$AC$14</c:f>
              <c:numCache>
                <c:formatCode>0%</c:formatCode>
                <c:ptCount val="11"/>
                <c:pt idx="0">
                  <c:v>0</c:v>
                </c:pt>
                <c:pt idx="1">
                  <c:v>0.1</c:v>
                </c:pt>
                <c:pt idx="2">
                  <c:v>0.2</c:v>
                </c:pt>
                <c:pt idx="3">
                  <c:v>0.3</c:v>
                </c:pt>
                <c:pt idx="4">
                  <c:v>0.4</c:v>
                </c:pt>
                <c:pt idx="5">
                  <c:v>0.5</c:v>
                </c:pt>
                <c:pt idx="6">
                  <c:v>0.6</c:v>
                </c:pt>
                <c:pt idx="7">
                  <c:v>0.7</c:v>
                </c:pt>
                <c:pt idx="8">
                  <c:v>0.8</c:v>
                </c:pt>
                <c:pt idx="9">
                  <c:v>0.9</c:v>
                </c:pt>
                <c:pt idx="10">
                  <c:v>1</c:v>
                </c:pt>
              </c:numCache>
            </c:numRef>
          </c:yVal>
          <c:smooth val="0"/>
          <c:extLst>
            <c:ext xmlns:c16="http://schemas.microsoft.com/office/drawing/2014/chart" uri="{C3380CC4-5D6E-409C-BE32-E72D297353CC}">
              <c16:uniqueId val="{00000001-69BC-48FD-B218-003415CC3550}"/>
            </c:ext>
          </c:extLst>
        </c:ser>
        <c:dLbls>
          <c:showLegendKey val="0"/>
          <c:showVal val="0"/>
          <c:showCatName val="0"/>
          <c:showSerName val="0"/>
          <c:showPercent val="0"/>
          <c:showBubbleSize val="0"/>
        </c:dLbls>
        <c:axId val="145658960"/>
        <c:axId val="106003856"/>
      </c:scatterChart>
      <c:valAx>
        <c:axId val="145658960"/>
        <c:scaling>
          <c:orientation val="minMax"/>
          <c:max val="1"/>
          <c:min val="0"/>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NG"/>
                  <a:t>% of customers targeted (highest scores first)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NG"/>
          </a:p>
        </c:txPr>
        <c:crossAx val="106003856"/>
        <c:crosses val="autoZero"/>
        <c:crossBetween val="midCat"/>
        <c:majorUnit val="0.2"/>
      </c:valAx>
      <c:valAx>
        <c:axId val="106003856"/>
        <c:scaling>
          <c:orientation val="minMax"/>
          <c:max val="1"/>
          <c:min val="0"/>
        </c:scaling>
        <c:delete val="0"/>
        <c:axPos val="l"/>
        <c:majorGridlines>
          <c:spPr>
            <a:ln w="9525" cap="flat" cmpd="sng" algn="ctr">
              <a:solidFill>
                <a:srgbClr val="E0E0E0"/>
              </a:solidFill>
              <a:prstDash val="solid"/>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NG"/>
                  <a:t>% of buyers captured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NG"/>
          </a:p>
        </c:txPr>
        <c:crossAx val="145658960"/>
        <c:crosses val="autoZero"/>
        <c:crossBetween val="midCat"/>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US"/>
              <a:t>What Drives Purchases? (Cramér's V)</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NG"/>
        </a:p>
      </c:txPr>
    </c:title>
    <c:autoTitleDeleted val="0"/>
    <c:plotArea>
      <c:layout/>
      <c:barChart>
        <c:barDir val="bar"/>
        <c:grouping val="clustered"/>
        <c:varyColors val="0"/>
        <c:ser>
          <c:idx val="0"/>
          <c:order val="0"/>
          <c:tx>
            <c:strRef>
              <c:f>Dashboard!$AF$3</c:f>
              <c:strCache>
                <c:ptCount val="1"/>
                <c:pt idx="0">
                  <c:v>Significant</c:v>
                </c:pt>
              </c:strCache>
            </c:strRef>
          </c:tx>
          <c:spPr>
            <a:solidFill>
              <a:srgbClr val="1F3A5F"/>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04040"/>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Dashboard!$AE$4:$AE$15</c:f>
              <c:strCache>
                <c:ptCount val="12"/>
                <c:pt idx="0">
                  <c:v>Home Owner</c:v>
                </c:pt>
                <c:pt idx="1">
                  <c:v>Gender</c:v>
                </c:pt>
                <c:pt idx="2">
                  <c:v>Occupation</c:v>
                </c:pt>
                <c:pt idx="3">
                  <c:v>Income Band</c:v>
                </c:pt>
                <c:pt idx="4">
                  <c:v>Marital Status</c:v>
                </c:pt>
                <c:pt idx="5">
                  <c:v>Region</c:v>
                </c:pt>
                <c:pt idx="6">
                  <c:v>Education</c:v>
                </c:pt>
                <c:pt idx="7">
                  <c:v>Children</c:v>
                </c:pt>
                <c:pt idx="8">
                  <c:v>Commute Distance</c:v>
                </c:pt>
                <c:pt idx="9">
                  <c:v>Age Band</c:v>
                </c:pt>
                <c:pt idx="10">
                  <c:v>Car Ownership</c:v>
                </c:pt>
                <c:pt idx="11">
                  <c:v>Cars</c:v>
                </c:pt>
              </c:strCache>
            </c:strRef>
          </c:cat>
          <c:val>
            <c:numRef>
              <c:f>Dashboard!$AF$4:$AF$15</c:f>
              <c:numCache>
                <c:formatCode>0.000</c:formatCode>
                <c:ptCount val="12"/>
                <c:pt idx="0">
                  <c:v>#N/A</c:v>
                </c:pt>
                <c:pt idx="1">
                  <c:v>#N/A</c:v>
                </c:pt>
                <c:pt idx="2">
                  <c:v>#N/A</c:v>
                </c:pt>
                <c:pt idx="3">
                  <c:v>0.10615007327225985</c:v>
                </c:pt>
                <c:pt idx="4">
                  <c:v>0.11151483107729447</c:v>
                </c:pt>
                <c:pt idx="5">
                  <c:v>0.11727057311482388</c:v>
                </c:pt>
                <c:pt idx="6">
                  <c:v>0.15916244699314144</c:v>
                </c:pt>
                <c:pt idx="7">
                  <c:v>0.17903952474662738</c:v>
                </c:pt>
                <c:pt idx="8">
                  <c:v>0.18577337970361804</c:v>
                </c:pt>
                <c:pt idx="9">
                  <c:v>0.20549750937570588</c:v>
                </c:pt>
                <c:pt idx="10">
                  <c:v>0.22331278261277263</c:v>
                </c:pt>
                <c:pt idx="11">
                  <c:v>0.22579979791247926</c:v>
                </c:pt>
              </c:numCache>
            </c:numRef>
          </c:val>
          <c:extLst>
            <c:ext xmlns:c16="http://schemas.microsoft.com/office/drawing/2014/chart" uri="{C3380CC4-5D6E-409C-BE32-E72D297353CC}">
              <c16:uniqueId val="{00000000-416A-4E19-9E06-A83E33C4B223}"/>
            </c:ext>
          </c:extLst>
        </c:ser>
        <c:ser>
          <c:idx val="1"/>
          <c:order val="1"/>
          <c:tx>
            <c:strRef>
              <c:f>Dashboard!$AG$3</c:f>
              <c:strCache>
                <c:ptCount val="1"/>
                <c:pt idx="0">
                  <c:v>Not significant</c:v>
                </c:pt>
              </c:strCache>
            </c:strRef>
          </c:tx>
          <c:spPr>
            <a:solidFill>
              <a:srgbClr val="BFBFBF"/>
            </a:solidFill>
            <a:ln>
              <a:noFill/>
            </a:ln>
            <a:effectLst/>
          </c:spPr>
          <c:invertIfNegative val="0"/>
          <c:dLbls>
            <c:numFmt formatCode="0.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404040"/>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Dashboard!$AE$4:$AE$15</c:f>
              <c:strCache>
                <c:ptCount val="12"/>
                <c:pt idx="0">
                  <c:v>Home Owner</c:v>
                </c:pt>
                <c:pt idx="1">
                  <c:v>Gender</c:v>
                </c:pt>
                <c:pt idx="2">
                  <c:v>Occupation</c:v>
                </c:pt>
                <c:pt idx="3">
                  <c:v>Income Band</c:v>
                </c:pt>
                <c:pt idx="4">
                  <c:v>Marital Status</c:v>
                </c:pt>
                <c:pt idx="5">
                  <c:v>Region</c:v>
                </c:pt>
                <c:pt idx="6">
                  <c:v>Education</c:v>
                </c:pt>
                <c:pt idx="7">
                  <c:v>Children</c:v>
                </c:pt>
                <c:pt idx="8">
                  <c:v>Commute Distance</c:v>
                </c:pt>
                <c:pt idx="9">
                  <c:v>Age Band</c:v>
                </c:pt>
                <c:pt idx="10">
                  <c:v>Car Ownership</c:v>
                </c:pt>
                <c:pt idx="11">
                  <c:v>Cars</c:v>
                </c:pt>
              </c:strCache>
            </c:strRef>
          </c:cat>
          <c:val>
            <c:numRef>
              <c:f>Dashboard!$AG$4:$AG$15</c:f>
              <c:numCache>
                <c:formatCode>0.000</c:formatCode>
                <c:ptCount val="12"/>
                <c:pt idx="0">
                  <c:v>1.5153621767765253E-2</c:v>
                </c:pt>
                <c:pt idx="1">
                  <c:v>1.5178633953397051E-2</c:v>
                </c:pt>
                <c:pt idx="2">
                  <c:v>8.9474532420494454E-2</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1-416A-4E19-9E06-A83E33C4B223}"/>
            </c:ext>
          </c:extLst>
        </c:ser>
        <c:dLbls>
          <c:showLegendKey val="0"/>
          <c:showVal val="0"/>
          <c:showCatName val="0"/>
          <c:showSerName val="0"/>
          <c:showPercent val="0"/>
          <c:showBubbleSize val="0"/>
        </c:dLbls>
        <c:gapWidth val="60"/>
        <c:overlap val="100"/>
        <c:axId val="60919936"/>
        <c:axId val="105973616"/>
      </c:barChart>
      <c:catAx>
        <c:axId val="60919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5973616"/>
        <c:crosses val="autoZero"/>
        <c:auto val="1"/>
        <c:lblAlgn val="ctr"/>
        <c:lblOffset val="100"/>
        <c:noMultiLvlLbl val="0"/>
      </c:catAx>
      <c:valAx>
        <c:axId val="105973616"/>
        <c:scaling>
          <c:orientation val="minMax"/>
          <c:min val="0"/>
        </c:scaling>
        <c:delete val="0"/>
        <c:axPos val="b"/>
        <c:majorGridlines>
          <c:spPr>
            <a:ln w="9525" cap="flat" cmpd="sng" algn="ctr">
              <a:solidFill>
                <a:srgbClr val="E0E0E0"/>
              </a:solidFill>
              <a:prstDash val="solid"/>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9</xdr:col>
      <xdr:colOff>0</xdr:colOff>
      <xdr:row>36</xdr:row>
      <xdr:rowOff>0</xdr:rowOff>
    </xdr:to>
    <xdr:graphicFrame macro="">
      <xdr:nvGraphicFramePr>
        <xdr:cNvPr id="2" name="Chart 1">
          <a:extLst>
            <a:ext uri="{FF2B5EF4-FFF2-40B4-BE49-F238E27FC236}">
              <a16:creationId xmlns:a16="http://schemas.microsoft.com/office/drawing/2014/main" id="{790E48FA-D4C3-449C-A3FA-A7B66E927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20</xdr:row>
      <xdr:rowOff>0</xdr:rowOff>
    </xdr:from>
    <xdr:to>
      <xdr:col>18</xdr:col>
      <xdr:colOff>0</xdr:colOff>
      <xdr:row>36</xdr:row>
      <xdr:rowOff>0</xdr:rowOff>
    </xdr:to>
    <xdr:graphicFrame macro="">
      <xdr:nvGraphicFramePr>
        <xdr:cNvPr id="3" name="Chart 2">
          <a:extLst>
            <a:ext uri="{FF2B5EF4-FFF2-40B4-BE49-F238E27FC236}">
              <a16:creationId xmlns:a16="http://schemas.microsoft.com/office/drawing/2014/main" id="{051B912A-2228-47FA-9E43-4E28E6810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37</xdr:row>
      <xdr:rowOff>0</xdr:rowOff>
    </xdr:from>
    <xdr:to>
      <xdr:col>9</xdr:col>
      <xdr:colOff>0</xdr:colOff>
      <xdr:row>53</xdr:row>
      <xdr:rowOff>0</xdr:rowOff>
    </xdr:to>
    <xdr:graphicFrame macro="">
      <xdr:nvGraphicFramePr>
        <xdr:cNvPr id="4" name="Chart 3">
          <a:extLst>
            <a:ext uri="{FF2B5EF4-FFF2-40B4-BE49-F238E27FC236}">
              <a16:creationId xmlns:a16="http://schemas.microsoft.com/office/drawing/2014/main" id="{16B2C08A-9419-4951-9033-E482DFC94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37</xdr:row>
      <xdr:rowOff>0</xdr:rowOff>
    </xdr:from>
    <xdr:to>
      <xdr:col>18</xdr:col>
      <xdr:colOff>0</xdr:colOff>
      <xdr:row>53</xdr:row>
      <xdr:rowOff>0</xdr:rowOff>
    </xdr:to>
    <xdr:graphicFrame macro="">
      <xdr:nvGraphicFramePr>
        <xdr:cNvPr id="5" name="Chart 4">
          <a:extLst>
            <a:ext uri="{FF2B5EF4-FFF2-40B4-BE49-F238E27FC236}">
              <a16:creationId xmlns:a16="http://schemas.microsoft.com/office/drawing/2014/main" id="{A410FD57-C261-4821-8DD0-F1395970D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216689</xdr:colOff>
      <xdr:row>4</xdr:row>
      <xdr:rowOff>0</xdr:rowOff>
    </xdr:from>
    <xdr:to>
      <xdr:col>10</xdr:col>
      <xdr:colOff>150014</xdr:colOff>
      <xdr:row>9</xdr:row>
      <xdr:rowOff>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BEC51A2-B66C-4931-808C-272922682DA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74289" y="762000"/>
              <a:ext cx="2371725" cy="952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154778</xdr:colOff>
      <xdr:row>4</xdr:row>
      <xdr:rowOff>0</xdr:rowOff>
    </xdr:from>
    <xdr:to>
      <xdr:col>18</xdr:col>
      <xdr:colOff>0</xdr:colOff>
      <xdr:row>9</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CB55C1A-1414-4199-9A63-E9A53FE70A6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250778" y="762000"/>
              <a:ext cx="4722022" cy="952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4762</xdr:colOff>
      <xdr:row>4</xdr:row>
      <xdr:rowOff>0</xdr:rowOff>
    </xdr:from>
    <xdr:to>
      <xdr:col>6</xdr:col>
      <xdr:colOff>221268</xdr:colOff>
      <xdr:row>9</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0FC9B35-B029-491E-8EE8-F28BC774C6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14362" y="762000"/>
              <a:ext cx="3264506" cy="952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55</xdr:row>
      <xdr:rowOff>0</xdr:rowOff>
    </xdr:from>
    <xdr:to>
      <xdr:col>9</xdr:col>
      <xdr:colOff>0</xdr:colOff>
      <xdr:row>71</xdr:row>
      <xdr:rowOff>0</xdr:rowOff>
    </xdr:to>
    <xdr:graphicFrame macro="">
      <xdr:nvGraphicFramePr>
        <xdr:cNvPr id="9" name="Gains Curve">
          <a:extLst>
            <a:ext uri="{FF2B5EF4-FFF2-40B4-BE49-F238E27FC236}">
              <a16:creationId xmlns:a16="http://schemas.microsoft.com/office/drawing/2014/main" id="{147D413E-CCF1-FB0B-A3EE-30DFCAF97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55</xdr:row>
      <xdr:rowOff>0</xdr:rowOff>
    </xdr:from>
    <xdr:to>
      <xdr:col>18</xdr:col>
      <xdr:colOff>0</xdr:colOff>
      <xdr:row>71</xdr:row>
      <xdr:rowOff>0</xdr:rowOff>
    </xdr:to>
    <xdr:graphicFrame macro="">
      <xdr:nvGraphicFramePr>
        <xdr:cNvPr id="10" name="Cramers V">
          <a:extLst>
            <a:ext uri="{FF2B5EF4-FFF2-40B4-BE49-F238E27FC236}">
              <a16:creationId xmlns:a16="http://schemas.microsoft.com/office/drawing/2014/main" id="{7E0F3354-EAAB-8874-1A6F-D7BAD6B68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chy ugwu" refreshedDate="46308.49618321759" createdVersion="8" refreshedVersion="8" minRefreshableVersion="3" recordCount="1000" xr:uid="{B00CA3A9-709E-45EA-B894-26C52D47D41D}">
  <cacheSource type="worksheet">
    <worksheetSource name="tbl_Clean"/>
  </cacheSource>
  <cacheFields count="21">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 name="Age Band" numFmtId="0">
      <sharedItems count="5">
        <s v="41-50"/>
        <s v="51-60"/>
        <s v="31-40"/>
        <s v="61+"/>
        <s v="25-30"/>
      </sharedItems>
    </cacheField>
    <cacheField name="Age Band Sort" numFmtId="0">
      <sharedItems containsSemiMixedTypes="0" containsString="0" containsNumber="1" containsInteger="1" minValue="1" maxValue="5"/>
    </cacheField>
    <cacheField name="Income Band" numFmtId="0">
      <sharedItems/>
    </cacheField>
    <cacheField name="Income Band Sort" numFmtId="0">
      <sharedItems containsSemiMixedTypes="0" containsString="0" containsNumber="1" containsInteger="1" minValue="1" maxValue="4"/>
    </cacheField>
    <cacheField name="Car Ownership" numFmtId="0">
      <sharedItems count="2">
        <s v="0-1 Cars"/>
        <s v="2+ Cars"/>
      </sharedItems>
    </cacheField>
    <cacheField name="Commute Sort" numFmtId="0">
      <sharedItems containsSemiMixedTypes="0" containsString="0" containsNumber="1" containsInteger="1" minValue="1" maxValue="5"/>
    </cacheField>
    <cacheField name="Education Sort" numFmtId="0">
      <sharedItems containsSemiMixedTypes="0" containsString="0" containsNumber="1" containsInteger="1" minValue="1" maxValue="5"/>
    </cacheField>
    <cacheField name="Purchased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10270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s v="Female"/>
    <n v="40000"/>
    <x v="0"/>
    <x v="0"/>
    <s v="Skilled Manual"/>
    <s v="Yes"/>
    <x v="0"/>
    <x v="0"/>
    <x v="0"/>
    <n v="42"/>
    <s v="No"/>
    <x v="0"/>
    <n v="3"/>
    <s v="$40k-60k"/>
    <n v="2"/>
    <x v="0"/>
    <n v="1"/>
    <n v="4"/>
    <n v="0"/>
  </r>
  <r>
    <n v="24107"/>
    <x v="0"/>
    <s v="Male"/>
    <n v="30000"/>
    <x v="1"/>
    <x v="1"/>
    <s v="Clerical"/>
    <s v="Yes"/>
    <x v="1"/>
    <x v="0"/>
    <x v="0"/>
    <n v="43"/>
    <s v="No"/>
    <x v="0"/>
    <n v="3"/>
    <s v="$10k-30k"/>
    <n v="1"/>
    <x v="0"/>
    <n v="1"/>
    <n v="3"/>
    <n v="0"/>
  </r>
  <r>
    <n v="14177"/>
    <x v="0"/>
    <s v="Male"/>
    <n v="80000"/>
    <x v="2"/>
    <x v="1"/>
    <s v="Professional"/>
    <s v="No"/>
    <x v="2"/>
    <x v="1"/>
    <x v="0"/>
    <n v="60"/>
    <s v="No"/>
    <x v="1"/>
    <n v="4"/>
    <s v="$70k-90k"/>
    <n v="3"/>
    <x v="1"/>
    <n v="3"/>
    <n v="3"/>
    <n v="0"/>
  </r>
  <r>
    <n v="24381"/>
    <x v="1"/>
    <s v="Male"/>
    <n v="70000"/>
    <x v="3"/>
    <x v="0"/>
    <s v="Professional"/>
    <s v="Yes"/>
    <x v="1"/>
    <x v="2"/>
    <x v="1"/>
    <n v="41"/>
    <s v="Yes"/>
    <x v="0"/>
    <n v="3"/>
    <s v="$70k-90k"/>
    <n v="3"/>
    <x v="0"/>
    <n v="4"/>
    <n v="4"/>
    <n v="1"/>
  </r>
  <r>
    <n v="25597"/>
    <x v="1"/>
    <s v="Male"/>
    <n v="30000"/>
    <x v="3"/>
    <x v="0"/>
    <s v="Clerical"/>
    <s v="No"/>
    <x v="0"/>
    <x v="0"/>
    <x v="0"/>
    <n v="36"/>
    <s v="Yes"/>
    <x v="2"/>
    <n v="2"/>
    <s v="$10k-30k"/>
    <n v="1"/>
    <x v="0"/>
    <n v="1"/>
    <n v="4"/>
    <n v="1"/>
  </r>
  <r>
    <n v="13507"/>
    <x v="0"/>
    <s v="Female"/>
    <n v="10000"/>
    <x v="4"/>
    <x v="1"/>
    <s v="Manual"/>
    <s v="Yes"/>
    <x v="0"/>
    <x v="3"/>
    <x v="0"/>
    <n v="50"/>
    <s v="No"/>
    <x v="0"/>
    <n v="3"/>
    <s v="$10k-30k"/>
    <n v="1"/>
    <x v="0"/>
    <n v="2"/>
    <n v="3"/>
    <n v="0"/>
  </r>
  <r>
    <n v="27974"/>
    <x v="1"/>
    <s v="Male"/>
    <n v="160000"/>
    <x v="4"/>
    <x v="2"/>
    <s v="Management"/>
    <s v="Yes"/>
    <x v="3"/>
    <x v="0"/>
    <x v="1"/>
    <n v="33"/>
    <s v="Yes"/>
    <x v="2"/>
    <n v="2"/>
    <s v="$100k+"/>
    <n v="4"/>
    <x v="1"/>
    <n v="1"/>
    <n v="2"/>
    <n v="1"/>
  </r>
  <r>
    <n v="19364"/>
    <x v="0"/>
    <s v="Male"/>
    <n v="40000"/>
    <x v="0"/>
    <x v="0"/>
    <s v="Skilled Manual"/>
    <s v="Yes"/>
    <x v="0"/>
    <x v="0"/>
    <x v="0"/>
    <n v="43"/>
    <s v="Yes"/>
    <x v="0"/>
    <n v="3"/>
    <s v="$40k-60k"/>
    <n v="2"/>
    <x v="0"/>
    <n v="1"/>
    <n v="4"/>
    <n v="1"/>
  </r>
  <r>
    <n v="22155"/>
    <x v="0"/>
    <s v="Male"/>
    <n v="20000"/>
    <x v="4"/>
    <x v="3"/>
    <s v="Clerical"/>
    <s v="Yes"/>
    <x v="2"/>
    <x v="2"/>
    <x v="1"/>
    <n v="58"/>
    <s v="No"/>
    <x v="1"/>
    <n v="4"/>
    <s v="$10k-30k"/>
    <n v="1"/>
    <x v="1"/>
    <n v="4"/>
    <n v="1"/>
    <n v="0"/>
  </r>
  <r>
    <n v="19280"/>
    <x v="0"/>
    <s v="Male"/>
    <n v="120000"/>
    <x v="4"/>
    <x v="1"/>
    <s v="Manual"/>
    <s v="Yes"/>
    <x v="1"/>
    <x v="0"/>
    <x v="0"/>
    <n v="40"/>
    <s v="Yes"/>
    <x v="2"/>
    <n v="2"/>
    <s v="$100k+"/>
    <n v="4"/>
    <x v="0"/>
    <n v="1"/>
    <n v="3"/>
    <n v="1"/>
  </r>
  <r>
    <n v="22173"/>
    <x v="0"/>
    <s v="Female"/>
    <n v="30000"/>
    <x v="1"/>
    <x v="2"/>
    <s v="Skilled Manual"/>
    <s v="No"/>
    <x v="2"/>
    <x v="3"/>
    <x v="1"/>
    <n v="54"/>
    <s v="Yes"/>
    <x v="1"/>
    <n v="4"/>
    <s v="$10k-30k"/>
    <n v="1"/>
    <x v="1"/>
    <n v="2"/>
    <n v="2"/>
    <n v="1"/>
  </r>
  <r>
    <n v="12697"/>
    <x v="1"/>
    <s v="Female"/>
    <n v="90000"/>
    <x v="3"/>
    <x v="0"/>
    <s v="Professional"/>
    <s v="No"/>
    <x v="3"/>
    <x v="4"/>
    <x v="1"/>
    <n v="36"/>
    <s v="No"/>
    <x v="2"/>
    <n v="2"/>
    <s v="$70k-90k"/>
    <n v="3"/>
    <x v="1"/>
    <n v="5"/>
    <n v="4"/>
    <n v="0"/>
  </r>
  <r>
    <n v="11434"/>
    <x v="0"/>
    <s v="Male"/>
    <n v="170000"/>
    <x v="2"/>
    <x v="1"/>
    <s v="Professional"/>
    <s v="Yes"/>
    <x v="0"/>
    <x v="0"/>
    <x v="0"/>
    <n v="55"/>
    <s v="No"/>
    <x v="1"/>
    <n v="4"/>
    <s v="$100k+"/>
    <n v="4"/>
    <x v="0"/>
    <n v="1"/>
    <n v="3"/>
    <n v="0"/>
  </r>
  <r>
    <n v="25323"/>
    <x v="0"/>
    <s v="Male"/>
    <n v="40000"/>
    <x v="4"/>
    <x v="1"/>
    <s v="Clerical"/>
    <s v="Yes"/>
    <x v="1"/>
    <x v="3"/>
    <x v="0"/>
    <n v="35"/>
    <s v="Yes"/>
    <x v="2"/>
    <n v="2"/>
    <s v="$40k-60k"/>
    <n v="2"/>
    <x v="0"/>
    <n v="2"/>
    <n v="3"/>
    <n v="1"/>
  </r>
  <r>
    <n v="23542"/>
    <x v="1"/>
    <s v="Male"/>
    <n v="60000"/>
    <x v="0"/>
    <x v="1"/>
    <s v="Skilled Manual"/>
    <s v="No"/>
    <x v="1"/>
    <x v="0"/>
    <x v="1"/>
    <n v="45"/>
    <s v="Yes"/>
    <x v="0"/>
    <n v="3"/>
    <s v="$40k-60k"/>
    <n v="2"/>
    <x v="0"/>
    <n v="1"/>
    <n v="3"/>
    <n v="1"/>
  </r>
  <r>
    <n v="20870"/>
    <x v="1"/>
    <s v="Female"/>
    <n v="10000"/>
    <x v="4"/>
    <x v="2"/>
    <s v="Manual"/>
    <s v="Yes"/>
    <x v="1"/>
    <x v="0"/>
    <x v="0"/>
    <n v="38"/>
    <s v="Yes"/>
    <x v="2"/>
    <n v="2"/>
    <s v="$10k-30k"/>
    <n v="1"/>
    <x v="0"/>
    <n v="1"/>
    <n v="2"/>
    <n v="1"/>
  </r>
  <r>
    <n v="23316"/>
    <x v="1"/>
    <s v="Male"/>
    <n v="30000"/>
    <x v="1"/>
    <x v="1"/>
    <s v="Clerical"/>
    <s v="No"/>
    <x v="2"/>
    <x v="3"/>
    <x v="1"/>
    <n v="59"/>
    <s v="Yes"/>
    <x v="1"/>
    <n v="4"/>
    <s v="$10k-30k"/>
    <n v="1"/>
    <x v="1"/>
    <n v="2"/>
    <n v="3"/>
    <n v="1"/>
  </r>
  <r>
    <n v="12610"/>
    <x v="0"/>
    <s v="Female"/>
    <n v="30000"/>
    <x v="0"/>
    <x v="0"/>
    <s v="Clerical"/>
    <s v="Yes"/>
    <x v="0"/>
    <x v="0"/>
    <x v="0"/>
    <n v="47"/>
    <s v="No"/>
    <x v="0"/>
    <n v="3"/>
    <s v="$10k-30k"/>
    <n v="1"/>
    <x v="0"/>
    <n v="1"/>
    <n v="4"/>
    <n v="0"/>
  </r>
  <r>
    <n v="27183"/>
    <x v="1"/>
    <s v="Male"/>
    <n v="40000"/>
    <x v="4"/>
    <x v="1"/>
    <s v="Clerical"/>
    <s v="Yes"/>
    <x v="1"/>
    <x v="3"/>
    <x v="0"/>
    <n v="35"/>
    <s v="Yes"/>
    <x v="2"/>
    <n v="2"/>
    <s v="$40k-60k"/>
    <n v="2"/>
    <x v="0"/>
    <n v="2"/>
    <n v="3"/>
    <n v="1"/>
  </r>
  <r>
    <n v="25940"/>
    <x v="1"/>
    <s v="Male"/>
    <n v="20000"/>
    <x v="4"/>
    <x v="3"/>
    <s v="Clerical"/>
    <s v="Yes"/>
    <x v="2"/>
    <x v="2"/>
    <x v="1"/>
    <n v="55"/>
    <s v="Yes"/>
    <x v="1"/>
    <n v="4"/>
    <s v="$10k-30k"/>
    <n v="1"/>
    <x v="1"/>
    <n v="4"/>
    <n v="1"/>
    <n v="1"/>
  </r>
  <r>
    <n v="25598"/>
    <x v="0"/>
    <s v="Female"/>
    <n v="40000"/>
    <x v="3"/>
    <x v="4"/>
    <s v="Clerical"/>
    <s v="Yes"/>
    <x v="0"/>
    <x v="0"/>
    <x v="0"/>
    <n v="36"/>
    <s v="Yes"/>
    <x v="2"/>
    <n v="2"/>
    <s v="$40k-60k"/>
    <n v="2"/>
    <x v="0"/>
    <n v="1"/>
    <n v="5"/>
    <n v="1"/>
  </r>
  <r>
    <n v="21564"/>
    <x v="1"/>
    <s v="Female"/>
    <n v="80000"/>
    <x v="3"/>
    <x v="0"/>
    <s v="Professional"/>
    <s v="Yes"/>
    <x v="3"/>
    <x v="4"/>
    <x v="1"/>
    <n v="35"/>
    <s v="No"/>
    <x v="2"/>
    <n v="2"/>
    <s v="$70k-90k"/>
    <n v="3"/>
    <x v="1"/>
    <n v="5"/>
    <n v="4"/>
    <n v="0"/>
  </r>
  <r>
    <n v="19193"/>
    <x v="1"/>
    <s v="Male"/>
    <n v="40000"/>
    <x v="4"/>
    <x v="1"/>
    <s v="Clerical"/>
    <s v="Yes"/>
    <x v="0"/>
    <x v="3"/>
    <x v="0"/>
    <n v="35"/>
    <s v="Yes"/>
    <x v="2"/>
    <n v="2"/>
    <s v="$40k-60k"/>
    <n v="2"/>
    <x v="0"/>
    <n v="2"/>
    <n v="3"/>
    <n v="1"/>
  </r>
  <r>
    <n v="26412"/>
    <x v="0"/>
    <s v="Female"/>
    <n v="80000"/>
    <x v="2"/>
    <x v="2"/>
    <s v="Management"/>
    <s v="No"/>
    <x v="4"/>
    <x v="2"/>
    <x v="0"/>
    <n v="56"/>
    <s v="No"/>
    <x v="1"/>
    <n v="4"/>
    <s v="$70k-90k"/>
    <n v="3"/>
    <x v="1"/>
    <n v="4"/>
    <n v="2"/>
    <n v="0"/>
  </r>
  <r>
    <n v="27184"/>
    <x v="1"/>
    <s v="Male"/>
    <n v="40000"/>
    <x v="4"/>
    <x v="1"/>
    <s v="Clerical"/>
    <s v="No"/>
    <x v="1"/>
    <x v="0"/>
    <x v="0"/>
    <n v="34"/>
    <s v="No"/>
    <x v="2"/>
    <n v="2"/>
    <s v="$40k-60k"/>
    <n v="2"/>
    <x v="0"/>
    <n v="1"/>
    <n v="3"/>
    <n v="0"/>
  </r>
  <r>
    <n v="12590"/>
    <x v="1"/>
    <s v="Male"/>
    <n v="30000"/>
    <x v="0"/>
    <x v="0"/>
    <s v="Clerical"/>
    <s v="Yes"/>
    <x v="0"/>
    <x v="0"/>
    <x v="0"/>
    <n v="63"/>
    <s v="No"/>
    <x v="3"/>
    <n v="5"/>
    <s v="$10k-30k"/>
    <n v="1"/>
    <x v="0"/>
    <n v="1"/>
    <n v="4"/>
    <n v="0"/>
  </r>
  <r>
    <n v="17841"/>
    <x v="1"/>
    <s v="Male"/>
    <n v="30000"/>
    <x v="3"/>
    <x v="1"/>
    <s v="Clerical"/>
    <s v="No"/>
    <x v="1"/>
    <x v="0"/>
    <x v="0"/>
    <n v="29"/>
    <s v="Yes"/>
    <x v="4"/>
    <n v="1"/>
    <s v="$10k-30k"/>
    <n v="1"/>
    <x v="0"/>
    <n v="1"/>
    <n v="3"/>
    <n v="1"/>
  </r>
  <r>
    <n v="18283"/>
    <x v="1"/>
    <s v="Female"/>
    <n v="100000"/>
    <x v="3"/>
    <x v="0"/>
    <s v="Professional"/>
    <s v="No"/>
    <x v="1"/>
    <x v="2"/>
    <x v="1"/>
    <n v="40"/>
    <s v="No"/>
    <x v="2"/>
    <n v="2"/>
    <s v="$100k+"/>
    <n v="4"/>
    <x v="0"/>
    <n v="4"/>
    <n v="4"/>
    <n v="0"/>
  </r>
  <r>
    <n v="18299"/>
    <x v="0"/>
    <s v="Male"/>
    <n v="70000"/>
    <x v="2"/>
    <x v="1"/>
    <s v="Skilled Manual"/>
    <s v="Yes"/>
    <x v="2"/>
    <x v="2"/>
    <x v="1"/>
    <n v="44"/>
    <s v="No"/>
    <x v="0"/>
    <n v="3"/>
    <s v="$70k-90k"/>
    <n v="3"/>
    <x v="1"/>
    <n v="4"/>
    <n v="3"/>
    <n v="0"/>
  </r>
  <r>
    <n v="16466"/>
    <x v="1"/>
    <s v="Female"/>
    <n v="20000"/>
    <x v="3"/>
    <x v="3"/>
    <s v="Manual"/>
    <s v="No"/>
    <x v="2"/>
    <x v="0"/>
    <x v="0"/>
    <n v="32"/>
    <s v="Yes"/>
    <x v="2"/>
    <n v="2"/>
    <s v="$10k-30k"/>
    <n v="1"/>
    <x v="1"/>
    <n v="1"/>
    <n v="1"/>
    <n v="1"/>
  </r>
  <r>
    <n v="19273"/>
    <x v="0"/>
    <s v="Female"/>
    <n v="20000"/>
    <x v="4"/>
    <x v="1"/>
    <s v="Manual"/>
    <s v="Yes"/>
    <x v="0"/>
    <x v="0"/>
    <x v="0"/>
    <n v="63"/>
    <s v="No"/>
    <x v="3"/>
    <n v="5"/>
    <s v="$10k-30k"/>
    <n v="1"/>
    <x v="0"/>
    <n v="1"/>
    <n v="3"/>
    <n v="0"/>
  </r>
  <r>
    <n v="22400"/>
    <x v="0"/>
    <s v="Male"/>
    <n v="10000"/>
    <x v="3"/>
    <x v="1"/>
    <s v="Manual"/>
    <s v="No"/>
    <x v="1"/>
    <x v="0"/>
    <x v="1"/>
    <n v="26"/>
    <s v="Yes"/>
    <x v="4"/>
    <n v="1"/>
    <s v="$10k-30k"/>
    <n v="1"/>
    <x v="0"/>
    <n v="1"/>
    <n v="3"/>
    <n v="1"/>
  </r>
  <r>
    <n v="20942"/>
    <x v="1"/>
    <s v="Female"/>
    <n v="20000"/>
    <x v="3"/>
    <x v="2"/>
    <s v="Manual"/>
    <s v="No"/>
    <x v="1"/>
    <x v="2"/>
    <x v="0"/>
    <n v="31"/>
    <s v="No"/>
    <x v="2"/>
    <n v="2"/>
    <s v="$10k-30k"/>
    <n v="1"/>
    <x v="0"/>
    <n v="4"/>
    <n v="2"/>
    <n v="0"/>
  </r>
  <r>
    <n v="18484"/>
    <x v="1"/>
    <s v="Male"/>
    <n v="80000"/>
    <x v="4"/>
    <x v="2"/>
    <s v="Skilled Manual"/>
    <s v="No"/>
    <x v="2"/>
    <x v="3"/>
    <x v="1"/>
    <n v="50"/>
    <s v="Yes"/>
    <x v="0"/>
    <n v="3"/>
    <s v="$70k-90k"/>
    <n v="3"/>
    <x v="1"/>
    <n v="2"/>
    <n v="2"/>
    <n v="1"/>
  </r>
  <r>
    <n v="12291"/>
    <x v="1"/>
    <s v="Male"/>
    <n v="90000"/>
    <x v="2"/>
    <x v="1"/>
    <s v="Professional"/>
    <s v="No"/>
    <x v="2"/>
    <x v="1"/>
    <x v="0"/>
    <n v="62"/>
    <s v="Yes"/>
    <x v="3"/>
    <n v="5"/>
    <s v="$70k-90k"/>
    <n v="3"/>
    <x v="1"/>
    <n v="3"/>
    <n v="3"/>
    <n v="1"/>
  </r>
  <r>
    <n v="28380"/>
    <x v="1"/>
    <s v="Female"/>
    <n v="10000"/>
    <x v="2"/>
    <x v="3"/>
    <s v="Manual"/>
    <s v="No"/>
    <x v="2"/>
    <x v="0"/>
    <x v="0"/>
    <n v="41"/>
    <s v="No"/>
    <x v="0"/>
    <n v="3"/>
    <s v="$10k-30k"/>
    <n v="1"/>
    <x v="1"/>
    <n v="1"/>
    <n v="1"/>
    <n v="0"/>
  </r>
  <r>
    <n v="17891"/>
    <x v="0"/>
    <s v="Female"/>
    <n v="10000"/>
    <x v="4"/>
    <x v="1"/>
    <s v="Manual"/>
    <s v="Yes"/>
    <x v="1"/>
    <x v="0"/>
    <x v="0"/>
    <n v="50"/>
    <s v="Yes"/>
    <x v="0"/>
    <n v="3"/>
    <s v="$10k-30k"/>
    <n v="1"/>
    <x v="0"/>
    <n v="1"/>
    <n v="3"/>
    <n v="1"/>
  </r>
  <r>
    <n v="27832"/>
    <x v="1"/>
    <s v="Female"/>
    <n v="30000"/>
    <x v="3"/>
    <x v="1"/>
    <s v="Clerical"/>
    <s v="No"/>
    <x v="1"/>
    <x v="1"/>
    <x v="0"/>
    <n v="30"/>
    <s v="No"/>
    <x v="4"/>
    <n v="1"/>
    <s v="$10k-30k"/>
    <n v="1"/>
    <x v="0"/>
    <n v="3"/>
    <n v="3"/>
    <n v="0"/>
  </r>
  <r>
    <n v="26863"/>
    <x v="1"/>
    <s v="Male"/>
    <n v="20000"/>
    <x v="3"/>
    <x v="2"/>
    <s v="Manual"/>
    <s v="No"/>
    <x v="1"/>
    <x v="1"/>
    <x v="0"/>
    <n v="28"/>
    <s v="No"/>
    <x v="4"/>
    <n v="1"/>
    <s v="$10k-30k"/>
    <n v="1"/>
    <x v="0"/>
    <n v="3"/>
    <n v="2"/>
    <n v="0"/>
  </r>
  <r>
    <n v="16259"/>
    <x v="1"/>
    <s v="Female"/>
    <n v="10000"/>
    <x v="5"/>
    <x v="3"/>
    <s v="Manual"/>
    <s v="Yes"/>
    <x v="2"/>
    <x v="0"/>
    <x v="0"/>
    <n v="40"/>
    <s v="Yes"/>
    <x v="2"/>
    <n v="2"/>
    <s v="$10k-30k"/>
    <n v="1"/>
    <x v="1"/>
    <n v="1"/>
    <n v="1"/>
    <n v="1"/>
  </r>
  <r>
    <n v="27803"/>
    <x v="1"/>
    <s v="Female"/>
    <n v="30000"/>
    <x v="4"/>
    <x v="1"/>
    <s v="Clerical"/>
    <s v="No"/>
    <x v="0"/>
    <x v="0"/>
    <x v="0"/>
    <n v="43"/>
    <s v="No"/>
    <x v="0"/>
    <n v="3"/>
    <s v="$10k-30k"/>
    <n v="1"/>
    <x v="0"/>
    <n v="1"/>
    <n v="3"/>
    <n v="0"/>
  </r>
  <r>
    <n v="14347"/>
    <x v="1"/>
    <s v="Female"/>
    <n v="40000"/>
    <x v="4"/>
    <x v="0"/>
    <s v="Management"/>
    <s v="Yes"/>
    <x v="2"/>
    <x v="2"/>
    <x v="1"/>
    <n v="65"/>
    <s v="Yes"/>
    <x v="3"/>
    <n v="5"/>
    <s v="$40k-60k"/>
    <n v="2"/>
    <x v="1"/>
    <n v="4"/>
    <n v="4"/>
    <n v="1"/>
  </r>
  <r>
    <n v="17703"/>
    <x v="0"/>
    <s v="Female"/>
    <n v="10000"/>
    <x v="0"/>
    <x v="4"/>
    <s v="Manual"/>
    <s v="Yes"/>
    <x v="0"/>
    <x v="0"/>
    <x v="0"/>
    <n v="40"/>
    <s v="No"/>
    <x v="2"/>
    <n v="2"/>
    <s v="$10k-30k"/>
    <n v="1"/>
    <x v="0"/>
    <n v="1"/>
    <n v="5"/>
    <n v="0"/>
  </r>
  <r>
    <n v="17185"/>
    <x v="0"/>
    <s v="Female"/>
    <n v="170000"/>
    <x v="5"/>
    <x v="1"/>
    <s v="Professional"/>
    <s v="No"/>
    <x v="4"/>
    <x v="2"/>
    <x v="0"/>
    <n v="48"/>
    <s v="Yes"/>
    <x v="0"/>
    <n v="3"/>
    <s v="$100k+"/>
    <n v="4"/>
    <x v="1"/>
    <n v="4"/>
    <n v="3"/>
    <n v="1"/>
  </r>
  <r>
    <n v="29380"/>
    <x v="0"/>
    <s v="Female"/>
    <n v="20000"/>
    <x v="1"/>
    <x v="2"/>
    <s v="Manual"/>
    <s v="Yes"/>
    <x v="0"/>
    <x v="0"/>
    <x v="0"/>
    <n v="41"/>
    <s v="Yes"/>
    <x v="0"/>
    <n v="3"/>
    <s v="$10k-30k"/>
    <n v="1"/>
    <x v="0"/>
    <n v="1"/>
    <n v="2"/>
    <n v="1"/>
  </r>
  <r>
    <n v="23986"/>
    <x v="0"/>
    <s v="Female"/>
    <n v="20000"/>
    <x v="0"/>
    <x v="0"/>
    <s v="Clerical"/>
    <s v="Yes"/>
    <x v="0"/>
    <x v="0"/>
    <x v="0"/>
    <n v="66"/>
    <s v="Yes"/>
    <x v="3"/>
    <n v="5"/>
    <s v="$10k-30k"/>
    <n v="1"/>
    <x v="0"/>
    <n v="1"/>
    <n v="4"/>
    <n v="1"/>
  </r>
  <r>
    <n v="24466"/>
    <x v="0"/>
    <s v="Female"/>
    <n v="60000"/>
    <x v="0"/>
    <x v="1"/>
    <s v="Skilled Manual"/>
    <s v="Yes"/>
    <x v="1"/>
    <x v="2"/>
    <x v="1"/>
    <n v="46"/>
    <s v="Yes"/>
    <x v="0"/>
    <n v="3"/>
    <s v="$40k-60k"/>
    <n v="2"/>
    <x v="0"/>
    <n v="4"/>
    <n v="3"/>
    <n v="1"/>
  </r>
  <r>
    <n v="29097"/>
    <x v="1"/>
    <s v="Female"/>
    <n v="40000"/>
    <x v="4"/>
    <x v="1"/>
    <s v="Skilled Manual"/>
    <s v="Yes"/>
    <x v="2"/>
    <x v="2"/>
    <x v="1"/>
    <n v="52"/>
    <s v="Yes"/>
    <x v="1"/>
    <n v="4"/>
    <s v="$40k-60k"/>
    <n v="2"/>
    <x v="1"/>
    <n v="4"/>
    <n v="3"/>
    <n v="1"/>
  </r>
  <r>
    <n v="19487"/>
    <x v="0"/>
    <s v="Male"/>
    <n v="30000"/>
    <x v="4"/>
    <x v="1"/>
    <s v="Clerical"/>
    <s v="No"/>
    <x v="2"/>
    <x v="0"/>
    <x v="0"/>
    <n v="42"/>
    <s v="No"/>
    <x v="0"/>
    <n v="3"/>
    <s v="$10k-30k"/>
    <n v="1"/>
    <x v="1"/>
    <n v="1"/>
    <n v="3"/>
    <n v="0"/>
  </r>
  <r>
    <n v="14939"/>
    <x v="1"/>
    <s v="Male"/>
    <n v="40000"/>
    <x v="3"/>
    <x v="0"/>
    <s v="Clerical"/>
    <s v="Yes"/>
    <x v="0"/>
    <x v="0"/>
    <x v="0"/>
    <n v="39"/>
    <s v="Yes"/>
    <x v="2"/>
    <n v="2"/>
    <s v="$40k-60k"/>
    <n v="2"/>
    <x v="0"/>
    <n v="1"/>
    <n v="4"/>
    <n v="1"/>
  </r>
  <r>
    <n v="13826"/>
    <x v="1"/>
    <s v="Female"/>
    <n v="30000"/>
    <x v="3"/>
    <x v="1"/>
    <s v="Clerical"/>
    <s v="No"/>
    <x v="1"/>
    <x v="0"/>
    <x v="0"/>
    <n v="28"/>
    <s v="No"/>
    <x v="4"/>
    <n v="1"/>
    <s v="$10k-30k"/>
    <n v="1"/>
    <x v="0"/>
    <n v="1"/>
    <n v="3"/>
    <n v="0"/>
  </r>
  <r>
    <n v="20619"/>
    <x v="1"/>
    <s v="Male"/>
    <n v="80000"/>
    <x v="3"/>
    <x v="0"/>
    <s v="Professional"/>
    <s v="No"/>
    <x v="3"/>
    <x v="4"/>
    <x v="1"/>
    <n v="35"/>
    <s v="No"/>
    <x v="2"/>
    <n v="2"/>
    <s v="$70k-90k"/>
    <n v="3"/>
    <x v="1"/>
    <n v="5"/>
    <n v="4"/>
    <n v="0"/>
  </r>
  <r>
    <n v="12558"/>
    <x v="0"/>
    <s v="Female"/>
    <n v="20000"/>
    <x v="0"/>
    <x v="0"/>
    <s v="Clerical"/>
    <s v="Yes"/>
    <x v="0"/>
    <x v="0"/>
    <x v="0"/>
    <n v="65"/>
    <s v="No"/>
    <x v="3"/>
    <n v="5"/>
    <s v="$10k-30k"/>
    <n v="1"/>
    <x v="0"/>
    <n v="1"/>
    <n v="4"/>
    <n v="0"/>
  </r>
  <r>
    <n v="24871"/>
    <x v="1"/>
    <s v="Female"/>
    <n v="90000"/>
    <x v="5"/>
    <x v="2"/>
    <s v="Management"/>
    <s v="No"/>
    <x v="4"/>
    <x v="2"/>
    <x v="0"/>
    <n v="56"/>
    <s v="No"/>
    <x v="1"/>
    <n v="4"/>
    <s v="$70k-90k"/>
    <n v="3"/>
    <x v="1"/>
    <n v="4"/>
    <n v="2"/>
    <n v="0"/>
  </r>
  <r>
    <n v="17319"/>
    <x v="1"/>
    <s v="Female"/>
    <n v="70000"/>
    <x v="3"/>
    <x v="0"/>
    <s v="Professional"/>
    <s v="No"/>
    <x v="1"/>
    <x v="2"/>
    <x v="1"/>
    <n v="42"/>
    <s v="No"/>
    <x v="0"/>
    <n v="3"/>
    <s v="$70k-90k"/>
    <n v="3"/>
    <x v="0"/>
    <n v="4"/>
    <n v="4"/>
    <n v="0"/>
  </r>
  <r>
    <n v="28906"/>
    <x v="0"/>
    <s v="Male"/>
    <n v="80000"/>
    <x v="5"/>
    <x v="2"/>
    <s v="Professional"/>
    <s v="Yes"/>
    <x v="2"/>
    <x v="4"/>
    <x v="0"/>
    <n v="54"/>
    <s v="No"/>
    <x v="1"/>
    <n v="4"/>
    <s v="$70k-90k"/>
    <n v="3"/>
    <x v="1"/>
    <n v="5"/>
    <n v="2"/>
    <n v="0"/>
  </r>
  <r>
    <n v="12808"/>
    <x v="0"/>
    <s v="Male"/>
    <n v="40000"/>
    <x v="3"/>
    <x v="0"/>
    <s v="Clerical"/>
    <s v="Yes"/>
    <x v="0"/>
    <x v="0"/>
    <x v="0"/>
    <n v="38"/>
    <s v="Yes"/>
    <x v="2"/>
    <n v="2"/>
    <s v="$40k-60k"/>
    <n v="2"/>
    <x v="0"/>
    <n v="1"/>
    <n v="4"/>
    <n v="1"/>
  </r>
  <r>
    <n v="20567"/>
    <x v="0"/>
    <s v="Male"/>
    <n v="130000"/>
    <x v="5"/>
    <x v="1"/>
    <s v="Professional"/>
    <s v="No"/>
    <x v="3"/>
    <x v="2"/>
    <x v="0"/>
    <n v="61"/>
    <s v="Yes"/>
    <x v="3"/>
    <n v="5"/>
    <s v="$100k+"/>
    <n v="4"/>
    <x v="1"/>
    <n v="4"/>
    <n v="3"/>
    <n v="1"/>
  </r>
  <r>
    <n v="25502"/>
    <x v="0"/>
    <s v="Female"/>
    <n v="40000"/>
    <x v="0"/>
    <x v="0"/>
    <s v="Skilled Manual"/>
    <s v="Yes"/>
    <x v="0"/>
    <x v="0"/>
    <x v="0"/>
    <n v="43"/>
    <s v="Yes"/>
    <x v="0"/>
    <n v="3"/>
    <s v="$40k-60k"/>
    <n v="2"/>
    <x v="0"/>
    <n v="1"/>
    <n v="4"/>
    <n v="1"/>
  </r>
  <r>
    <n v="15580"/>
    <x v="0"/>
    <s v="Male"/>
    <n v="60000"/>
    <x v="4"/>
    <x v="0"/>
    <s v="Professional"/>
    <s v="Yes"/>
    <x v="1"/>
    <x v="1"/>
    <x v="1"/>
    <n v="38"/>
    <s v="Yes"/>
    <x v="2"/>
    <n v="2"/>
    <s v="$40k-60k"/>
    <n v="2"/>
    <x v="0"/>
    <n v="3"/>
    <n v="4"/>
    <n v="1"/>
  </r>
  <r>
    <n v="24185"/>
    <x v="1"/>
    <s v="Female"/>
    <n v="10000"/>
    <x v="0"/>
    <x v="2"/>
    <s v="Manual"/>
    <s v="No"/>
    <x v="1"/>
    <x v="3"/>
    <x v="0"/>
    <n v="45"/>
    <s v="No"/>
    <x v="0"/>
    <n v="3"/>
    <s v="$10k-30k"/>
    <n v="1"/>
    <x v="0"/>
    <n v="2"/>
    <n v="2"/>
    <n v="0"/>
  </r>
  <r>
    <n v="19291"/>
    <x v="1"/>
    <s v="Female"/>
    <n v="10000"/>
    <x v="4"/>
    <x v="2"/>
    <s v="Manual"/>
    <s v="Yes"/>
    <x v="0"/>
    <x v="0"/>
    <x v="0"/>
    <n v="35"/>
    <s v="No"/>
    <x v="2"/>
    <n v="2"/>
    <s v="$10k-30k"/>
    <n v="1"/>
    <x v="0"/>
    <n v="1"/>
    <n v="2"/>
    <n v="0"/>
  </r>
  <r>
    <n v="16713"/>
    <x v="0"/>
    <s v="Male"/>
    <n v="40000"/>
    <x v="4"/>
    <x v="0"/>
    <s v="Management"/>
    <s v="Yes"/>
    <x v="1"/>
    <x v="0"/>
    <x v="1"/>
    <n v="52"/>
    <s v="Yes"/>
    <x v="1"/>
    <n v="4"/>
    <s v="$40k-60k"/>
    <n v="2"/>
    <x v="0"/>
    <n v="1"/>
    <n v="4"/>
    <n v="1"/>
  </r>
  <r>
    <n v="16185"/>
    <x v="1"/>
    <s v="Male"/>
    <n v="60000"/>
    <x v="5"/>
    <x v="0"/>
    <s v="Professional"/>
    <s v="Yes"/>
    <x v="4"/>
    <x v="4"/>
    <x v="1"/>
    <n v="41"/>
    <s v="No"/>
    <x v="0"/>
    <n v="3"/>
    <s v="$40k-60k"/>
    <n v="2"/>
    <x v="1"/>
    <n v="5"/>
    <n v="4"/>
    <n v="0"/>
  </r>
  <r>
    <n v="14927"/>
    <x v="0"/>
    <s v="Female"/>
    <n v="30000"/>
    <x v="0"/>
    <x v="0"/>
    <s v="Clerical"/>
    <s v="Yes"/>
    <x v="0"/>
    <x v="0"/>
    <x v="0"/>
    <n v="37"/>
    <s v="Yes"/>
    <x v="2"/>
    <n v="2"/>
    <s v="$10k-30k"/>
    <n v="1"/>
    <x v="0"/>
    <n v="1"/>
    <n v="4"/>
    <n v="1"/>
  </r>
  <r>
    <n v="29337"/>
    <x v="1"/>
    <s v="Male"/>
    <n v="30000"/>
    <x v="4"/>
    <x v="1"/>
    <s v="Clerical"/>
    <s v="Yes"/>
    <x v="2"/>
    <x v="2"/>
    <x v="1"/>
    <n v="68"/>
    <s v="No"/>
    <x v="3"/>
    <n v="5"/>
    <s v="$10k-30k"/>
    <n v="1"/>
    <x v="1"/>
    <n v="4"/>
    <n v="3"/>
    <n v="0"/>
  </r>
  <r>
    <n v="29355"/>
    <x v="0"/>
    <s v="Female"/>
    <n v="40000"/>
    <x v="3"/>
    <x v="4"/>
    <s v="Clerical"/>
    <s v="Yes"/>
    <x v="0"/>
    <x v="0"/>
    <x v="0"/>
    <n v="37"/>
    <s v="Yes"/>
    <x v="2"/>
    <n v="2"/>
    <s v="$40k-60k"/>
    <n v="2"/>
    <x v="0"/>
    <n v="1"/>
    <n v="5"/>
    <n v="1"/>
  </r>
  <r>
    <n v="25303"/>
    <x v="1"/>
    <s v="Male"/>
    <n v="30000"/>
    <x v="3"/>
    <x v="2"/>
    <s v="Manual"/>
    <s v="Yes"/>
    <x v="1"/>
    <x v="1"/>
    <x v="0"/>
    <n v="33"/>
    <s v="Yes"/>
    <x v="2"/>
    <n v="2"/>
    <s v="$10k-30k"/>
    <n v="1"/>
    <x v="0"/>
    <n v="3"/>
    <n v="2"/>
    <n v="1"/>
  </r>
  <r>
    <n v="14813"/>
    <x v="1"/>
    <s v="Female"/>
    <n v="20000"/>
    <x v="5"/>
    <x v="2"/>
    <s v="Manual"/>
    <s v="Yes"/>
    <x v="1"/>
    <x v="0"/>
    <x v="0"/>
    <n v="43"/>
    <s v="Yes"/>
    <x v="0"/>
    <n v="3"/>
    <s v="$10k-30k"/>
    <n v="1"/>
    <x v="0"/>
    <n v="1"/>
    <n v="2"/>
    <n v="1"/>
  </r>
  <r>
    <n v="16438"/>
    <x v="0"/>
    <s v="Female"/>
    <n v="10000"/>
    <x v="3"/>
    <x v="3"/>
    <s v="Manual"/>
    <s v="No"/>
    <x v="2"/>
    <x v="0"/>
    <x v="0"/>
    <n v="30"/>
    <s v="No"/>
    <x v="4"/>
    <n v="1"/>
    <s v="$10k-30k"/>
    <n v="1"/>
    <x v="1"/>
    <n v="1"/>
    <n v="1"/>
    <n v="0"/>
  </r>
  <r>
    <n v="14238"/>
    <x v="0"/>
    <s v="Male"/>
    <n v="120000"/>
    <x v="3"/>
    <x v="3"/>
    <s v="Professional"/>
    <s v="Yes"/>
    <x v="3"/>
    <x v="4"/>
    <x v="1"/>
    <n v="36"/>
    <s v="Yes"/>
    <x v="2"/>
    <n v="2"/>
    <s v="$100k+"/>
    <n v="4"/>
    <x v="1"/>
    <n v="5"/>
    <n v="1"/>
    <n v="1"/>
  </r>
  <r>
    <n v="16200"/>
    <x v="1"/>
    <s v="Female"/>
    <n v="10000"/>
    <x v="3"/>
    <x v="3"/>
    <s v="Manual"/>
    <s v="No"/>
    <x v="2"/>
    <x v="0"/>
    <x v="0"/>
    <n v="35"/>
    <s v="No"/>
    <x v="2"/>
    <n v="2"/>
    <s v="$10k-30k"/>
    <n v="1"/>
    <x v="1"/>
    <n v="1"/>
    <n v="1"/>
    <n v="0"/>
  </r>
  <r>
    <n v="24857"/>
    <x v="0"/>
    <s v="Female"/>
    <n v="130000"/>
    <x v="1"/>
    <x v="2"/>
    <s v="Professional"/>
    <s v="Yes"/>
    <x v="3"/>
    <x v="0"/>
    <x v="0"/>
    <n v="52"/>
    <s v="No"/>
    <x v="1"/>
    <n v="4"/>
    <s v="$100k+"/>
    <n v="4"/>
    <x v="1"/>
    <n v="1"/>
    <n v="2"/>
    <n v="0"/>
  </r>
  <r>
    <n v="26956"/>
    <x v="1"/>
    <s v="Female"/>
    <n v="20000"/>
    <x v="3"/>
    <x v="1"/>
    <s v="Manual"/>
    <s v="No"/>
    <x v="1"/>
    <x v="1"/>
    <x v="0"/>
    <n v="36"/>
    <s v="Yes"/>
    <x v="2"/>
    <n v="2"/>
    <s v="$10k-30k"/>
    <n v="1"/>
    <x v="0"/>
    <n v="3"/>
    <n v="3"/>
    <n v="1"/>
  </r>
  <r>
    <n v="14517"/>
    <x v="0"/>
    <s v="Female"/>
    <n v="20000"/>
    <x v="1"/>
    <x v="2"/>
    <s v="Skilled Manual"/>
    <s v="No"/>
    <x v="2"/>
    <x v="3"/>
    <x v="1"/>
    <n v="62"/>
    <s v="No"/>
    <x v="3"/>
    <n v="5"/>
    <s v="$10k-30k"/>
    <n v="1"/>
    <x v="1"/>
    <n v="2"/>
    <n v="2"/>
    <n v="0"/>
  </r>
  <r>
    <n v="12678"/>
    <x v="1"/>
    <s v="Female"/>
    <n v="130000"/>
    <x v="5"/>
    <x v="2"/>
    <s v="Management"/>
    <s v="Yes"/>
    <x v="3"/>
    <x v="0"/>
    <x v="1"/>
    <n v="31"/>
    <s v="No"/>
    <x v="2"/>
    <n v="2"/>
    <s v="$100k+"/>
    <n v="4"/>
    <x v="1"/>
    <n v="1"/>
    <n v="2"/>
    <n v="0"/>
  </r>
  <r>
    <n v="16188"/>
    <x v="1"/>
    <s v="Female"/>
    <n v="20000"/>
    <x v="3"/>
    <x v="3"/>
    <s v="Manual"/>
    <s v="No"/>
    <x v="2"/>
    <x v="3"/>
    <x v="0"/>
    <n v="26"/>
    <s v="No"/>
    <x v="4"/>
    <n v="1"/>
    <s v="$10k-30k"/>
    <n v="1"/>
    <x v="1"/>
    <n v="2"/>
    <n v="1"/>
    <n v="0"/>
  </r>
  <r>
    <n v="27969"/>
    <x v="0"/>
    <s v="Male"/>
    <n v="80000"/>
    <x v="3"/>
    <x v="0"/>
    <s v="Professional"/>
    <s v="Yes"/>
    <x v="2"/>
    <x v="4"/>
    <x v="1"/>
    <n v="29"/>
    <s v="Yes"/>
    <x v="4"/>
    <n v="1"/>
    <s v="$70k-90k"/>
    <n v="3"/>
    <x v="1"/>
    <n v="5"/>
    <n v="4"/>
    <n v="1"/>
  </r>
  <r>
    <n v="15752"/>
    <x v="0"/>
    <s v="Male"/>
    <n v="80000"/>
    <x v="4"/>
    <x v="2"/>
    <s v="Skilled Manual"/>
    <s v="No"/>
    <x v="2"/>
    <x v="3"/>
    <x v="1"/>
    <n v="50"/>
    <s v="Yes"/>
    <x v="0"/>
    <n v="3"/>
    <s v="$70k-90k"/>
    <n v="3"/>
    <x v="1"/>
    <n v="2"/>
    <n v="2"/>
    <n v="1"/>
  </r>
  <r>
    <n v="27745"/>
    <x v="1"/>
    <s v="Male"/>
    <n v="40000"/>
    <x v="4"/>
    <x v="0"/>
    <s v="Management"/>
    <s v="Yes"/>
    <x v="2"/>
    <x v="2"/>
    <x v="1"/>
    <n v="63"/>
    <s v="Yes"/>
    <x v="3"/>
    <n v="5"/>
    <s v="$40k-60k"/>
    <n v="2"/>
    <x v="1"/>
    <n v="4"/>
    <n v="4"/>
    <n v="1"/>
  </r>
  <r>
    <n v="20828"/>
    <x v="0"/>
    <s v="Female"/>
    <n v="30000"/>
    <x v="5"/>
    <x v="4"/>
    <s v="Clerical"/>
    <s v="Yes"/>
    <x v="0"/>
    <x v="0"/>
    <x v="0"/>
    <n v="45"/>
    <s v="Yes"/>
    <x v="0"/>
    <n v="3"/>
    <s v="$10k-30k"/>
    <n v="1"/>
    <x v="0"/>
    <n v="1"/>
    <n v="5"/>
    <n v="1"/>
  </r>
  <r>
    <n v="19461"/>
    <x v="1"/>
    <s v="Female"/>
    <n v="10000"/>
    <x v="5"/>
    <x v="3"/>
    <s v="Manual"/>
    <s v="Yes"/>
    <x v="2"/>
    <x v="0"/>
    <x v="0"/>
    <n v="40"/>
    <s v="No"/>
    <x v="2"/>
    <n v="2"/>
    <s v="$10k-30k"/>
    <n v="1"/>
    <x v="1"/>
    <n v="1"/>
    <n v="1"/>
    <n v="0"/>
  </r>
  <r>
    <n v="26941"/>
    <x v="0"/>
    <s v="Male"/>
    <n v="30000"/>
    <x v="3"/>
    <x v="0"/>
    <s v="Clerical"/>
    <s v="Yes"/>
    <x v="0"/>
    <x v="0"/>
    <x v="0"/>
    <n v="47"/>
    <s v="Yes"/>
    <x v="0"/>
    <n v="3"/>
    <s v="$10k-30k"/>
    <n v="1"/>
    <x v="0"/>
    <n v="1"/>
    <n v="4"/>
    <n v="1"/>
  </r>
  <r>
    <n v="28412"/>
    <x v="1"/>
    <s v="Male"/>
    <n v="20000"/>
    <x v="3"/>
    <x v="2"/>
    <s v="Manual"/>
    <s v="No"/>
    <x v="1"/>
    <x v="1"/>
    <x v="0"/>
    <n v="29"/>
    <s v="No"/>
    <x v="4"/>
    <n v="1"/>
    <s v="$10k-30k"/>
    <n v="1"/>
    <x v="0"/>
    <n v="3"/>
    <n v="2"/>
    <n v="0"/>
  </r>
  <r>
    <n v="24485"/>
    <x v="1"/>
    <s v="Male"/>
    <n v="40000"/>
    <x v="4"/>
    <x v="0"/>
    <s v="Management"/>
    <s v="No"/>
    <x v="1"/>
    <x v="2"/>
    <x v="1"/>
    <n v="52"/>
    <s v="Yes"/>
    <x v="1"/>
    <n v="4"/>
    <s v="$40k-60k"/>
    <n v="2"/>
    <x v="0"/>
    <n v="4"/>
    <n v="4"/>
    <n v="1"/>
  </r>
  <r>
    <n v="16514"/>
    <x v="1"/>
    <s v="Male"/>
    <n v="10000"/>
    <x v="3"/>
    <x v="1"/>
    <s v="Manual"/>
    <s v="Yes"/>
    <x v="1"/>
    <x v="3"/>
    <x v="1"/>
    <n v="26"/>
    <s v="Yes"/>
    <x v="4"/>
    <n v="1"/>
    <s v="$10k-30k"/>
    <n v="1"/>
    <x v="0"/>
    <n v="2"/>
    <n v="3"/>
    <n v="1"/>
  </r>
  <r>
    <n v="17191"/>
    <x v="1"/>
    <s v="Male"/>
    <n v="130000"/>
    <x v="1"/>
    <x v="1"/>
    <s v="Professional"/>
    <s v="No"/>
    <x v="4"/>
    <x v="0"/>
    <x v="0"/>
    <n v="51"/>
    <s v="Yes"/>
    <x v="1"/>
    <n v="4"/>
    <s v="$100k+"/>
    <n v="4"/>
    <x v="1"/>
    <n v="1"/>
    <n v="3"/>
    <n v="1"/>
  </r>
  <r>
    <n v="19608"/>
    <x v="0"/>
    <s v="Male"/>
    <n v="80000"/>
    <x v="2"/>
    <x v="0"/>
    <s v="Professional"/>
    <s v="Yes"/>
    <x v="3"/>
    <x v="3"/>
    <x v="1"/>
    <n v="40"/>
    <s v="No"/>
    <x v="2"/>
    <n v="2"/>
    <s v="$70k-90k"/>
    <n v="3"/>
    <x v="1"/>
    <n v="2"/>
    <n v="4"/>
    <n v="0"/>
  </r>
  <r>
    <n v="24119"/>
    <x v="1"/>
    <s v="Male"/>
    <n v="30000"/>
    <x v="3"/>
    <x v="1"/>
    <s v="Clerical"/>
    <s v="No"/>
    <x v="1"/>
    <x v="1"/>
    <x v="0"/>
    <n v="29"/>
    <s v="No"/>
    <x v="4"/>
    <n v="1"/>
    <s v="$10k-30k"/>
    <n v="1"/>
    <x v="0"/>
    <n v="3"/>
    <n v="3"/>
    <n v="0"/>
  </r>
  <r>
    <n v="25458"/>
    <x v="0"/>
    <s v="Male"/>
    <n v="20000"/>
    <x v="0"/>
    <x v="2"/>
    <s v="Manual"/>
    <s v="No"/>
    <x v="1"/>
    <x v="3"/>
    <x v="0"/>
    <n v="40"/>
    <s v="Yes"/>
    <x v="2"/>
    <n v="2"/>
    <s v="$10k-30k"/>
    <n v="1"/>
    <x v="0"/>
    <n v="2"/>
    <n v="2"/>
    <n v="1"/>
  </r>
  <r>
    <n v="26886"/>
    <x v="1"/>
    <s v="Female"/>
    <n v="30000"/>
    <x v="3"/>
    <x v="1"/>
    <s v="Clerical"/>
    <s v="No"/>
    <x v="1"/>
    <x v="0"/>
    <x v="0"/>
    <n v="29"/>
    <s v="Yes"/>
    <x v="4"/>
    <n v="1"/>
    <s v="$10k-30k"/>
    <n v="1"/>
    <x v="0"/>
    <n v="1"/>
    <n v="3"/>
    <n v="1"/>
  </r>
  <r>
    <n v="28436"/>
    <x v="1"/>
    <s v="Male"/>
    <n v="30000"/>
    <x v="3"/>
    <x v="1"/>
    <s v="Clerical"/>
    <s v="No"/>
    <x v="1"/>
    <x v="0"/>
    <x v="0"/>
    <n v="30"/>
    <s v="Yes"/>
    <x v="4"/>
    <n v="1"/>
    <s v="$10k-30k"/>
    <n v="1"/>
    <x v="0"/>
    <n v="1"/>
    <n v="3"/>
    <n v="1"/>
  </r>
  <r>
    <n v="19562"/>
    <x v="1"/>
    <s v="Female"/>
    <n v="60000"/>
    <x v="4"/>
    <x v="0"/>
    <s v="Professional"/>
    <s v="Yes"/>
    <x v="1"/>
    <x v="1"/>
    <x v="1"/>
    <n v="37"/>
    <s v="Yes"/>
    <x v="2"/>
    <n v="2"/>
    <s v="$40k-60k"/>
    <n v="2"/>
    <x v="0"/>
    <n v="3"/>
    <n v="4"/>
    <n v="1"/>
  </r>
  <r>
    <n v="15608"/>
    <x v="1"/>
    <s v="Female"/>
    <n v="30000"/>
    <x v="3"/>
    <x v="1"/>
    <s v="Clerical"/>
    <s v="No"/>
    <x v="1"/>
    <x v="1"/>
    <x v="0"/>
    <n v="33"/>
    <s v="No"/>
    <x v="2"/>
    <n v="2"/>
    <s v="$10k-30k"/>
    <n v="1"/>
    <x v="0"/>
    <n v="3"/>
    <n v="3"/>
    <n v="0"/>
  </r>
  <r>
    <n v="16487"/>
    <x v="1"/>
    <s v="Female"/>
    <n v="30000"/>
    <x v="1"/>
    <x v="2"/>
    <s v="Skilled Manual"/>
    <s v="Yes"/>
    <x v="2"/>
    <x v="2"/>
    <x v="1"/>
    <n v="55"/>
    <s v="No"/>
    <x v="1"/>
    <n v="4"/>
    <s v="$10k-30k"/>
    <n v="1"/>
    <x v="1"/>
    <n v="4"/>
    <n v="2"/>
    <n v="0"/>
  </r>
  <r>
    <n v="17197"/>
    <x v="1"/>
    <s v="Female"/>
    <n v="90000"/>
    <x v="2"/>
    <x v="1"/>
    <s v="Professional"/>
    <s v="Yes"/>
    <x v="2"/>
    <x v="4"/>
    <x v="0"/>
    <n v="62"/>
    <s v="No"/>
    <x v="3"/>
    <n v="5"/>
    <s v="$70k-90k"/>
    <n v="3"/>
    <x v="1"/>
    <n v="5"/>
    <n v="3"/>
    <n v="0"/>
  </r>
  <r>
    <n v="12507"/>
    <x v="0"/>
    <s v="Male"/>
    <n v="30000"/>
    <x v="0"/>
    <x v="1"/>
    <s v="Clerical"/>
    <s v="Yes"/>
    <x v="1"/>
    <x v="0"/>
    <x v="0"/>
    <n v="43"/>
    <s v="No"/>
    <x v="0"/>
    <n v="3"/>
    <s v="$10k-30k"/>
    <n v="1"/>
    <x v="0"/>
    <n v="1"/>
    <n v="3"/>
    <n v="0"/>
  </r>
  <r>
    <n v="23940"/>
    <x v="0"/>
    <s v="Male"/>
    <n v="40000"/>
    <x v="0"/>
    <x v="0"/>
    <s v="Skilled Manual"/>
    <s v="Yes"/>
    <x v="1"/>
    <x v="0"/>
    <x v="0"/>
    <n v="44"/>
    <s v="Yes"/>
    <x v="0"/>
    <n v="3"/>
    <s v="$40k-60k"/>
    <n v="2"/>
    <x v="0"/>
    <n v="1"/>
    <n v="4"/>
    <n v="1"/>
  </r>
  <r>
    <n v="19441"/>
    <x v="0"/>
    <s v="Male"/>
    <n v="40000"/>
    <x v="3"/>
    <x v="4"/>
    <s v="Clerical"/>
    <s v="Yes"/>
    <x v="0"/>
    <x v="0"/>
    <x v="0"/>
    <n v="25"/>
    <s v="Yes"/>
    <x v="4"/>
    <n v="1"/>
    <s v="$40k-60k"/>
    <n v="2"/>
    <x v="0"/>
    <n v="1"/>
    <n v="5"/>
    <n v="1"/>
  </r>
  <r>
    <n v="26852"/>
    <x v="0"/>
    <s v="Female"/>
    <n v="20000"/>
    <x v="1"/>
    <x v="2"/>
    <s v="Manual"/>
    <s v="Yes"/>
    <x v="2"/>
    <x v="0"/>
    <x v="0"/>
    <n v="43"/>
    <s v="No"/>
    <x v="0"/>
    <n v="3"/>
    <s v="$10k-30k"/>
    <n v="1"/>
    <x v="1"/>
    <n v="1"/>
    <n v="2"/>
    <n v="0"/>
  </r>
  <r>
    <n v="12274"/>
    <x v="1"/>
    <s v="Male"/>
    <n v="10000"/>
    <x v="4"/>
    <x v="2"/>
    <s v="Manual"/>
    <s v="Yes"/>
    <x v="0"/>
    <x v="0"/>
    <x v="0"/>
    <n v="35"/>
    <s v="No"/>
    <x v="2"/>
    <n v="2"/>
    <s v="$10k-30k"/>
    <n v="1"/>
    <x v="0"/>
    <n v="1"/>
    <n v="2"/>
    <n v="0"/>
  </r>
  <r>
    <n v="20236"/>
    <x v="1"/>
    <s v="Male"/>
    <n v="60000"/>
    <x v="1"/>
    <x v="0"/>
    <s v="Professional"/>
    <s v="No"/>
    <x v="2"/>
    <x v="0"/>
    <x v="1"/>
    <n v="43"/>
    <s v="Yes"/>
    <x v="0"/>
    <n v="3"/>
    <s v="$40k-60k"/>
    <n v="2"/>
    <x v="1"/>
    <n v="1"/>
    <n v="4"/>
    <n v="1"/>
  </r>
  <r>
    <n v="24149"/>
    <x v="0"/>
    <s v="Male"/>
    <n v="10000"/>
    <x v="4"/>
    <x v="1"/>
    <s v="Manual"/>
    <s v="Yes"/>
    <x v="0"/>
    <x v="3"/>
    <x v="0"/>
    <n v="49"/>
    <s v="No"/>
    <x v="0"/>
    <n v="3"/>
    <s v="$10k-30k"/>
    <n v="1"/>
    <x v="0"/>
    <n v="2"/>
    <n v="3"/>
    <n v="0"/>
  </r>
  <r>
    <n v="26139"/>
    <x v="1"/>
    <s v="Male"/>
    <n v="60000"/>
    <x v="0"/>
    <x v="1"/>
    <s v="Skilled Manual"/>
    <s v="Yes"/>
    <x v="1"/>
    <x v="2"/>
    <x v="1"/>
    <n v="45"/>
    <s v="No"/>
    <x v="0"/>
    <n v="3"/>
    <s v="$40k-60k"/>
    <n v="2"/>
    <x v="0"/>
    <n v="4"/>
    <n v="3"/>
    <n v="0"/>
  </r>
  <r>
    <n v="18491"/>
    <x v="1"/>
    <s v="Female"/>
    <n v="70000"/>
    <x v="4"/>
    <x v="2"/>
    <s v="Professional"/>
    <s v="Yes"/>
    <x v="2"/>
    <x v="2"/>
    <x v="1"/>
    <n v="49"/>
    <s v="Yes"/>
    <x v="0"/>
    <n v="3"/>
    <s v="$70k-90k"/>
    <n v="3"/>
    <x v="1"/>
    <n v="4"/>
    <n v="2"/>
    <n v="1"/>
  </r>
  <r>
    <n v="22707"/>
    <x v="1"/>
    <s v="Female"/>
    <n v="30000"/>
    <x v="3"/>
    <x v="1"/>
    <s v="Clerical"/>
    <s v="No"/>
    <x v="1"/>
    <x v="1"/>
    <x v="0"/>
    <n v="30"/>
    <s v="No"/>
    <x v="4"/>
    <n v="1"/>
    <s v="$10k-30k"/>
    <n v="1"/>
    <x v="0"/>
    <n v="3"/>
    <n v="3"/>
    <n v="0"/>
  </r>
  <r>
    <n v="20430"/>
    <x v="0"/>
    <s v="Male"/>
    <n v="70000"/>
    <x v="4"/>
    <x v="1"/>
    <s v="Skilled Manual"/>
    <s v="Yes"/>
    <x v="2"/>
    <x v="2"/>
    <x v="1"/>
    <n v="52"/>
    <s v="Yes"/>
    <x v="1"/>
    <n v="4"/>
    <s v="$70k-90k"/>
    <n v="3"/>
    <x v="1"/>
    <n v="4"/>
    <n v="3"/>
    <n v="1"/>
  </r>
  <r>
    <n v="27494"/>
    <x v="1"/>
    <s v="Female"/>
    <n v="40000"/>
    <x v="4"/>
    <x v="1"/>
    <s v="Skilled Manual"/>
    <s v="No"/>
    <x v="2"/>
    <x v="3"/>
    <x v="1"/>
    <n v="53"/>
    <s v="Yes"/>
    <x v="1"/>
    <n v="4"/>
    <s v="$40k-60k"/>
    <n v="2"/>
    <x v="1"/>
    <n v="2"/>
    <n v="3"/>
    <n v="1"/>
  </r>
  <r>
    <n v="26829"/>
    <x v="0"/>
    <s v="Female"/>
    <n v="40000"/>
    <x v="3"/>
    <x v="0"/>
    <s v="Clerical"/>
    <s v="Yes"/>
    <x v="0"/>
    <x v="0"/>
    <x v="0"/>
    <n v="38"/>
    <s v="Yes"/>
    <x v="2"/>
    <n v="2"/>
    <s v="$40k-60k"/>
    <n v="2"/>
    <x v="0"/>
    <n v="1"/>
    <n v="4"/>
    <n v="1"/>
  </r>
  <r>
    <n v="28395"/>
    <x v="1"/>
    <s v="Male"/>
    <n v="40000"/>
    <x v="3"/>
    <x v="0"/>
    <s v="Professional"/>
    <s v="No"/>
    <x v="0"/>
    <x v="0"/>
    <x v="0"/>
    <n v="39"/>
    <s v="Yes"/>
    <x v="2"/>
    <n v="2"/>
    <s v="$40k-60k"/>
    <n v="2"/>
    <x v="0"/>
    <n v="1"/>
    <n v="4"/>
    <n v="1"/>
  </r>
  <r>
    <n v="21006"/>
    <x v="1"/>
    <s v="Female"/>
    <n v="30000"/>
    <x v="0"/>
    <x v="1"/>
    <s v="Manual"/>
    <s v="No"/>
    <x v="0"/>
    <x v="0"/>
    <x v="0"/>
    <n v="46"/>
    <s v="Yes"/>
    <x v="0"/>
    <n v="3"/>
    <s v="$10k-30k"/>
    <n v="1"/>
    <x v="0"/>
    <n v="1"/>
    <n v="3"/>
    <n v="1"/>
  </r>
  <r>
    <n v="14682"/>
    <x v="1"/>
    <s v="Female"/>
    <n v="70000"/>
    <x v="3"/>
    <x v="0"/>
    <s v="Professional"/>
    <s v="No"/>
    <x v="1"/>
    <x v="2"/>
    <x v="1"/>
    <n v="38"/>
    <s v="No"/>
    <x v="2"/>
    <n v="2"/>
    <s v="$70k-90k"/>
    <n v="3"/>
    <x v="0"/>
    <n v="4"/>
    <n v="4"/>
    <n v="0"/>
  </r>
  <r>
    <n v="17650"/>
    <x v="1"/>
    <s v="Female"/>
    <n v="40000"/>
    <x v="4"/>
    <x v="1"/>
    <s v="Clerical"/>
    <s v="Yes"/>
    <x v="2"/>
    <x v="3"/>
    <x v="0"/>
    <n v="35"/>
    <s v="No"/>
    <x v="2"/>
    <n v="2"/>
    <s v="$40k-60k"/>
    <n v="2"/>
    <x v="1"/>
    <n v="2"/>
    <n v="3"/>
    <n v="0"/>
  </r>
  <r>
    <n v="29191"/>
    <x v="1"/>
    <s v="Female"/>
    <n v="130000"/>
    <x v="0"/>
    <x v="4"/>
    <s v="Management"/>
    <s v="No"/>
    <x v="1"/>
    <x v="0"/>
    <x v="1"/>
    <n v="36"/>
    <s v="Yes"/>
    <x v="2"/>
    <n v="2"/>
    <s v="$100k+"/>
    <n v="4"/>
    <x v="0"/>
    <n v="1"/>
    <n v="5"/>
    <n v="1"/>
  </r>
  <r>
    <n v="15030"/>
    <x v="0"/>
    <s v="Male"/>
    <n v="20000"/>
    <x v="3"/>
    <x v="0"/>
    <s v="Clerical"/>
    <s v="Yes"/>
    <x v="0"/>
    <x v="0"/>
    <x v="1"/>
    <n v="26"/>
    <s v="Yes"/>
    <x v="4"/>
    <n v="1"/>
    <s v="$10k-30k"/>
    <n v="1"/>
    <x v="0"/>
    <n v="1"/>
    <n v="4"/>
    <n v="1"/>
  </r>
  <r>
    <n v="24140"/>
    <x v="1"/>
    <s v="Male"/>
    <n v="10000"/>
    <x v="3"/>
    <x v="4"/>
    <s v="Manual"/>
    <s v="No"/>
    <x v="0"/>
    <x v="0"/>
    <x v="0"/>
    <n v="30"/>
    <s v="Yes"/>
    <x v="4"/>
    <n v="1"/>
    <s v="$10k-30k"/>
    <n v="1"/>
    <x v="0"/>
    <n v="1"/>
    <n v="5"/>
    <n v="1"/>
  </r>
  <r>
    <n v="22496"/>
    <x v="0"/>
    <s v="Female"/>
    <n v="30000"/>
    <x v="0"/>
    <x v="0"/>
    <s v="Skilled Manual"/>
    <s v="Yes"/>
    <x v="2"/>
    <x v="0"/>
    <x v="0"/>
    <n v="42"/>
    <s v="No"/>
    <x v="0"/>
    <n v="3"/>
    <s v="$10k-30k"/>
    <n v="1"/>
    <x v="1"/>
    <n v="1"/>
    <n v="4"/>
    <n v="0"/>
  </r>
  <r>
    <n v="24065"/>
    <x v="1"/>
    <s v="Female"/>
    <n v="20000"/>
    <x v="3"/>
    <x v="2"/>
    <s v="Manual"/>
    <s v="Yes"/>
    <x v="0"/>
    <x v="0"/>
    <x v="0"/>
    <n v="40"/>
    <s v="Yes"/>
    <x v="2"/>
    <n v="2"/>
    <s v="$10k-30k"/>
    <n v="1"/>
    <x v="0"/>
    <n v="1"/>
    <n v="2"/>
    <n v="1"/>
  </r>
  <r>
    <n v="19914"/>
    <x v="0"/>
    <s v="Male"/>
    <n v="80000"/>
    <x v="2"/>
    <x v="0"/>
    <s v="Management"/>
    <s v="Yes"/>
    <x v="2"/>
    <x v="1"/>
    <x v="0"/>
    <n v="62"/>
    <s v="No"/>
    <x v="3"/>
    <n v="5"/>
    <s v="$70k-90k"/>
    <n v="3"/>
    <x v="1"/>
    <n v="3"/>
    <n v="4"/>
    <n v="0"/>
  </r>
  <r>
    <n v="12871"/>
    <x v="1"/>
    <s v="Female"/>
    <n v="30000"/>
    <x v="3"/>
    <x v="1"/>
    <s v="Clerical"/>
    <s v="No"/>
    <x v="1"/>
    <x v="1"/>
    <x v="0"/>
    <n v="29"/>
    <s v="No"/>
    <x v="4"/>
    <n v="1"/>
    <s v="$10k-30k"/>
    <n v="1"/>
    <x v="0"/>
    <n v="3"/>
    <n v="3"/>
    <n v="0"/>
  </r>
  <r>
    <n v="22988"/>
    <x v="0"/>
    <s v="Female"/>
    <n v="40000"/>
    <x v="4"/>
    <x v="0"/>
    <s v="Management"/>
    <s v="Yes"/>
    <x v="2"/>
    <x v="2"/>
    <x v="1"/>
    <n v="66"/>
    <s v="Yes"/>
    <x v="3"/>
    <n v="5"/>
    <s v="$40k-60k"/>
    <n v="2"/>
    <x v="1"/>
    <n v="4"/>
    <n v="4"/>
    <n v="1"/>
  </r>
  <r>
    <n v="15922"/>
    <x v="0"/>
    <s v="Male"/>
    <n v="150000"/>
    <x v="4"/>
    <x v="2"/>
    <s v="Professional"/>
    <s v="Yes"/>
    <x v="3"/>
    <x v="0"/>
    <x v="0"/>
    <n v="48"/>
    <s v="No"/>
    <x v="0"/>
    <n v="3"/>
    <s v="$100k+"/>
    <n v="4"/>
    <x v="1"/>
    <n v="1"/>
    <n v="2"/>
    <n v="0"/>
  </r>
  <r>
    <n v="12344"/>
    <x v="1"/>
    <s v="Female"/>
    <n v="80000"/>
    <x v="3"/>
    <x v="0"/>
    <s v="Professional"/>
    <s v="No"/>
    <x v="4"/>
    <x v="4"/>
    <x v="1"/>
    <n v="31"/>
    <s v="No"/>
    <x v="2"/>
    <n v="2"/>
    <s v="$70k-90k"/>
    <n v="3"/>
    <x v="1"/>
    <n v="5"/>
    <n v="4"/>
    <n v="0"/>
  </r>
  <r>
    <n v="23627"/>
    <x v="1"/>
    <s v="Female"/>
    <n v="100000"/>
    <x v="1"/>
    <x v="1"/>
    <s v="Management"/>
    <s v="No"/>
    <x v="3"/>
    <x v="2"/>
    <x v="0"/>
    <n v="56"/>
    <s v="No"/>
    <x v="1"/>
    <n v="4"/>
    <s v="$100k+"/>
    <n v="4"/>
    <x v="1"/>
    <n v="4"/>
    <n v="3"/>
    <n v="0"/>
  </r>
  <r>
    <n v="27775"/>
    <x v="1"/>
    <s v="Female"/>
    <n v="40000"/>
    <x v="3"/>
    <x v="0"/>
    <s v="Clerical"/>
    <s v="No"/>
    <x v="0"/>
    <x v="0"/>
    <x v="0"/>
    <n v="38"/>
    <s v="Yes"/>
    <x v="2"/>
    <n v="2"/>
    <s v="$40k-60k"/>
    <n v="2"/>
    <x v="0"/>
    <n v="1"/>
    <n v="4"/>
    <n v="1"/>
  </r>
  <r>
    <n v="29301"/>
    <x v="0"/>
    <s v="Male"/>
    <n v="80000"/>
    <x v="2"/>
    <x v="0"/>
    <s v="Professional"/>
    <s v="Yes"/>
    <x v="3"/>
    <x v="3"/>
    <x v="1"/>
    <n v="40"/>
    <s v="No"/>
    <x v="2"/>
    <n v="2"/>
    <s v="$70k-90k"/>
    <n v="3"/>
    <x v="1"/>
    <n v="2"/>
    <n v="4"/>
    <n v="0"/>
  </r>
  <r>
    <n v="12716"/>
    <x v="1"/>
    <s v="Male"/>
    <n v="30000"/>
    <x v="3"/>
    <x v="1"/>
    <s v="Clerical"/>
    <s v="Yes"/>
    <x v="1"/>
    <x v="1"/>
    <x v="0"/>
    <n v="32"/>
    <s v="No"/>
    <x v="2"/>
    <n v="2"/>
    <s v="$10k-30k"/>
    <n v="1"/>
    <x v="0"/>
    <n v="3"/>
    <n v="3"/>
    <n v="0"/>
  </r>
  <r>
    <n v="12472"/>
    <x v="0"/>
    <s v="Male"/>
    <n v="30000"/>
    <x v="0"/>
    <x v="0"/>
    <s v="Clerical"/>
    <s v="Yes"/>
    <x v="1"/>
    <x v="1"/>
    <x v="0"/>
    <n v="39"/>
    <s v="No"/>
    <x v="2"/>
    <n v="2"/>
    <s v="$10k-30k"/>
    <n v="1"/>
    <x v="0"/>
    <n v="3"/>
    <n v="4"/>
    <n v="0"/>
  </r>
  <r>
    <n v="20970"/>
    <x v="1"/>
    <s v="Male"/>
    <n v="10000"/>
    <x v="4"/>
    <x v="1"/>
    <s v="Manual"/>
    <s v="Yes"/>
    <x v="1"/>
    <x v="0"/>
    <x v="0"/>
    <n v="52"/>
    <s v="Yes"/>
    <x v="1"/>
    <n v="4"/>
    <s v="$10k-30k"/>
    <n v="1"/>
    <x v="0"/>
    <n v="1"/>
    <n v="3"/>
    <n v="1"/>
  </r>
  <r>
    <n v="26818"/>
    <x v="1"/>
    <s v="Male"/>
    <n v="10000"/>
    <x v="1"/>
    <x v="2"/>
    <s v="Manual"/>
    <s v="Yes"/>
    <x v="1"/>
    <x v="0"/>
    <x v="0"/>
    <n v="39"/>
    <s v="Yes"/>
    <x v="2"/>
    <n v="2"/>
    <s v="$10k-30k"/>
    <n v="1"/>
    <x v="0"/>
    <n v="1"/>
    <n v="2"/>
    <n v="1"/>
  </r>
  <r>
    <n v="12993"/>
    <x v="0"/>
    <s v="Male"/>
    <n v="60000"/>
    <x v="4"/>
    <x v="0"/>
    <s v="Professional"/>
    <s v="Yes"/>
    <x v="1"/>
    <x v="1"/>
    <x v="1"/>
    <n v="37"/>
    <s v="No"/>
    <x v="2"/>
    <n v="2"/>
    <s v="$40k-60k"/>
    <n v="2"/>
    <x v="0"/>
    <n v="3"/>
    <n v="4"/>
    <n v="0"/>
  </r>
  <r>
    <n v="14192"/>
    <x v="0"/>
    <s v="Male"/>
    <n v="90000"/>
    <x v="5"/>
    <x v="2"/>
    <s v="Management"/>
    <s v="Yes"/>
    <x v="4"/>
    <x v="2"/>
    <x v="0"/>
    <n v="56"/>
    <s v="Yes"/>
    <x v="1"/>
    <n v="4"/>
    <s v="$70k-90k"/>
    <n v="3"/>
    <x v="1"/>
    <n v="4"/>
    <n v="2"/>
    <n v="1"/>
  </r>
  <r>
    <n v="19477"/>
    <x v="0"/>
    <s v="Male"/>
    <n v="40000"/>
    <x v="3"/>
    <x v="0"/>
    <s v="Professional"/>
    <s v="Yes"/>
    <x v="0"/>
    <x v="0"/>
    <x v="0"/>
    <n v="40"/>
    <s v="Yes"/>
    <x v="2"/>
    <n v="2"/>
    <s v="$40k-60k"/>
    <n v="2"/>
    <x v="0"/>
    <n v="1"/>
    <n v="4"/>
    <n v="1"/>
  </r>
  <r>
    <n v="26796"/>
    <x v="1"/>
    <s v="Male"/>
    <n v="40000"/>
    <x v="4"/>
    <x v="0"/>
    <s v="Management"/>
    <s v="Yes"/>
    <x v="2"/>
    <x v="2"/>
    <x v="1"/>
    <n v="65"/>
    <s v="Yes"/>
    <x v="3"/>
    <n v="5"/>
    <s v="$40k-60k"/>
    <n v="2"/>
    <x v="1"/>
    <n v="4"/>
    <n v="4"/>
    <n v="1"/>
  </r>
  <r>
    <n v="21094"/>
    <x v="1"/>
    <s v="Female"/>
    <n v="30000"/>
    <x v="4"/>
    <x v="1"/>
    <s v="Clerical"/>
    <s v="Yes"/>
    <x v="2"/>
    <x v="0"/>
    <x v="0"/>
    <n v="42"/>
    <s v="No"/>
    <x v="0"/>
    <n v="3"/>
    <s v="$10k-30k"/>
    <n v="1"/>
    <x v="1"/>
    <n v="1"/>
    <n v="3"/>
    <n v="0"/>
  </r>
  <r>
    <n v="12234"/>
    <x v="0"/>
    <s v="Male"/>
    <n v="10000"/>
    <x v="4"/>
    <x v="1"/>
    <s v="Manual"/>
    <s v="Yes"/>
    <x v="1"/>
    <x v="1"/>
    <x v="0"/>
    <n v="52"/>
    <s v="No"/>
    <x v="1"/>
    <n v="4"/>
    <s v="$10k-30k"/>
    <n v="1"/>
    <x v="0"/>
    <n v="3"/>
    <n v="3"/>
    <n v="0"/>
  </r>
  <r>
    <n v="28683"/>
    <x v="1"/>
    <s v="Female"/>
    <n v="10000"/>
    <x v="0"/>
    <x v="2"/>
    <s v="Manual"/>
    <s v="No"/>
    <x v="1"/>
    <x v="2"/>
    <x v="0"/>
    <n v="35"/>
    <s v="Yes"/>
    <x v="2"/>
    <n v="2"/>
    <s v="$10k-30k"/>
    <n v="1"/>
    <x v="0"/>
    <n v="4"/>
    <n v="2"/>
    <n v="1"/>
  </r>
  <r>
    <n v="17994"/>
    <x v="1"/>
    <s v="Male"/>
    <n v="20000"/>
    <x v="4"/>
    <x v="2"/>
    <s v="Manual"/>
    <s v="Yes"/>
    <x v="2"/>
    <x v="0"/>
    <x v="0"/>
    <n v="42"/>
    <s v="No"/>
    <x v="0"/>
    <n v="3"/>
    <s v="$10k-30k"/>
    <n v="1"/>
    <x v="1"/>
    <n v="1"/>
    <n v="2"/>
    <n v="0"/>
  </r>
  <r>
    <n v="24273"/>
    <x v="0"/>
    <s v="Female"/>
    <n v="20000"/>
    <x v="4"/>
    <x v="3"/>
    <s v="Clerical"/>
    <s v="Yes"/>
    <x v="2"/>
    <x v="2"/>
    <x v="1"/>
    <n v="55"/>
    <s v="Yes"/>
    <x v="1"/>
    <n v="4"/>
    <s v="$10k-30k"/>
    <n v="1"/>
    <x v="1"/>
    <n v="4"/>
    <n v="1"/>
    <n v="1"/>
  </r>
  <r>
    <n v="26547"/>
    <x v="1"/>
    <s v="Female"/>
    <n v="30000"/>
    <x v="4"/>
    <x v="1"/>
    <s v="Clerical"/>
    <s v="No"/>
    <x v="2"/>
    <x v="2"/>
    <x v="1"/>
    <n v="60"/>
    <s v="Yes"/>
    <x v="1"/>
    <n v="4"/>
    <s v="$10k-30k"/>
    <n v="1"/>
    <x v="1"/>
    <n v="4"/>
    <n v="3"/>
    <n v="1"/>
  </r>
  <r>
    <n v="22500"/>
    <x v="1"/>
    <s v="Male"/>
    <n v="40000"/>
    <x v="3"/>
    <x v="0"/>
    <s v="Professional"/>
    <s v="No"/>
    <x v="0"/>
    <x v="0"/>
    <x v="0"/>
    <n v="40"/>
    <s v="Yes"/>
    <x v="2"/>
    <n v="2"/>
    <s v="$40k-60k"/>
    <n v="2"/>
    <x v="0"/>
    <n v="1"/>
    <n v="4"/>
    <n v="1"/>
  </r>
  <r>
    <n v="23993"/>
    <x v="1"/>
    <s v="Female"/>
    <n v="10000"/>
    <x v="3"/>
    <x v="1"/>
    <s v="Manual"/>
    <s v="No"/>
    <x v="1"/>
    <x v="0"/>
    <x v="1"/>
    <n v="26"/>
    <s v="Yes"/>
    <x v="4"/>
    <n v="1"/>
    <s v="$10k-30k"/>
    <n v="1"/>
    <x v="0"/>
    <n v="1"/>
    <n v="3"/>
    <n v="1"/>
  </r>
  <r>
    <n v="14832"/>
    <x v="0"/>
    <s v="Male"/>
    <n v="40000"/>
    <x v="0"/>
    <x v="0"/>
    <s v="Skilled Manual"/>
    <s v="Yes"/>
    <x v="0"/>
    <x v="0"/>
    <x v="0"/>
    <n v="42"/>
    <s v="Yes"/>
    <x v="0"/>
    <n v="3"/>
    <s v="$40k-60k"/>
    <n v="2"/>
    <x v="0"/>
    <n v="1"/>
    <n v="4"/>
    <n v="1"/>
  </r>
  <r>
    <n v="16614"/>
    <x v="0"/>
    <s v="Female"/>
    <n v="80000"/>
    <x v="3"/>
    <x v="0"/>
    <s v="Professional"/>
    <s v="Yes"/>
    <x v="4"/>
    <x v="4"/>
    <x v="1"/>
    <n v="32"/>
    <s v="No"/>
    <x v="2"/>
    <n v="2"/>
    <s v="$70k-90k"/>
    <n v="3"/>
    <x v="1"/>
    <n v="5"/>
    <n v="4"/>
    <n v="0"/>
  </r>
  <r>
    <n v="20877"/>
    <x v="1"/>
    <s v="Male"/>
    <n v="30000"/>
    <x v="0"/>
    <x v="0"/>
    <s v="Clerical"/>
    <s v="Yes"/>
    <x v="0"/>
    <x v="3"/>
    <x v="0"/>
    <n v="37"/>
    <s v="Yes"/>
    <x v="2"/>
    <n v="2"/>
    <s v="$10k-30k"/>
    <n v="1"/>
    <x v="0"/>
    <n v="2"/>
    <n v="4"/>
    <n v="1"/>
  </r>
  <r>
    <n v="20729"/>
    <x v="0"/>
    <s v="Female"/>
    <n v="40000"/>
    <x v="4"/>
    <x v="1"/>
    <s v="Clerical"/>
    <s v="No"/>
    <x v="1"/>
    <x v="0"/>
    <x v="0"/>
    <n v="34"/>
    <s v="No"/>
    <x v="2"/>
    <n v="2"/>
    <s v="$40k-60k"/>
    <n v="2"/>
    <x v="0"/>
    <n v="1"/>
    <n v="3"/>
    <n v="0"/>
  </r>
  <r>
    <n v="22464"/>
    <x v="0"/>
    <s v="Male"/>
    <n v="40000"/>
    <x v="3"/>
    <x v="4"/>
    <s v="Clerical"/>
    <s v="Yes"/>
    <x v="0"/>
    <x v="0"/>
    <x v="0"/>
    <n v="37"/>
    <s v="Yes"/>
    <x v="2"/>
    <n v="2"/>
    <s v="$40k-60k"/>
    <n v="2"/>
    <x v="0"/>
    <n v="1"/>
    <n v="5"/>
    <n v="1"/>
  </r>
  <r>
    <n v="19475"/>
    <x v="0"/>
    <s v="Female"/>
    <n v="40000"/>
    <x v="3"/>
    <x v="0"/>
    <s v="Professional"/>
    <s v="No"/>
    <x v="0"/>
    <x v="0"/>
    <x v="0"/>
    <n v="40"/>
    <s v="Yes"/>
    <x v="2"/>
    <n v="2"/>
    <s v="$40k-60k"/>
    <n v="2"/>
    <x v="0"/>
    <n v="1"/>
    <n v="4"/>
    <n v="1"/>
  </r>
  <r>
    <n v="19675"/>
    <x v="0"/>
    <s v="Male"/>
    <n v="20000"/>
    <x v="5"/>
    <x v="2"/>
    <s v="Skilled Manual"/>
    <s v="Yes"/>
    <x v="2"/>
    <x v="2"/>
    <x v="1"/>
    <n v="60"/>
    <s v="No"/>
    <x v="1"/>
    <n v="4"/>
    <s v="$10k-30k"/>
    <n v="1"/>
    <x v="1"/>
    <n v="4"/>
    <n v="2"/>
    <n v="0"/>
  </r>
  <r>
    <n v="12728"/>
    <x v="1"/>
    <s v="Male"/>
    <n v="30000"/>
    <x v="3"/>
    <x v="1"/>
    <s v="Clerical"/>
    <s v="No"/>
    <x v="1"/>
    <x v="3"/>
    <x v="0"/>
    <n v="27"/>
    <s v="No"/>
    <x v="4"/>
    <n v="1"/>
    <s v="$10k-30k"/>
    <n v="1"/>
    <x v="0"/>
    <n v="2"/>
    <n v="3"/>
    <n v="0"/>
  </r>
  <r>
    <n v="26154"/>
    <x v="0"/>
    <s v="Male"/>
    <n v="60000"/>
    <x v="0"/>
    <x v="1"/>
    <s v="Skilled Manual"/>
    <s v="Yes"/>
    <x v="1"/>
    <x v="2"/>
    <x v="1"/>
    <n v="43"/>
    <s v="Yes"/>
    <x v="0"/>
    <n v="3"/>
    <s v="$40k-60k"/>
    <n v="2"/>
    <x v="0"/>
    <n v="4"/>
    <n v="3"/>
    <n v="1"/>
  </r>
  <r>
    <n v="29117"/>
    <x v="1"/>
    <s v="Male"/>
    <n v="100000"/>
    <x v="0"/>
    <x v="0"/>
    <s v="Management"/>
    <s v="No"/>
    <x v="4"/>
    <x v="0"/>
    <x v="1"/>
    <n v="48"/>
    <s v="No"/>
    <x v="0"/>
    <n v="3"/>
    <s v="$100k+"/>
    <n v="4"/>
    <x v="1"/>
    <n v="1"/>
    <n v="4"/>
    <n v="0"/>
  </r>
  <r>
    <n v="17845"/>
    <x v="1"/>
    <s v="Female"/>
    <n v="20000"/>
    <x v="3"/>
    <x v="3"/>
    <s v="Manual"/>
    <s v="No"/>
    <x v="2"/>
    <x v="3"/>
    <x v="0"/>
    <n v="32"/>
    <s v="No"/>
    <x v="2"/>
    <n v="2"/>
    <s v="$10k-30k"/>
    <n v="1"/>
    <x v="1"/>
    <n v="2"/>
    <n v="1"/>
    <n v="0"/>
  </r>
  <r>
    <n v="25058"/>
    <x v="0"/>
    <s v="Male"/>
    <n v="100000"/>
    <x v="0"/>
    <x v="0"/>
    <s v="Management"/>
    <s v="Yes"/>
    <x v="4"/>
    <x v="1"/>
    <x v="1"/>
    <n v="47"/>
    <s v="No"/>
    <x v="0"/>
    <n v="3"/>
    <s v="$100k+"/>
    <n v="4"/>
    <x v="1"/>
    <n v="3"/>
    <n v="4"/>
    <n v="0"/>
  </r>
  <r>
    <n v="23426"/>
    <x v="1"/>
    <s v="Male"/>
    <n v="80000"/>
    <x v="2"/>
    <x v="4"/>
    <s v="Management"/>
    <s v="Yes"/>
    <x v="4"/>
    <x v="0"/>
    <x v="1"/>
    <n v="40"/>
    <s v="No"/>
    <x v="2"/>
    <n v="2"/>
    <s v="$70k-90k"/>
    <n v="3"/>
    <x v="1"/>
    <n v="1"/>
    <n v="5"/>
    <n v="0"/>
  </r>
  <r>
    <n v="14798"/>
    <x v="1"/>
    <s v="Female"/>
    <n v="10000"/>
    <x v="5"/>
    <x v="3"/>
    <s v="Manual"/>
    <s v="Yes"/>
    <x v="2"/>
    <x v="0"/>
    <x v="0"/>
    <n v="41"/>
    <s v="Yes"/>
    <x v="0"/>
    <n v="3"/>
    <s v="$10k-30k"/>
    <n v="1"/>
    <x v="1"/>
    <n v="1"/>
    <n v="1"/>
    <n v="1"/>
  </r>
  <r>
    <n v="12664"/>
    <x v="0"/>
    <s v="Female"/>
    <n v="130000"/>
    <x v="2"/>
    <x v="1"/>
    <s v="Professional"/>
    <s v="Yes"/>
    <x v="3"/>
    <x v="0"/>
    <x v="0"/>
    <n v="59"/>
    <s v="No"/>
    <x v="1"/>
    <n v="4"/>
    <s v="$100k+"/>
    <n v="4"/>
    <x v="1"/>
    <n v="1"/>
    <n v="3"/>
    <n v="0"/>
  </r>
  <r>
    <n v="23979"/>
    <x v="1"/>
    <s v="Male"/>
    <n v="10000"/>
    <x v="4"/>
    <x v="1"/>
    <s v="Manual"/>
    <s v="No"/>
    <x v="0"/>
    <x v="0"/>
    <x v="0"/>
    <n v="50"/>
    <s v="No"/>
    <x v="0"/>
    <n v="3"/>
    <s v="$10k-30k"/>
    <n v="1"/>
    <x v="0"/>
    <n v="1"/>
    <n v="3"/>
    <n v="0"/>
  </r>
  <r>
    <n v="25605"/>
    <x v="1"/>
    <s v="Female"/>
    <n v="20000"/>
    <x v="4"/>
    <x v="1"/>
    <s v="Manual"/>
    <s v="No"/>
    <x v="1"/>
    <x v="0"/>
    <x v="0"/>
    <n v="54"/>
    <s v="Yes"/>
    <x v="1"/>
    <n v="4"/>
    <s v="$10k-30k"/>
    <n v="1"/>
    <x v="0"/>
    <n v="1"/>
    <n v="3"/>
    <n v="1"/>
  </r>
  <r>
    <n v="20797"/>
    <x v="0"/>
    <s v="Female"/>
    <n v="10000"/>
    <x v="0"/>
    <x v="0"/>
    <s v="Manual"/>
    <s v="Yes"/>
    <x v="0"/>
    <x v="0"/>
    <x v="0"/>
    <n v="48"/>
    <s v="No"/>
    <x v="0"/>
    <n v="3"/>
    <s v="$10k-30k"/>
    <n v="1"/>
    <x v="0"/>
    <n v="1"/>
    <n v="4"/>
    <n v="0"/>
  </r>
  <r>
    <n v="21980"/>
    <x v="1"/>
    <s v="Female"/>
    <n v="60000"/>
    <x v="0"/>
    <x v="0"/>
    <s v="Professional"/>
    <s v="Yes"/>
    <x v="1"/>
    <x v="2"/>
    <x v="1"/>
    <n v="44"/>
    <s v="Yes"/>
    <x v="0"/>
    <n v="3"/>
    <s v="$40k-60k"/>
    <n v="2"/>
    <x v="0"/>
    <n v="4"/>
    <n v="4"/>
    <n v="1"/>
  </r>
  <r>
    <n v="25460"/>
    <x v="0"/>
    <s v="Female"/>
    <n v="20000"/>
    <x v="4"/>
    <x v="2"/>
    <s v="Manual"/>
    <s v="Yes"/>
    <x v="0"/>
    <x v="0"/>
    <x v="0"/>
    <n v="40"/>
    <s v="Yes"/>
    <x v="2"/>
    <n v="2"/>
    <s v="$10k-30k"/>
    <n v="1"/>
    <x v="0"/>
    <n v="1"/>
    <n v="2"/>
    <n v="1"/>
  </r>
  <r>
    <n v="29181"/>
    <x v="1"/>
    <s v="Female"/>
    <n v="60000"/>
    <x v="4"/>
    <x v="0"/>
    <s v="Professional"/>
    <s v="No"/>
    <x v="1"/>
    <x v="0"/>
    <x v="1"/>
    <n v="38"/>
    <s v="Yes"/>
    <x v="2"/>
    <n v="2"/>
    <s v="$40k-60k"/>
    <n v="2"/>
    <x v="0"/>
    <n v="1"/>
    <n v="4"/>
    <n v="1"/>
  </r>
  <r>
    <n v="24279"/>
    <x v="1"/>
    <s v="Male"/>
    <n v="40000"/>
    <x v="4"/>
    <x v="1"/>
    <s v="Skilled Manual"/>
    <s v="No"/>
    <x v="2"/>
    <x v="3"/>
    <x v="1"/>
    <n v="52"/>
    <s v="No"/>
    <x v="1"/>
    <n v="4"/>
    <s v="$40k-60k"/>
    <n v="2"/>
    <x v="1"/>
    <n v="2"/>
    <n v="3"/>
    <n v="0"/>
  </r>
  <r>
    <n v="22402"/>
    <x v="0"/>
    <s v="Male"/>
    <n v="10000"/>
    <x v="3"/>
    <x v="1"/>
    <s v="Manual"/>
    <s v="Yes"/>
    <x v="1"/>
    <x v="1"/>
    <x v="1"/>
    <n v="25"/>
    <s v="Yes"/>
    <x v="4"/>
    <n v="1"/>
    <s v="$10k-30k"/>
    <n v="1"/>
    <x v="0"/>
    <n v="3"/>
    <n v="3"/>
    <n v="1"/>
  </r>
  <r>
    <n v="15465"/>
    <x v="0"/>
    <s v="Female"/>
    <n v="10000"/>
    <x v="3"/>
    <x v="1"/>
    <s v="Manual"/>
    <s v="No"/>
    <x v="1"/>
    <x v="0"/>
    <x v="1"/>
    <n v="25"/>
    <s v="No"/>
    <x v="4"/>
    <n v="1"/>
    <s v="$10k-30k"/>
    <n v="1"/>
    <x v="0"/>
    <n v="1"/>
    <n v="3"/>
    <n v="0"/>
  </r>
  <r>
    <n v="26757"/>
    <x v="1"/>
    <s v="Male"/>
    <n v="90000"/>
    <x v="0"/>
    <x v="0"/>
    <s v="Professional"/>
    <s v="Yes"/>
    <x v="1"/>
    <x v="1"/>
    <x v="1"/>
    <n v="47"/>
    <s v="Yes"/>
    <x v="0"/>
    <n v="3"/>
    <s v="$70k-90k"/>
    <n v="3"/>
    <x v="0"/>
    <n v="3"/>
    <n v="4"/>
    <n v="1"/>
  </r>
  <r>
    <n v="14233"/>
    <x v="1"/>
    <s v="Male"/>
    <n v="100000"/>
    <x v="3"/>
    <x v="2"/>
    <s v="Management"/>
    <s v="Yes"/>
    <x v="4"/>
    <x v="4"/>
    <x v="1"/>
    <n v="35"/>
    <s v="No"/>
    <x v="2"/>
    <n v="2"/>
    <s v="$100k+"/>
    <n v="4"/>
    <x v="1"/>
    <n v="5"/>
    <n v="2"/>
    <n v="0"/>
  </r>
  <r>
    <n v="14058"/>
    <x v="1"/>
    <s v="Male"/>
    <n v="70000"/>
    <x v="3"/>
    <x v="0"/>
    <s v="Professional"/>
    <s v="No"/>
    <x v="1"/>
    <x v="2"/>
    <x v="1"/>
    <n v="41"/>
    <s v="Yes"/>
    <x v="0"/>
    <n v="3"/>
    <s v="$70k-90k"/>
    <n v="3"/>
    <x v="0"/>
    <n v="4"/>
    <n v="4"/>
    <n v="1"/>
  </r>
  <r>
    <n v="12273"/>
    <x v="0"/>
    <s v="Male"/>
    <n v="30000"/>
    <x v="0"/>
    <x v="0"/>
    <s v="Clerical"/>
    <s v="Yes"/>
    <x v="0"/>
    <x v="0"/>
    <x v="0"/>
    <n v="47"/>
    <s v="No"/>
    <x v="0"/>
    <n v="3"/>
    <s v="$10k-30k"/>
    <n v="1"/>
    <x v="0"/>
    <n v="1"/>
    <n v="4"/>
    <n v="0"/>
  </r>
  <r>
    <n v="17203"/>
    <x v="0"/>
    <s v="Female"/>
    <n v="130000"/>
    <x v="5"/>
    <x v="1"/>
    <s v="Professional"/>
    <s v="Yes"/>
    <x v="3"/>
    <x v="2"/>
    <x v="0"/>
    <n v="61"/>
    <s v="Yes"/>
    <x v="3"/>
    <n v="5"/>
    <s v="$100k+"/>
    <n v="4"/>
    <x v="1"/>
    <n v="4"/>
    <n v="3"/>
    <n v="1"/>
  </r>
  <r>
    <n v="18144"/>
    <x v="0"/>
    <s v="Female"/>
    <n v="80000"/>
    <x v="2"/>
    <x v="0"/>
    <s v="Management"/>
    <s v="Yes"/>
    <x v="2"/>
    <x v="1"/>
    <x v="0"/>
    <n v="61"/>
    <s v="No"/>
    <x v="3"/>
    <n v="5"/>
    <s v="$70k-90k"/>
    <n v="3"/>
    <x v="1"/>
    <n v="3"/>
    <n v="4"/>
    <n v="0"/>
  </r>
  <r>
    <n v="23963"/>
    <x v="0"/>
    <s v="Male"/>
    <n v="10000"/>
    <x v="3"/>
    <x v="3"/>
    <s v="Manual"/>
    <s v="No"/>
    <x v="2"/>
    <x v="0"/>
    <x v="0"/>
    <n v="33"/>
    <s v="No"/>
    <x v="2"/>
    <n v="2"/>
    <s v="$10k-30k"/>
    <n v="1"/>
    <x v="1"/>
    <n v="1"/>
    <n v="1"/>
    <n v="0"/>
  </r>
  <r>
    <n v="17907"/>
    <x v="0"/>
    <s v="Female"/>
    <n v="10000"/>
    <x v="3"/>
    <x v="1"/>
    <s v="Manual"/>
    <s v="Yes"/>
    <x v="1"/>
    <x v="1"/>
    <x v="1"/>
    <n v="27"/>
    <s v="No"/>
    <x v="4"/>
    <n v="1"/>
    <s v="$10k-30k"/>
    <n v="1"/>
    <x v="0"/>
    <n v="3"/>
    <n v="3"/>
    <n v="0"/>
  </r>
  <r>
    <n v="19442"/>
    <x v="1"/>
    <s v="Male"/>
    <n v="50000"/>
    <x v="3"/>
    <x v="4"/>
    <s v="Skilled Manual"/>
    <s v="Yes"/>
    <x v="0"/>
    <x v="0"/>
    <x v="0"/>
    <n v="37"/>
    <s v="Yes"/>
    <x v="2"/>
    <n v="2"/>
    <s v="$40k-60k"/>
    <n v="2"/>
    <x v="0"/>
    <n v="1"/>
    <n v="5"/>
    <n v="1"/>
  </r>
  <r>
    <n v="17504"/>
    <x v="1"/>
    <s v="Female"/>
    <n v="80000"/>
    <x v="4"/>
    <x v="1"/>
    <s v="Skilled Manual"/>
    <s v="Yes"/>
    <x v="2"/>
    <x v="2"/>
    <x v="1"/>
    <n v="52"/>
    <s v="Yes"/>
    <x v="1"/>
    <n v="4"/>
    <s v="$70k-90k"/>
    <n v="3"/>
    <x v="1"/>
    <n v="4"/>
    <n v="3"/>
    <n v="1"/>
  </r>
  <r>
    <n v="12253"/>
    <x v="1"/>
    <s v="Female"/>
    <n v="20000"/>
    <x v="3"/>
    <x v="1"/>
    <s v="Manual"/>
    <s v="Yes"/>
    <x v="0"/>
    <x v="0"/>
    <x v="1"/>
    <n v="29"/>
    <s v="Yes"/>
    <x v="4"/>
    <n v="1"/>
    <s v="$10k-30k"/>
    <n v="1"/>
    <x v="0"/>
    <n v="1"/>
    <n v="3"/>
    <n v="1"/>
  </r>
  <r>
    <n v="27304"/>
    <x v="1"/>
    <s v="Female"/>
    <n v="110000"/>
    <x v="4"/>
    <x v="1"/>
    <s v="Professional"/>
    <s v="No"/>
    <x v="4"/>
    <x v="2"/>
    <x v="0"/>
    <n v="48"/>
    <s v="No"/>
    <x v="0"/>
    <n v="3"/>
    <s v="$100k+"/>
    <n v="4"/>
    <x v="1"/>
    <n v="4"/>
    <n v="3"/>
    <n v="0"/>
  </r>
  <r>
    <n v="14191"/>
    <x v="0"/>
    <s v="Male"/>
    <n v="160000"/>
    <x v="5"/>
    <x v="1"/>
    <s v="Professional"/>
    <s v="No"/>
    <x v="2"/>
    <x v="4"/>
    <x v="0"/>
    <n v="55"/>
    <s v="Yes"/>
    <x v="1"/>
    <n v="4"/>
    <s v="$100k+"/>
    <n v="4"/>
    <x v="1"/>
    <n v="5"/>
    <n v="3"/>
    <n v="1"/>
  </r>
  <r>
    <n v="12212"/>
    <x v="0"/>
    <s v="Female"/>
    <n v="10000"/>
    <x v="3"/>
    <x v="4"/>
    <s v="Manual"/>
    <s v="Yes"/>
    <x v="0"/>
    <x v="0"/>
    <x v="0"/>
    <n v="37"/>
    <s v="Yes"/>
    <x v="2"/>
    <n v="2"/>
    <s v="$10k-30k"/>
    <n v="1"/>
    <x v="0"/>
    <n v="1"/>
    <n v="5"/>
    <n v="1"/>
  </r>
  <r>
    <n v="25529"/>
    <x v="1"/>
    <s v="Male"/>
    <n v="10000"/>
    <x v="0"/>
    <x v="4"/>
    <s v="Manual"/>
    <s v="Yes"/>
    <x v="0"/>
    <x v="0"/>
    <x v="0"/>
    <n v="44"/>
    <s v="No"/>
    <x v="0"/>
    <n v="3"/>
    <s v="$10k-30k"/>
    <n v="1"/>
    <x v="0"/>
    <n v="1"/>
    <n v="5"/>
    <n v="0"/>
  </r>
  <r>
    <n v="22170"/>
    <x v="0"/>
    <s v="Female"/>
    <n v="30000"/>
    <x v="1"/>
    <x v="1"/>
    <s v="Clerical"/>
    <s v="No"/>
    <x v="2"/>
    <x v="3"/>
    <x v="1"/>
    <n v="55"/>
    <s v="Yes"/>
    <x v="1"/>
    <n v="4"/>
    <s v="$10k-30k"/>
    <n v="1"/>
    <x v="1"/>
    <n v="2"/>
    <n v="3"/>
    <n v="1"/>
  </r>
  <r>
    <n v="19445"/>
    <x v="0"/>
    <s v="Female"/>
    <n v="10000"/>
    <x v="4"/>
    <x v="2"/>
    <s v="Manual"/>
    <s v="No"/>
    <x v="1"/>
    <x v="0"/>
    <x v="0"/>
    <n v="38"/>
    <s v="No"/>
    <x v="2"/>
    <n v="2"/>
    <s v="$10k-30k"/>
    <n v="1"/>
    <x v="0"/>
    <n v="1"/>
    <n v="2"/>
    <n v="0"/>
  </r>
  <r>
    <n v="15265"/>
    <x v="1"/>
    <s v="Male"/>
    <n v="40000"/>
    <x v="4"/>
    <x v="0"/>
    <s v="Management"/>
    <s v="Yes"/>
    <x v="2"/>
    <x v="2"/>
    <x v="1"/>
    <n v="66"/>
    <s v="Yes"/>
    <x v="3"/>
    <n v="5"/>
    <s v="$40k-60k"/>
    <n v="2"/>
    <x v="1"/>
    <n v="4"/>
    <n v="4"/>
    <n v="1"/>
  </r>
  <r>
    <n v="28918"/>
    <x v="0"/>
    <s v="Female"/>
    <n v="130000"/>
    <x v="5"/>
    <x v="2"/>
    <s v="Management"/>
    <s v="No"/>
    <x v="3"/>
    <x v="4"/>
    <x v="0"/>
    <n v="58"/>
    <s v="No"/>
    <x v="1"/>
    <n v="4"/>
    <s v="$100k+"/>
    <n v="4"/>
    <x v="1"/>
    <n v="5"/>
    <n v="2"/>
    <n v="0"/>
  </r>
  <r>
    <n v="15799"/>
    <x v="0"/>
    <s v="Female"/>
    <n v="90000"/>
    <x v="0"/>
    <x v="0"/>
    <s v="Professional"/>
    <s v="Yes"/>
    <x v="1"/>
    <x v="1"/>
    <x v="1"/>
    <n v="47"/>
    <s v="Yes"/>
    <x v="0"/>
    <n v="3"/>
    <s v="$70k-90k"/>
    <n v="3"/>
    <x v="0"/>
    <n v="3"/>
    <n v="4"/>
    <n v="1"/>
  </r>
  <r>
    <n v="11047"/>
    <x v="0"/>
    <s v="Female"/>
    <n v="30000"/>
    <x v="1"/>
    <x v="2"/>
    <s v="Skilled Manual"/>
    <s v="No"/>
    <x v="2"/>
    <x v="3"/>
    <x v="1"/>
    <n v="56"/>
    <s v="Yes"/>
    <x v="1"/>
    <n v="4"/>
    <s v="$10k-30k"/>
    <n v="1"/>
    <x v="1"/>
    <n v="2"/>
    <n v="2"/>
    <n v="1"/>
  </r>
  <r>
    <n v="18151"/>
    <x v="1"/>
    <s v="Male"/>
    <n v="80000"/>
    <x v="2"/>
    <x v="1"/>
    <s v="Professional"/>
    <s v="No"/>
    <x v="2"/>
    <x v="4"/>
    <x v="0"/>
    <n v="59"/>
    <s v="No"/>
    <x v="1"/>
    <n v="4"/>
    <s v="$70k-90k"/>
    <n v="3"/>
    <x v="1"/>
    <n v="5"/>
    <n v="3"/>
    <n v="0"/>
  </r>
  <r>
    <n v="20606"/>
    <x v="0"/>
    <s v="Female"/>
    <n v="70000"/>
    <x v="3"/>
    <x v="0"/>
    <s v="Professional"/>
    <s v="Yes"/>
    <x v="3"/>
    <x v="4"/>
    <x v="1"/>
    <n v="32"/>
    <s v="Yes"/>
    <x v="2"/>
    <n v="2"/>
    <s v="$70k-90k"/>
    <n v="3"/>
    <x v="1"/>
    <n v="5"/>
    <n v="4"/>
    <n v="1"/>
  </r>
  <r>
    <n v="19482"/>
    <x v="0"/>
    <s v="Male"/>
    <n v="30000"/>
    <x v="0"/>
    <x v="1"/>
    <s v="Clerical"/>
    <s v="Yes"/>
    <x v="1"/>
    <x v="0"/>
    <x v="0"/>
    <n v="44"/>
    <s v="Yes"/>
    <x v="0"/>
    <n v="3"/>
    <s v="$10k-30k"/>
    <n v="1"/>
    <x v="0"/>
    <n v="1"/>
    <n v="3"/>
    <n v="1"/>
  </r>
  <r>
    <n v="16489"/>
    <x v="0"/>
    <s v="Male"/>
    <n v="30000"/>
    <x v="1"/>
    <x v="2"/>
    <s v="Skilled Manual"/>
    <s v="Yes"/>
    <x v="2"/>
    <x v="2"/>
    <x v="1"/>
    <n v="55"/>
    <s v="No"/>
    <x v="1"/>
    <n v="4"/>
    <s v="$10k-30k"/>
    <n v="1"/>
    <x v="1"/>
    <n v="4"/>
    <n v="2"/>
    <n v="0"/>
  </r>
  <r>
    <n v="26944"/>
    <x v="1"/>
    <s v="Male"/>
    <n v="90000"/>
    <x v="4"/>
    <x v="2"/>
    <s v="Manual"/>
    <s v="Yes"/>
    <x v="0"/>
    <x v="0"/>
    <x v="0"/>
    <n v="36"/>
    <s v="Yes"/>
    <x v="2"/>
    <n v="2"/>
    <s v="$70k-90k"/>
    <n v="3"/>
    <x v="0"/>
    <n v="1"/>
    <n v="2"/>
    <n v="1"/>
  </r>
  <r>
    <n v="15682"/>
    <x v="1"/>
    <s v="Female"/>
    <n v="80000"/>
    <x v="2"/>
    <x v="0"/>
    <s v="Management"/>
    <s v="Yes"/>
    <x v="2"/>
    <x v="4"/>
    <x v="0"/>
    <n v="62"/>
    <s v="No"/>
    <x v="3"/>
    <n v="5"/>
    <s v="$70k-90k"/>
    <n v="3"/>
    <x v="1"/>
    <n v="5"/>
    <n v="4"/>
    <n v="0"/>
  </r>
  <r>
    <n v="26032"/>
    <x v="0"/>
    <s v="Female"/>
    <n v="70000"/>
    <x v="2"/>
    <x v="0"/>
    <s v="Professional"/>
    <s v="Yes"/>
    <x v="3"/>
    <x v="4"/>
    <x v="1"/>
    <n v="41"/>
    <s v="No"/>
    <x v="0"/>
    <n v="3"/>
    <s v="$70k-90k"/>
    <n v="3"/>
    <x v="1"/>
    <n v="5"/>
    <n v="4"/>
    <n v="0"/>
  </r>
  <r>
    <n v="17843"/>
    <x v="1"/>
    <s v="Female"/>
    <n v="10000"/>
    <x v="3"/>
    <x v="3"/>
    <s v="Manual"/>
    <s v="No"/>
    <x v="2"/>
    <x v="0"/>
    <x v="0"/>
    <n v="32"/>
    <s v="No"/>
    <x v="2"/>
    <n v="2"/>
    <s v="$10k-30k"/>
    <n v="1"/>
    <x v="1"/>
    <n v="1"/>
    <n v="1"/>
    <n v="0"/>
  </r>
  <r>
    <n v="25559"/>
    <x v="1"/>
    <s v="Male"/>
    <n v="20000"/>
    <x v="3"/>
    <x v="0"/>
    <s v="Clerical"/>
    <s v="Yes"/>
    <x v="0"/>
    <x v="0"/>
    <x v="1"/>
    <n v="25"/>
    <s v="Yes"/>
    <x v="4"/>
    <n v="1"/>
    <s v="$10k-30k"/>
    <n v="1"/>
    <x v="0"/>
    <n v="1"/>
    <n v="4"/>
    <n v="1"/>
  </r>
  <r>
    <n v="16209"/>
    <x v="1"/>
    <s v="Female"/>
    <n v="50000"/>
    <x v="3"/>
    <x v="4"/>
    <s v="Skilled Manual"/>
    <s v="Yes"/>
    <x v="0"/>
    <x v="3"/>
    <x v="0"/>
    <n v="36"/>
    <s v="No"/>
    <x v="2"/>
    <n v="2"/>
    <s v="$40k-60k"/>
    <n v="2"/>
    <x v="0"/>
    <n v="2"/>
    <n v="5"/>
    <n v="0"/>
  </r>
  <r>
    <n v="11147"/>
    <x v="0"/>
    <s v="Male"/>
    <n v="60000"/>
    <x v="4"/>
    <x v="4"/>
    <s v="Management"/>
    <s v="Yes"/>
    <x v="1"/>
    <x v="0"/>
    <x v="1"/>
    <n v="67"/>
    <s v="Yes"/>
    <x v="3"/>
    <n v="5"/>
    <s v="$40k-60k"/>
    <n v="2"/>
    <x v="0"/>
    <n v="1"/>
    <n v="5"/>
    <n v="1"/>
  </r>
  <r>
    <n v="15214"/>
    <x v="1"/>
    <s v="Female"/>
    <n v="100000"/>
    <x v="3"/>
    <x v="4"/>
    <s v="Management"/>
    <s v="No"/>
    <x v="1"/>
    <x v="3"/>
    <x v="1"/>
    <n v="39"/>
    <s v="Yes"/>
    <x v="2"/>
    <n v="2"/>
    <s v="$100k+"/>
    <n v="4"/>
    <x v="0"/>
    <n v="2"/>
    <n v="5"/>
    <n v="1"/>
  </r>
  <r>
    <n v="11453"/>
    <x v="1"/>
    <s v="Male"/>
    <n v="80000"/>
    <x v="3"/>
    <x v="0"/>
    <s v="Professional"/>
    <s v="No"/>
    <x v="4"/>
    <x v="4"/>
    <x v="1"/>
    <n v="33"/>
    <s v="Yes"/>
    <x v="2"/>
    <n v="2"/>
    <s v="$70k-90k"/>
    <n v="3"/>
    <x v="1"/>
    <n v="5"/>
    <n v="4"/>
    <n v="1"/>
  </r>
  <r>
    <n v="24584"/>
    <x v="1"/>
    <s v="Male"/>
    <n v="60000"/>
    <x v="3"/>
    <x v="0"/>
    <s v="Professional"/>
    <s v="No"/>
    <x v="4"/>
    <x v="1"/>
    <x v="1"/>
    <n v="31"/>
    <s v="No"/>
    <x v="2"/>
    <n v="2"/>
    <s v="$40k-60k"/>
    <n v="2"/>
    <x v="1"/>
    <n v="3"/>
    <n v="4"/>
    <n v="0"/>
  </r>
  <r>
    <n v="12585"/>
    <x v="0"/>
    <s v="Male"/>
    <n v="10000"/>
    <x v="0"/>
    <x v="2"/>
    <s v="Manual"/>
    <s v="Yes"/>
    <x v="0"/>
    <x v="1"/>
    <x v="1"/>
    <n v="27"/>
    <s v="Yes"/>
    <x v="4"/>
    <n v="1"/>
    <s v="$10k-30k"/>
    <n v="1"/>
    <x v="0"/>
    <n v="3"/>
    <n v="2"/>
    <n v="1"/>
  </r>
  <r>
    <n v="18626"/>
    <x v="1"/>
    <s v="Male"/>
    <n v="40000"/>
    <x v="4"/>
    <x v="1"/>
    <s v="Clerical"/>
    <s v="Yes"/>
    <x v="0"/>
    <x v="3"/>
    <x v="0"/>
    <n v="33"/>
    <s v="Yes"/>
    <x v="2"/>
    <n v="2"/>
    <s v="$40k-60k"/>
    <n v="2"/>
    <x v="0"/>
    <n v="2"/>
    <n v="3"/>
    <n v="1"/>
  </r>
  <r>
    <n v="29298"/>
    <x v="1"/>
    <s v="Female"/>
    <n v="60000"/>
    <x v="0"/>
    <x v="1"/>
    <s v="Skilled Manual"/>
    <s v="Yes"/>
    <x v="1"/>
    <x v="2"/>
    <x v="1"/>
    <n v="46"/>
    <s v="Yes"/>
    <x v="0"/>
    <n v="3"/>
    <s v="$40k-60k"/>
    <n v="2"/>
    <x v="0"/>
    <n v="4"/>
    <n v="3"/>
    <n v="1"/>
  </r>
  <r>
    <n v="24842"/>
    <x v="1"/>
    <s v="Female"/>
    <n v="90000"/>
    <x v="1"/>
    <x v="2"/>
    <s v="Professional"/>
    <s v="No"/>
    <x v="1"/>
    <x v="1"/>
    <x v="0"/>
    <n v="51"/>
    <s v="No"/>
    <x v="1"/>
    <n v="4"/>
    <s v="$70k-90k"/>
    <n v="3"/>
    <x v="0"/>
    <n v="3"/>
    <n v="2"/>
    <n v="0"/>
  </r>
  <r>
    <n v="15657"/>
    <x v="0"/>
    <s v="Male"/>
    <n v="30000"/>
    <x v="1"/>
    <x v="4"/>
    <s v="Clerical"/>
    <s v="Yes"/>
    <x v="0"/>
    <x v="0"/>
    <x v="0"/>
    <n v="46"/>
    <s v="Yes"/>
    <x v="0"/>
    <n v="3"/>
    <s v="$10k-30k"/>
    <n v="1"/>
    <x v="0"/>
    <n v="1"/>
    <n v="5"/>
    <n v="1"/>
  </r>
  <r>
    <n v="11415"/>
    <x v="1"/>
    <s v="Male"/>
    <n v="90000"/>
    <x v="2"/>
    <x v="1"/>
    <s v="Professional"/>
    <s v="No"/>
    <x v="2"/>
    <x v="4"/>
    <x v="0"/>
    <n v="62"/>
    <s v="No"/>
    <x v="3"/>
    <n v="5"/>
    <s v="$70k-90k"/>
    <n v="3"/>
    <x v="1"/>
    <n v="5"/>
    <n v="3"/>
    <n v="0"/>
  </r>
  <r>
    <n v="28729"/>
    <x v="1"/>
    <s v="Female"/>
    <n v="20000"/>
    <x v="3"/>
    <x v="3"/>
    <s v="Manual"/>
    <s v="Yes"/>
    <x v="2"/>
    <x v="3"/>
    <x v="0"/>
    <n v="26"/>
    <s v="Yes"/>
    <x v="4"/>
    <n v="1"/>
    <s v="$10k-30k"/>
    <n v="1"/>
    <x v="1"/>
    <n v="2"/>
    <n v="1"/>
    <n v="1"/>
  </r>
  <r>
    <n v="22633"/>
    <x v="1"/>
    <s v="Female"/>
    <n v="40000"/>
    <x v="3"/>
    <x v="4"/>
    <s v="Clerical"/>
    <s v="Yes"/>
    <x v="0"/>
    <x v="0"/>
    <x v="0"/>
    <n v="37"/>
    <s v="Yes"/>
    <x v="2"/>
    <n v="2"/>
    <s v="$40k-60k"/>
    <n v="2"/>
    <x v="0"/>
    <n v="1"/>
    <n v="5"/>
    <n v="1"/>
  </r>
  <r>
    <n v="25649"/>
    <x v="1"/>
    <s v="Female"/>
    <n v="30000"/>
    <x v="1"/>
    <x v="1"/>
    <s v="Clerical"/>
    <s v="Yes"/>
    <x v="0"/>
    <x v="0"/>
    <x v="0"/>
    <n v="42"/>
    <s v="Yes"/>
    <x v="0"/>
    <n v="3"/>
    <s v="$10k-30k"/>
    <n v="1"/>
    <x v="0"/>
    <n v="1"/>
    <n v="3"/>
    <n v="1"/>
  </r>
  <r>
    <n v="14669"/>
    <x v="0"/>
    <s v="Female"/>
    <n v="80000"/>
    <x v="5"/>
    <x v="4"/>
    <s v="Management"/>
    <s v="Yes"/>
    <x v="1"/>
    <x v="0"/>
    <x v="1"/>
    <n v="36"/>
    <s v="No"/>
    <x v="2"/>
    <n v="2"/>
    <s v="$70k-90k"/>
    <n v="3"/>
    <x v="0"/>
    <n v="1"/>
    <n v="5"/>
    <n v="0"/>
  </r>
  <r>
    <n v="19299"/>
    <x v="0"/>
    <s v="Female"/>
    <n v="50000"/>
    <x v="3"/>
    <x v="4"/>
    <s v="Skilled Manual"/>
    <s v="Yes"/>
    <x v="0"/>
    <x v="0"/>
    <x v="0"/>
    <n v="36"/>
    <s v="Yes"/>
    <x v="2"/>
    <n v="2"/>
    <s v="$40k-60k"/>
    <n v="2"/>
    <x v="0"/>
    <n v="1"/>
    <n v="5"/>
    <n v="1"/>
  </r>
  <r>
    <n v="20946"/>
    <x v="1"/>
    <s v="Female"/>
    <n v="30000"/>
    <x v="3"/>
    <x v="1"/>
    <s v="Clerical"/>
    <s v="No"/>
    <x v="1"/>
    <x v="1"/>
    <x v="0"/>
    <n v="30"/>
    <s v="No"/>
    <x v="4"/>
    <n v="1"/>
    <s v="$10k-30k"/>
    <n v="1"/>
    <x v="0"/>
    <n v="3"/>
    <n v="3"/>
    <n v="0"/>
  </r>
  <r>
    <n v="11451"/>
    <x v="1"/>
    <s v="Male"/>
    <n v="70000"/>
    <x v="3"/>
    <x v="0"/>
    <s v="Professional"/>
    <s v="No"/>
    <x v="3"/>
    <x v="4"/>
    <x v="1"/>
    <n v="31"/>
    <s v="Yes"/>
    <x v="2"/>
    <n v="2"/>
    <s v="$70k-90k"/>
    <n v="3"/>
    <x v="1"/>
    <n v="5"/>
    <n v="4"/>
    <n v="1"/>
  </r>
  <r>
    <n v="25553"/>
    <x v="0"/>
    <s v="Male"/>
    <n v="30000"/>
    <x v="0"/>
    <x v="0"/>
    <s v="Clerical"/>
    <s v="Yes"/>
    <x v="0"/>
    <x v="0"/>
    <x v="0"/>
    <n v="65"/>
    <s v="Yes"/>
    <x v="3"/>
    <n v="5"/>
    <s v="$10k-30k"/>
    <n v="1"/>
    <x v="0"/>
    <n v="1"/>
    <n v="4"/>
    <n v="1"/>
  </r>
  <r>
    <n v="27951"/>
    <x v="1"/>
    <s v="Male"/>
    <n v="80000"/>
    <x v="5"/>
    <x v="1"/>
    <s v="Professional"/>
    <s v="No"/>
    <x v="2"/>
    <x v="1"/>
    <x v="0"/>
    <n v="54"/>
    <s v="Yes"/>
    <x v="1"/>
    <n v="4"/>
    <s v="$70k-90k"/>
    <n v="3"/>
    <x v="1"/>
    <n v="3"/>
    <n v="3"/>
    <n v="1"/>
  </r>
  <r>
    <n v="25026"/>
    <x v="0"/>
    <s v="Male"/>
    <n v="20000"/>
    <x v="4"/>
    <x v="3"/>
    <s v="Clerical"/>
    <s v="Yes"/>
    <x v="4"/>
    <x v="2"/>
    <x v="1"/>
    <n v="54"/>
    <s v="No"/>
    <x v="1"/>
    <n v="4"/>
    <s v="$10k-30k"/>
    <n v="1"/>
    <x v="1"/>
    <n v="4"/>
    <n v="1"/>
    <n v="0"/>
  </r>
  <r>
    <n v="13673"/>
    <x v="1"/>
    <s v="Female"/>
    <n v="20000"/>
    <x v="3"/>
    <x v="3"/>
    <s v="Manual"/>
    <s v="No"/>
    <x v="2"/>
    <x v="0"/>
    <x v="0"/>
    <n v="25"/>
    <s v="No"/>
    <x v="4"/>
    <n v="1"/>
    <s v="$10k-30k"/>
    <n v="1"/>
    <x v="1"/>
    <n v="1"/>
    <n v="1"/>
    <n v="0"/>
  </r>
  <r>
    <n v="16043"/>
    <x v="1"/>
    <s v="Male"/>
    <n v="10000"/>
    <x v="0"/>
    <x v="0"/>
    <s v="Manual"/>
    <s v="Yes"/>
    <x v="0"/>
    <x v="0"/>
    <x v="0"/>
    <n v="48"/>
    <s v="No"/>
    <x v="0"/>
    <n v="3"/>
    <s v="$10k-30k"/>
    <n v="1"/>
    <x v="0"/>
    <n v="1"/>
    <n v="4"/>
    <n v="0"/>
  </r>
  <r>
    <n v="22399"/>
    <x v="1"/>
    <s v="Male"/>
    <n v="10000"/>
    <x v="3"/>
    <x v="1"/>
    <s v="Manual"/>
    <s v="Yes"/>
    <x v="1"/>
    <x v="3"/>
    <x v="1"/>
    <n v="26"/>
    <s v="Yes"/>
    <x v="4"/>
    <n v="1"/>
    <s v="$10k-30k"/>
    <n v="1"/>
    <x v="0"/>
    <n v="2"/>
    <n v="3"/>
    <n v="1"/>
  </r>
  <r>
    <n v="27696"/>
    <x v="0"/>
    <s v="Male"/>
    <n v="60000"/>
    <x v="0"/>
    <x v="0"/>
    <s v="Professional"/>
    <s v="Yes"/>
    <x v="1"/>
    <x v="2"/>
    <x v="1"/>
    <n v="43"/>
    <s v="Yes"/>
    <x v="0"/>
    <n v="3"/>
    <s v="$40k-60k"/>
    <n v="2"/>
    <x v="0"/>
    <n v="4"/>
    <n v="4"/>
    <n v="1"/>
  </r>
  <r>
    <n v="25313"/>
    <x v="1"/>
    <s v="Male"/>
    <n v="10000"/>
    <x v="3"/>
    <x v="3"/>
    <s v="Manual"/>
    <s v="No"/>
    <x v="2"/>
    <x v="3"/>
    <x v="0"/>
    <n v="35"/>
    <s v="No"/>
    <x v="2"/>
    <n v="2"/>
    <s v="$10k-30k"/>
    <n v="1"/>
    <x v="1"/>
    <n v="2"/>
    <n v="1"/>
    <n v="0"/>
  </r>
  <r>
    <n v="13813"/>
    <x v="0"/>
    <s v="Female"/>
    <n v="30000"/>
    <x v="1"/>
    <x v="1"/>
    <s v="Clerical"/>
    <s v="No"/>
    <x v="0"/>
    <x v="0"/>
    <x v="0"/>
    <n v="42"/>
    <s v="No"/>
    <x v="0"/>
    <n v="3"/>
    <s v="$10k-30k"/>
    <n v="1"/>
    <x v="0"/>
    <n v="1"/>
    <n v="3"/>
    <n v="0"/>
  </r>
  <r>
    <n v="18711"/>
    <x v="1"/>
    <s v="Female"/>
    <n v="70000"/>
    <x v="2"/>
    <x v="0"/>
    <s v="Professional"/>
    <s v="Yes"/>
    <x v="3"/>
    <x v="4"/>
    <x v="1"/>
    <n v="39"/>
    <s v="No"/>
    <x v="2"/>
    <n v="2"/>
    <s v="$70k-90k"/>
    <n v="3"/>
    <x v="1"/>
    <n v="5"/>
    <n v="4"/>
    <n v="0"/>
  </r>
  <r>
    <n v="19650"/>
    <x v="0"/>
    <s v="Female"/>
    <n v="30000"/>
    <x v="4"/>
    <x v="1"/>
    <s v="Clerical"/>
    <s v="No"/>
    <x v="2"/>
    <x v="0"/>
    <x v="1"/>
    <n v="67"/>
    <s v="No"/>
    <x v="3"/>
    <n v="5"/>
    <s v="$10k-30k"/>
    <n v="1"/>
    <x v="1"/>
    <n v="1"/>
    <n v="3"/>
    <n v="0"/>
  </r>
  <r>
    <n v="14135"/>
    <x v="0"/>
    <s v="Male"/>
    <n v="20000"/>
    <x v="0"/>
    <x v="1"/>
    <s v="Manual"/>
    <s v="Yes"/>
    <x v="0"/>
    <x v="3"/>
    <x v="0"/>
    <n v="35"/>
    <s v="No"/>
    <x v="2"/>
    <n v="2"/>
    <s v="$10k-30k"/>
    <n v="1"/>
    <x v="0"/>
    <n v="2"/>
    <n v="3"/>
    <n v="0"/>
  </r>
  <r>
    <n v="12833"/>
    <x v="1"/>
    <s v="Female"/>
    <n v="20000"/>
    <x v="1"/>
    <x v="2"/>
    <s v="Manual"/>
    <s v="Yes"/>
    <x v="1"/>
    <x v="0"/>
    <x v="0"/>
    <n v="42"/>
    <s v="Yes"/>
    <x v="0"/>
    <n v="3"/>
    <s v="$10k-30k"/>
    <n v="1"/>
    <x v="0"/>
    <n v="1"/>
    <n v="2"/>
    <n v="1"/>
  </r>
  <r>
    <n v="26849"/>
    <x v="0"/>
    <s v="Male"/>
    <n v="10000"/>
    <x v="1"/>
    <x v="3"/>
    <s v="Manual"/>
    <s v="Yes"/>
    <x v="2"/>
    <x v="0"/>
    <x v="0"/>
    <n v="43"/>
    <s v="No"/>
    <x v="0"/>
    <n v="3"/>
    <s v="$10k-30k"/>
    <n v="1"/>
    <x v="1"/>
    <n v="1"/>
    <n v="1"/>
    <n v="0"/>
  </r>
  <r>
    <n v="20962"/>
    <x v="0"/>
    <s v="Female"/>
    <n v="20000"/>
    <x v="0"/>
    <x v="4"/>
    <s v="Clerical"/>
    <s v="Yes"/>
    <x v="0"/>
    <x v="0"/>
    <x v="0"/>
    <n v="45"/>
    <s v="No"/>
    <x v="0"/>
    <n v="3"/>
    <s v="$10k-30k"/>
    <n v="1"/>
    <x v="0"/>
    <n v="1"/>
    <n v="5"/>
    <n v="0"/>
  </r>
  <r>
    <n v="28915"/>
    <x v="1"/>
    <s v="Male"/>
    <n v="80000"/>
    <x v="2"/>
    <x v="2"/>
    <s v="Management"/>
    <s v="Yes"/>
    <x v="4"/>
    <x v="4"/>
    <x v="0"/>
    <n v="57"/>
    <s v="No"/>
    <x v="1"/>
    <n v="4"/>
    <s v="$70k-90k"/>
    <n v="3"/>
    <x v="1"/>
    <n v="5"/>
    <n v="2"/>
    <n v="0"/>
  </r>
  <r>
    <n v="22830"/>
    <x v="0"/>
    <s v="Male"/>
    <n v="120000"/>
    <x v="5"/>
    <x v="1"/>
    <s v="Management"/>
    <s v="Yes"/>
    <x v="4"/>
    <x v="4"/>
    <x v="0"/>
    <n v="56"/>
    <s v="No"/>
    <x v="1"/>
    <n v="4"/>
    <s v="$100k+"/>
    <n v="4"/>
    <x v="1"/>
    <n v="5"/>
    <n v="3"/>
    <n v="0"/>
  </r>
  <r>
    <n v="14777"/>
    <x v="0"/>
    <s v="Female"/>
    <n v="40000"/>
    <x v="3"/>
    <x v="0"/>
    <s v="Clerical"/>
    <s v="Yes"/>
    <x v="0"/>
    <x v="0"/>
    <x v="0"/>
    <n v="38"/>
    <s v="Yes"/>
    <x v="2"/>
    <n v="2"/>
    <s v="$40k-60k"/>
    <n v="2"/>
    <x v="0"/>
    <n v="1"/>
    <n v="4"/>
    <n v="1"/>
  </r>
  <r>
    <n v="12591"/>
    <x v="0"/>
    <s v="Female"/>
    <n v="30000"/>
    <x v="5"/>
    <x v="4"/>
    <s v="Clerical"/>
    <s v="Yes"/>
    <x v="0"/>
    <x v="0"/>
    <x v="0"/>
    <n v="45"/>
    <s v="No"/>
    <x v="0"/>
    <n v="3"/>
    <s v="$10k-30k"/>
    <n v="1"/>
    <x v="0"/>
    <n v="1"/>
    <n v="5"/>
    <n v="0"/>
  </r>
  <r>
    <n v="24174"/>
    <x v="0"/>
    <s v="Male"/>
    <n v="20000"/>
    <x v="3"/>
    <x v="0"/>
    <s v="Clerical"/>
    <s v="Yes"/>
    <x v="0"/>
    <x v="0"/>
    <x v="1"/>
    <n v="27"/>
    <s v="Yes"/>
    <x v="4"/>
    <n v="1"/>
    <s v="$10k-30k"/>
    <n v="1"/>
    <x v="0"/>
    <n v="1"/>
    <n v="4"/>
    <n v="1"/>
  </r>
  <r>
    <n v="24611"/>
    <x v="1"/>
    <s v="Male"/>
    <n v="90000"/>
    <x v="3"/>
    <x v="0"/>
    <s v="Professional"/>
    <s v="No"/>
    <x v="3"/>
    <x v="4"/>
    <x v="1"/>
    <n v="35"/>
    <s v="Yes"/>
    <x v="2"/>
    <n v="2"/>
    <s v="$70k-90k"/>
    <n v="3"/>
    <x v="1"/>
    <n v="5"/>
    <n v="4"/>
    <n v="1"/>
  </r>
  <r>
    <n v="11340"/>
    <x v="0"/>
    <s v="Female"/>
    <n v="10000"/>
    <x v="0"/>
    <x v="4"/>
    <s v="Clerical"/>
    <s v="Yes"/>
    <x v="0"/>
    <x v="0"/>
    <x v="0"/>
    <n v="70"/>
    <s v="Yes"/>
    <x v="3"/>
    <n v="5"/>
    <s v="$10k-30k"/>
    <n v="1"/>
    <x v="0"/>
    <n v="1"/>
    <n v="5"/>
    <n v="1"/>
  </r>
  <r>
    <n v="25693"/>
    <x v="1"/>
    <s v="Female"/>
    <n v="30000"/>
    <x v="2"/>
    <x v="4"/>
    <s v="Clerical"/>
    <s v="Yes"/>
    <x v="0"/>
    <x v="0"/>
    <x v="0"/>
    <n v="44"/>
    <s v="Yes"/>
    <x v="0"/>
    <n v="3"/>
    <s v="$10k-30k"/>
    <n v="1"/>
    <x v="0"/>
    <n v="1"/>
    <n v="5"/>
    <n v="1"/>
  </r>
  <r>
    <n v="25555"/>
    <x v="0"/>
    <s v="Female"/>
    <n v="10000"/>
    <x v="3"/>
    <x v="1"/>
    <s v="Manual"/>
    <s v="No"/>
    <x v="1"/>
    <x v="0"/>
    <x v="1"/>
    <n v="26"/>
    <s v="Yes"/>
    <x v="4"/>
    <n v="1"/>
    <s v="$10k-30k"/>
    <n v="1"/>
    <x v="0"/>
    <n v="1"/>
    <n v="3"/>
    <n v="1"/>
  </r>
  <r>
    <n v="22006"/>
    <x v="0"/>
    <s v="Male"/>
    <n v="70000"/>
    <x v="2"/>
    <x v="1"/>
    <s v="Skilled Manual"/>
    <s v="Yes"/>
    <x v="4"/>
    <x v="2"/>
    <x v="1"/>
    <n v="46"/>
    <s v="No"/>
    <x v="0"/>
    <n v="3"/>
    <s v="$70k-90k"/>
    <n v="3"/>
    <x v="1"/>
    <n v="4"/>
    <n v="3"/>
    <n v="0"/>
  </r>
  <r>
    <n v="20060"/>
    <x v="1"/>
    <s v="Female"/>
    <n v="30000"/>
    <x v="3"/>
    <x v="2"/>
    <s v="Manual"/>
    <s v="No"/>
    <x v="1"/>
    <x v="1"/>
    <x v="0"/>
    <n v="34"/>
    <s v="Yes"/>
    <x v="2"/>
    <n v="2"/>
    <s v="$10k-30k"/>
    <n v="1"/>
    <x v="0"/>
    <n v="3"/>
    <n v="2"/>
    <n v="1"/>
  </r>
  <r>
    <n v="17702"/>
    <x v="0"/>
    <s v="Male"/>
    <n v="10000"/>
    <x v="0"/>
    <x v="4"/>
    <s v="Manual"/>
    <s v="Yes"/>
    <x v="0"/>
    <x v="0"/>
    <x v="0"/>
    <n v="37"/>
    <s v="No"/>
    <x v="2"/>
    <n v="2"/>
    <s v="$10k-30k"/>
    <n v="1"/>
    <x v="0"/>
    <n v="1"/>
    <n v="5"/>
    <n v="0"/>
  </r>
  <r>
    <n v="12503"/>
    <x v="1"/>
    <s v="Female"/>
    <n v="30000"/>
    <x v="1"/>
    <x v="1"/>
    <s v="Clerical"/>
    <s v="Yes"/>
    <x v="2"/>
    <x v="0"/>
    <x v="0"/>
    <n v="27"/>
    <s v="No"/>
    <x v="4"/>
    <n v="1"/>
    <s v="$10k-30k"/>
    <n v="1"/>
    <x v="1"/>
    <n v="1"/>
    <n v="3"/>
    <n v="0"/>
  </r>
  <r>
    <n v="23908"/>
    <x v="1"/>
    <s v="Male"/>
    <n v="30000"/>
    <x v="0"/>
    <x v="0"/>
    <s v="Clerical"/>
    <s v="No"/>
    <x v="1"/>
    <x v="0"/>
    <x v="0"/>
    <n v="39"/>
    <s v="Yes"/>
    <x v="2"/>
    <n v="2"/>
    <s v="$10k-30k"/>
    <n v="1"/>
    <x v="0"/>
    <n v="1"/>
    <n v="4"/>
    <n v="1"/>
  </r>
  <r>
    <n v="22527"/>
    <x v="1"/>
    <s v="Female"/>
    <n v="20000"/>
    <x v="3"/>
    <x v="2"/>
    <s v="Manual"/>
    <s v="No"/>
    <x v="1"/>
    <x v="1"/>
    <x v="0"/>
    <n v="29"/>
    <s v="No"/>
    <x v="4"/>
    <n v="1"/>
    <s v="$10k-30k"/>
    <n v="1"/>
    <x v="0"/>
    <n v="3"/>
    <n v="2"/>
    <n v="0"/>
  </r>
  <r>
    <n v="19057"/>
    <x v="0"/>
    <s v="Female"/>
    <n v="120000"/>
    <x v="1"/>
    <x v="0"/>
    <s v="Management"/>
    <s v="No"/>
    <x v="2"/>
    <x v="4"/>
    <x v="0"/>
    <n v="52"/>
    <s v="Yes"/>
    <x v="1"/>
    <n v="4"/>
    <s v="$100k+"/>
    <n v="4"/>
    <x v="1"/>
    <n v="5"/>
    <n v="4"/>
    <n v="1"/>
  </r>
  <r>
    <n v="18494"/>
    <x v="0"/>
    <s v="Male"/>
    <n v="110000"/>
    <x v="2"/>
    <x v="0"/>
    <s v="Management"/>
    <s v="Yes"/>
    <x v="3"/>
    <x v="1"/>
    <x v="1"/>
    <n v="48"/>
    <s v="Yes"/>
    <x v="0"/>
    <n v="3"/>
    <s v="$100k+"/>
    <n v="4"/>
    <x v="1"/>
    <n v="3"/>
    <n v="4"/>
    <n v="1"/>
  </r>
  <r>
    <n v="11249"/>
    <x v="0"/>
    <s v="Female"/>
    <n v="130000"/>
    <x v="1"/>
    <x v="1"/>
    <s v="Professional"/>
    <s v="Yes"/>
    <x v="4"/>
    <x v="0"/>
    <x v="0"/>
    <n v="51"/>
    <s v="Yes"/>
    <x v="1"/>
    <n v="4"/>
    <s v="$100k+"/>
    <n v="4"/>
    <x v="1"/>
    <n v="1"/>
    <n v="3"/>
    <n v="1"/>
  </r>
  <r>
    <n v="21568"/>
    <x v="0"/>
    <s v="Female"/>
    <n v="100000"/>
    <x v="3"/>
    <x v="2"/>
    <s v="Management"/>
    <s v="Yes"/>
    <x v="3"/>
    <x v="4"/>
    <x v="1"/>
    <n v="34"/>
    <s v="Yes"/>
    <x v="2"/>
    <n v="2"/>
    <s v="$100k+"/>
    <n v="4"/>
    <x v="1"/>
    <n v="5"/>
    <n v="2"/>
    <n v="1"/>
  </r>
  <r>
    <n v="13981"/>
    <x v="0"/>
    <s v="Female"/>
    <n v="10000"/>
    <x v="2"/>
    <x v="2"/>
    <s v="Skilled Manual"/>
    <s v="No"/>
    <x v="4"/>
    <x v="3"/>
    <x v="1"/>
    <n v="62"/>
    <s v="No"/>
    <x v="3"/>
    <n v="5"/>
    <s v="$10k-30k"/>
    <n v="1"/>
    <x v="1"/>
    <n v="2"/>
    <n v="2"/>
    <n v="0"/>
  </r>
  <r>
    <n v="23432"/>
    <x v="1"/>
    <s v="Male"/>
    <n v="70000"/>
    <x v="3"/>
    <x v="0"/>
    <s v="Professional"/>
    <s v="Yes"/>
    <x v="1"/>
    <x v="2"/>
    <x v="1"/>
    <n v="37"/>
    <s v="Yes"/>
    <x v="2"/>
    <n v="2"/>
    <s v="$70k-90k"/>
    <n v="3"/>
    <x v="0"/>
    <n v="4"/>
    <n v="4"/>
    <n v="1"/>
  </r>
  <r>
    <n v="22931"/>
    <x v="0"/>
    <s v="Male"/>
    <n v="100000"/>
    <x v="2"/>
    <x v="4"/>
    <s v="Management"/>
    <s v="No"/>
    <x v="1"/>
    <x v="3"/>
    <x v="1"/>
    <n v="78"/>
    <s v="Yes"/>
    <x v="3"/>
    <n v="5"/>
    <s v="$100k+"/>
    <n v="4"/>
    <x v="0"/>
    <n v="2"/>
    <n v="5"/>
    <n v="1"/>
  </r>
  <r>
    <n v="18172"/>
    <x v="0"/>
    <s v="Male"/>
    <n v="130000"/>
    <x v="5"/>
    <x v="2"/>
    <s v="Professional"/>
    <s v="Yes"/>
    <x v="4"/>
    <x v="0"/>
    <x v="0"/>
    <n v="55"/>
    <s v="No"/>
    <x v="1"/>
    <n v="4"/>
    <s v="$100k+"/>
    <n v="4"/>
    <x v="1"/>
    <n v="1"/>
    <n v="2"/>
    <n v="0"/>
  </r>
  <r>
    <n v="12666"/>
    <x v="1"/>
    <s v="Male"/>
    <n v="60000"/>
    <x v="3"/>
    <x v="0"/>
    <s v="Professional"/>
    <s v="No"/>
    <x v="3"/>
    <x v="1"/>
    <x v="1"/>
    <n v="31"/>
    <s v="No"/>
    <x v="2"/>
    <n v="2"/>
    <s v="$40k-60k"/>
    <n v="2"/>
    <x v="1"/>
    <n v="3"/>
    <n v="4"/>
    <n v="0"/>
  </r>
  <r>
    <n v="20598"/>
    <x v="0"/>
    <s v="Male"/>
    <n v="100000"/>
    <x v="1"/>
    <x v="3"/>
    <s v="Professional"/>
    <s v="Yes"/>
    <x v="0"/>
    <x v="4"/>
    <x v="0"/>
    <n v="59"/>
    <s v="Yes"/>
    <x v="1"/>
    <n v="4"/>
    <s v="$100k+"/>
    <n v="4"/>
    <x v="0"/>
    <n v="5"/>
    <n v="1"/>
    <n v="1"/>
  </r>
  <r>
    <n v="21375"/>
    <x v="1"/>
    <s v="Male"/>
    <n v="20000"/>
    <x v="4"/>
    <x v="3"/>
    <s v="Clerical"/>
    <s v="Yes"/>
    <x v="2"/>
    <x v="2"/>
    <x v="1"/>
    <n v="57"/>
    <s v="No"/>
    <x v="1"/>
    <n v="4"/>
    <s v="$10k-30k"/>
    <n v="1"/>
    <x v="1"/>
    <n v="4"/>
    <n v="1"/>
    <n v="0"/>
  </r>
  <r>
    <n v="20839"/>
    <x v="1"/>
    <s v="Female"/>
    <n v="30000"/>
    <x v="1"/>
    <x v="4"/>
    <s v="Clerical"/>
    <s v="Yes"/>
    <x v="0"/>
    <x v="0"/>
    <x v="0"/>
    <n v="47"/>
    <s v="Yes"/>
    <x v="0"/>
    <n v="3"/>
    <s v="$10k-30k"/>
    <n v="1"/>
    <x v="0"/>
    <n v="1"/>
    <n v="5"/>
    <n v="1"/>
  </r>
  <r>
    <n v="21738"/>
    <x v="0"/>
    <s v="Male"/>
    <n v="20000"/>
    <x v="0"/>
    <x v="4"/>
    <s v="Clerical"/>
    <s v="Yes"/>
    <x v="0"/>
    <x v="0"/>
    <x v="0"/>
    <n v="43"/>
    <s v="No"/>
    <x v="0"/>
    <n v="3"/>
    <s v="$10k-30k"/>
    <n v="1"/>
    <x v="0"/>
    <n v="1"/>
    <n v="5"/>
    <n v="0"/>
  </r>
  <r>
    <n v="14164"/>
    <x v="1"/>
    <s v="Female"/>
    <n v="50000"/>
    <x v="3"/>
    <x v="4"/>
    <s v="Skilled Manual"/>
    <s v="Yes"/>
    <x v="0"/>
    <x v="0"/>
    <x v="0"/>
    <n v="36"/>
    <s v="Yes"/>
    <x v="2"/>
    <n v="2"/>
    <s v="$40k-60k"/>
    <n v="2"/>
    <x v="0"/>
    <n v="1"/>
    <n v="5"/>
    <n v="1"/>
  </r>
  <r>
    <n v="14193"/>
    <x v="1"/>
    <s v="Female"/>
    <n v="100000"/>
    <x v="1"/>
    <x v="1"/>
    <s v="Management"/>
    <s v="Yes"/>
    <x v="3"/>
    <x v="4"/>
    <x v="0"/>
    <n v="56"/>
    <s v="No"/>
    <x v="1"/>
    <n v="4"/>
    <s v="$100k+"/>
    <n v="4"/>
    <x v="1"/>
    <n v="5"/>
    <n v="3"/>
    <n v="0"/>
  </r>
  <r>
    <n v="12705"/>
    <x v="0"/>
    <s v="Male"/>
    <n v="150000"/>
    <x v="3"/>
    <x v="0"/>
    <s v="Management"/>
    <s v="Yes"/>
    <x v="3"/>
    <x v="0"/>
    <x v="1"/>
    <n v="37"/>
    <s v="Yes"/>
    <x v="2"/>
    <n v="2"/>
    <s v="$100k+"/>
    <n v="4"/>
    <x v="1"/>
    <n v="1"/>
    <n v="4"/>
    <n v="1"/>
  </r>
  <r>
    <n v="22672"/>
    <x v="1"/>
    <s v="Female"/>
    <n v="30000"/>
    <x v="4"/>
    <x v="1"/>
    <s v="Clerical"/>
    <s v="Yes"/>
    <x v="0"/>
    <x v="0"/>
    <x v="0"/>
    <n v="43"/>
    <s v="No"/>
    <x v="0"/>
    <n v="3"/>
    <s v="$10k-30k"/>
    <n v="1"/>
    <x v="0"/>
    <n v="1"/>
    <n v="3"/>
    <n v="0"/>
  </r>
  <r>
    <n v="26219"/>
    <x v="0"/>
    <s v="Female"/>
    <n v="40000"/>
    <x v="0"/>
    <x v="0"/>
    <s v="Skilled Manual"/>
    <s v="Yes"/>
    <x v="1"/>
    <x v="3"/>
    <x v="0"/>
    <n v="33"/>
    <s v="Yes"/>
    <x v="2"/>
    <n v="2"/>
    <s v="$40k-60k"/>
    <n v="2"/>
    <x v="0"/>
    <n v="2"/>
    <n v="4"/>
    <n v="1"/>
  </r>
  <r>
    <n v="28468"/>
    <x v="0"/>
    <s v="Female"/>
    <n v="10000"/>
    <x v="4"/>
    <x v="1"/>
    <s v="Manual"/>
    <s v="Yes"/>
    <x v="0"/>
    <x v="3"/>
    <x v="0"/>
    <n v="51"/>
    <s v="No"/>
    <x v="1"/>
    <n v="4"/>
    <s v="$10k-30k"/>
    <n v="1"/>
    <x v="0"/>
    <n v="2"/>
    <n v="3"/>
    <n v="0"/>
  </r>
  <r>
    <n v="23419"/>
    <x v="1"/>
    <s v="Female"/>
    <n v="70000"/>
    <x v="2"/>
    <x v="0"/>
    <s v="Professional"/>
    <s v="Yes"/>
    <x v="4"/>
    <x v="4"/>
    <x v="1"/>
    <n v="39"/>
    <s v="No"/>
    <x v="2"/>
    <n v="2"/>
    <s v="$70k-90k"/>
    <n v="3"/>
    <x v="1"/>
    <n v="5"/>
    <n v="4"/>
    <n v="0"/>
  </r>
  <r>
    <n v="17964"/>
    <x v="0"/>
    <s v="Male"/>
    <n v="40000"/>
    <x v="3"/>
    <x v="4"/>
    <s v="Clerical"/>
    <s v="Yes"/>
    <x v="0"/>
    <x v="0"/>
    <x v="0"/>
    <n v="37"/>
    <s v="Yes"/>
    <x v="2"/>
    <n v="2"/>
    <s v="$40k-60k"/>
    <n v="2"/>
    <x v="0"/>
    <n v="1"/>
    <n v="5"/>
    <n v="1"/>
  </r>
  <r>
    <n v="20919"/>
    <x v="1"/>
    <s v="Female"/>
    <n v="30000"/>
    <x v="4"/>
    <x v="1"/>
    <s v="Clerical"/>
    <s v="Yes"/>
    <x v="2"/>
    <x v="0"/>
    <x v="0"/>
    <n v="42"/>
    <s v="No"/>
    <x v="0"/>
    <n v="3"/>
    <s v="$10k-30k"/>
    <n v="1"/>
    <x v="1"/>
    <n v="1"/>
    <n v="3"/>
    <n v="0"/>
  </r>
  <r>
    <n v="20927"/>
    <x v="1"/>
    <s v="Female"/>
    <n v="20000"/>
    <x v="2"/>
    <x v="2"/>
    <s v="Manual"/>
    <s v="Yes"/>
    <x v="2"/>
    <x v="0"/>
    <x v="0"/>
    <n v="27"/>
    <s v="No"/>
    <x v="4"/>
    <n v="1"/>
    <s v="$10k-30k"/>
    <n v="1"/>
    <x v="1"/>
    <n v="1"/>
    <n v="2"/>
    <n v="0"/>
  </r>
  <r>
    <n v="13133"/>
    <x v="1"/>
    <s v="Male"/>
    <n v="100000"/>
    <x v="2"/>
    <x v="0"/>
    <s v="Professional"/>
    <s v="Yes"/>
    <x v="1"/>
    <x v="2"/>
    <x v="1"/>
    <n v="47"/>
    <s v="Yes"/>
    <x v="0"/>
    <n v="3"/>
    <s v="$100k+"/>
    <n v="4"/>
    <x v="0"/>
    <n v="4"/>
    <n v="4"/>
    <n v="1"/>
  </r>
  <r>
    <n v="19626"/>
    <x v="0"/>
    <s v="Male"/>
    <n v="70000"/>
    <x v="2"/>
    <x v="1"/>
    <s v="Skilled Manual"/>
    <s v="Yes"/>
    <x v="4"/>
    <x v="2"/>
    <x v="1"/>
    <n v="45"/>
    <s v="No"/>
    <x v="0"/>
    <n v="3"/>
    <s v="$70k-90k"/>
    <n v="3"/>
    <x v="1"/>
    <n v="4"/>
    <n v="3"/>
    <n v="0"/>
  </r>
  <r>
    <n v="21039"/>
    <x v="1"/>
    <s v="Female"/>
    <n v="50000"/>
    <x v="3"/>
    <x v="4"/>
    <s v="Skilled Manual"/>
    <s v="No"/>
    <x v="0"/>
    <x v="0"/>
    <x v="0"/>
    <n v="37"/>
    <s v="Yes"/>
    <x v="2"/>
    <n v="2"/>
    <s v="$40k-60k"/>
    <n v="2"/>
    <x v="0"/>
    <n v="1"/>
    <n v="5"/>
    <n v="1"/>
  </r>
  <r>
    <n v="12231"/>
    <x v="1"/>
    <s v="Female"/>
    <n v="10000"/>
    <x v="4"/>
    <x v="1"/>
    <s v="Manual"/>
    <s v="Yes"/>
    <x v="0"/>
    <x v="0"/>
    <x v="0"/>
    <n v="51"/>
    <s v="Yes"/>
    <x v="1"/>
    <n v="4"/>
    <s v="$10k-30k"/>
    <n v="1"/>
    <x v="0"/>
    <n v="1"/>
    <n v="3"/>
    <n v="1"/>
  </r>
  <r>
    <n v="25665"/>
    <x v="1"/>
    <s v="Female"/>
    <n v="20000"/>
    <x v="3"/>
    <x v="2"/>
    <s v="Manual"/>
    <s v="No"/>
    <x v="1"/>
    <x v="3"/>
    <x v="0"/>
    <n v="28"/>
    <s v="No"/>
    <x v="4"/>
    <n v="1"/>
    <s v="$10k-30k"/>
    <n v="1"/>
    <x v="0"/>
    <n v="2"/>
    <n v="2"/>
    <n v="0"/>
  </r>
  <r>
    <n v="24061"/>
    <x v="0"/>
    <s v="Male"/>
    <n v="10000"/>
    <x v="5"/>
    <x v="3"/>
    <s v="Manual"/>
    <s v="Yes"/>
    <x v="1"/>
    <x v="0"/>
    <x v="0"/>
    <n v="40"/>
    <s v="Yes"/>
    <x v="2"/>
    <n v="2"/>
    <s v="$10k-30k"/>
    <n v="1"/>
    <x v="0"/>
    <n v="1"/>
    <n v="1"/>
    <n v="1"/>
  </r>
  <r>
    <n v="26879"/>
    <x v="1"/>
    <s v="Female"/>
    <n v="20000"/>
    <x v="3"/>
    <x v="2"/>
    <s v="Manual"/>
    <s v="No"/>
    <x v="1"/>
    <x v="1"/>
    <x v="0"/>
    <n v="30"/>
    <s v="No"/>
    <x v="4"/>
    <n v="1"/>
    <s v="$10k-30k"/>
    <n v="1"/>
    <x v="0"/>
    <n v="3"/>
    <n v="2"/>
    <n v="0"/>
  </r>
  <r>
    <n v="12284"/>
    <x v="0"/>
    <s v="Female"/>
    <n v="30000"/>
    <x v="3"/>
    <x v="0"/>
    <s v="Clerical"/>
    <s v="No"/>
    <x v="0"/>
    <x v="0"/>
    <x v="0"/>
    <n v="36"/>
    <s v="Yes"/>
    <x v="2"/>
    <n v="2"/>
    <s v="$10k-30k"/>
    <n v="1"/>
    <x v="0"/>
    <n v="1"/>
    <n v="4"/>
    <n v="1"/>
  </r>
  <r>
    <n v="26654"/>
    <x v="0"/>
    <s v="Female"/>
    <n v="90000"/>
    <x v="0"/>
    <x v="4"/>
    <s v="Management"/>
    <s v="Yes"/>
    <x v="0"/>
    <x v="0"/>
    <x v="1"/>
    <n v="37"/>
    <s v="Yes"/>
    <x v="2"/>
    <n v="2"/>
    <s v="$70k-90k"/>
    <n v="3"/>
    <x v="0"/>
    <n v="1"/>
    <n v="5"/>
    <n v="1"/>
  </r>
  <r>
    <n v="14545"/>
    <x v="0"/>
    <s v="Female"/>
    <n v="10000"/>
    <x v="4"/>
    <x v="1"/>
    <s v="Manual"/>
    <s v="Yes"/>
    <x v="0"/>
    <x v="3"/>
    <x v="0"/>
    <n v="49"/>
    <s v="No"/>
    <x v="0"/>
    <n v="3"/>
    <s v="$10k-30k"/>
    <n v="1"/>
    <x v="0"/>
    <n v="2"/>
    <n v="3"/>
    <n v="0"/>
  </r>
  <r>
    <n v="24201"/>
    <x v="0"/>
    <s v="Female"/>
    <n v="10000"/>
    <x v="4"/>
    <x v="2"/>
    <s v="Manual"/>
    <s v="Yes"/>
    <x v="0"/>
    <x v="0"/>
    <x v="0"/>
    <n v="37"/>
    <s v="Yes"/>
    <x v="2"/>
    <n v="2"/>
    <s v="$10k-30k"/>
    <n v="1"/>
    <x v="0"/>
    <n v="1"/>
    <n v="2"/>
    <n v="1"/>
  </r>
  <r>
    <n v="20625"/>
    <x v="0"/>
    <s v="Male"/>
    <n v="100000"/>
    <x v="3"/>
    <x v="2"/>
    <s v="Management"/>
    <s v="Yes"/>
    <x v="4"/>
    <x v="4"/>
    <x v="1"/>
    <n v="35"/>
    <s v="Yes"/>
    <x v="2"/>
    <n v="2"/>
    <s v="$100k+"/>
    <n v="4"/>
    <x v="1"/>
    <n v="5"/>
    <n v="2"/>
    <n v="1"/>
  </r>
  <r>
    <n v="16390"/>
    <x v="1"/>
    <s v="Male"/>
    <n v="30000"/>
    <x v="0"/>
    <x v="0"/>
    <s v="Clerical"/>
    <s v="No"/>
    <x v="0"/>
    <x v="0"/>
    <x v="0"/>
    <n v="38"/>
    <s v="Yes"/>
    <x v="2"/>
    <n v="2"/>
    <s v="$10k-30k"/>
    <n v="1"/>
    <x v="0"/>
    <n v="1"/>
    <n v="4"/>
    <n v="1"/>
  </r>
  <r>
    <n v="14804"/>
    <x v="1"/>
    <s v="Female"/>
    <n v="10000"/>
    <x v="1"/>
    <x v="3"/>
    <s v="Manual"/>
    <s v="Yes"/>
    <x v="2"/>
    <x v="0"/>
    <x v="0"/>
    <n v="43"/>
    <s v="No"/>
    <x v="0"/>
    <n v="3"/>
    <s v="$10k-30k"/>
    <n v="1"/>
    <x v="1"/>
    <n v="1"/>
    <n v="1"/>
    <n v="0"/>
  </r>
  <r>
    <n v="12629"/>
    <x v="1"/>
    <s v="Male"/>
    <n v="20000"/>
    <x v="0"/>
    <x v="1"/>
    <s v="Manual"/>
    <s v="No"/>
    <x v="0"/>
    <x v="0"/>
    <x v="0"/>
    <n v="37"/>
    <s v="No"/>
    <x v="2"/>
    <n v="2"/>
    <s v="$10k-30k"/>
    <n v="1"/>
    <x v="0"/>
    <n v="1"/>
    <n v="3"/>
    <n v="0"/>
  </r>
  <r>
    <n v="14696"/>
    <x v="1"/>
    <s v="Male"/>
    <n v="10000"/>
    <x v="3"/>
    <x v="3"/>
    <s v="Manual"/>
    <s v="No"/>
    <x v="2"/>
    <x v="0"/>
    <x v="0"/>
    <n v="34"/>
    <s v="No"/>
    <x v="2"/>
    <n v="2"/>
    <s v="$10k-30k"/>
    <n v="1"/>
    <x v="1"/>
    <n v="1"/>
    <n v="1"/>
    <n v="0"/>
  </r>
  <r>
    <n v="22005"/>
    <x v="0"/>
    <s v="Female"/>
    <n v="70000"/>
    <x v="2"/>
    <x v="1"/>
    <s v="Skilled Manual"/>
    <s v="No"/>
    <x v="4"/>
    <x v="2"/>
    <x v="1"/>
    <n v="46"/>
    <s v="No"/>
    <x v="0"/>
    <n v="3"/>
    <s v="$70k-90k"/>
    <n v="3"/>
    <x v="1"/>
    <n v="4"/>
    <n v="3"/>
    <n v="0"/>
  </r>
  <r>
    <n v="14544"/>
    <x v="1"/>
    <s v="Male"/>
    <n v="10000"/>
    <x v="0"/>
    <x v="1"/>
    <s v="Manual"/>
    <s v="Yes"/>
    <x v="0"/>
    <x v="0"/>
    <x v="0"/>
    <n v="49"/>
    <s v="No"/>
    <x v="0"/>
    <n v="3"/>
    <s v="$10k-30k"/>
    <n v="1"/>
    <x v="0"/>
    <n v="1"/>
    <n v="3"/>
    <n v="0"/>
  </r>
  <r>
    <n v="14312"/>
    <x v="0"/>
    <s v="Female"/>
    <n v="60000"/>
    <x v="0"/>
    <x v="1"/>
    <s v="Skilled Manual"/>
    <s v="Yes"/>
    <x v="1"/>
    <x v="2"/>
    <x v="1"/>
    <n v="45"/>
    <s v="No"/>
    <x v="0"/>
    <n v="3"/>
    <s v="$40k-60k"/>
    <n v="2"/>
    <x v="0"/>
    <n v="4"/>
    <n v="3"/>
    <n v="0"/>
  </r>
  <r>
    <n v="29120"/>
    <x v="1"/>
    <s v="Female"/>
    <n v="100000"/>
    <x v="0"/>
    <x v="0"/>
    <s v="Management"/>
    <s v="Yes"/>
    <x v="3"/>
    <x v="1"/>
    <x v="1"/>
    <n v="48"/>
    <s v="No"/>
    <x v="0"/>
    <n v="3"/>
    <s v="$100k+"/>
    <n v="4"/>
    <x v="1"/>
    <n v="3"/>
    <n v="4"/>
    <n v="0"/>
  </r>
  <r>
    <n v="24187"/>
    <x v="1"/>
    <s v="Female"/>
    <n v="30000"/>
    <x v="1"/>
    <x v="4"/>
    <s v="Clerical"/>
    <s v="No"/>
    <x v="0"/>
    <x v="0"/>
    <x v="0"/>
    <n v="46"/>
    <s v="Yes"/>
    <x v="0"/>
    <n v="3"/>
    <s v="$10k-30k"/>
    <n v="1"/>
    <x v="0"/>
    <n v="1"/>
    <n v="5"/>
    <n v="1"/>
  </r>
  <r>
    <n v="15758"/>
    <x v="0"/>
    <s v="Male"/>
    <n v="130000"/>
    <x v="3"/>
    <x v="4"/>
    <s v="Management"/>
    <s v="Yes"/>
    <x v="0"/>
    <x v="2"/>
    <x v="1"/>
    <n v="48"/>
    <s v="No"/>
    <x v="0"/>
    <n v="3"/>
    <s v="$100k+"/>
    <n v="4"/>
    <x v="0"/>
    <n v="4"/>
    <n v="5"/>
    <n v="0"/>
  </r>
  <r>
    <n v="29094"/>
    <x v="0"/>
    <s v="Male"/>
    <n v="30000"/>
    <x v="1"/>
    <x v="2"/>
    <s v="Skilled Manual"/>
    <s v="Yes"/>
    <x v="2"/>
    <x v="2"/>
    <x v="1"/>
    <n v="54"/>
    <s v="Yes"/>
    <x v="1"/>
    <n v="4"/>
    <s v="$10k-30k"/>
    <n v="1"/>
    <x v="1"/>
    <n v="4"/>
    <n v="2"/>
    <n v="1"/>
  </r>
  <r>
    <n v="28319"/>
    <x v="1"/>
    <s v="Female"/>
    <n v="60000"/>
    <x v="0"/>
    <x v="1"/>
    <s v="Skilled Manual"/>
    <s v="No"/>
    <x v="1"/>
    <x v="0"/>
    <x v="1"/>
    <n v="46"/>
    <s v="Yes"/>
    <x v="0"/>
    <n v="3"/>
    <s v="$40k-60k"/>
    <n v="2"/>
    <x v="0"/>
    <n v="1"/>
    <n v="3"/>
    <n v="1"/>
  </r>
  <r>
    <n v="16406"/>
    <x v="0"/>
    <s v="Male"/>
    <n v="40000"/>
    <x v="3"/>
    <x v="0"/>
    <s v="Clerical"/>
    <s v="No"/>
    <x v="0"/>
    <x v="0"/>
    <x v="0"/>
    <n v="38"/>
    <s v="Yes"/>
    <x v="2"/>
    <n v="2"/>
    <s v="$40k-60k"/>
    <n v="2"/>
    <x v="0"/>
    <n v="1"/>
    <n v="4"/>
    <n v="1"/>
  </r>
  <r>
    <n v="20923"/>
    <x v="0"/>
    <s v="Female"/>
    <n v="40000"/>
    <x v="0"/>
    <x v="0"/>
    <s v="Skilled Manual"/>
    <s v="Yes"/>
    <x v="0"/>
    <x v="0"/>
    <x v="0"/>
    <n v="42"/>
    <s v="Yes"/>
    <x v="0"/>
    <n v="3"/>
    <s v="$40k-60k"/>
    <n v="2"/>
    <x v="0"/>
    <n v="1"/>
    <n v="4"/>
    <n v="1"/>
  </r>
  <r>
    <n v="11378"/>
    <x v="1"/>
    <s v="Female"/>
    <n v="10000"/>
    <x v="0"/>
    <x v="2"/>
    <s v="Manual"/>
    <s v="No"/>
    <x v="1"/>
    <x v="1"/>
    <x v="0"/>
    <n v="46"/>
    <s v="Yes"/>
    <x v="0"/>
    <n v="3"/>
    <s v="$10k-30k"/>
    <n v="1"/>
    <x v="0"/>
    <n v="3"/>
    <n v="2"/>
    <n v="1"/>
  </r>
  <r>
    <n v="20851"/>
    <x v="1"/>
    <s v="Male"/>
    <n v="20000"/>
    <x v="3"/>
    <x v="1"/>
    <s v="Manual"/>
    <s v="No"/>
    <x v="1"/>
    <x v="1"/>
    <x v="0"/>
    <n v="36"/>
    <s v="Yes"/>
    <x v="2"/>
    <n v="2"/>
    <s v="$10k-30k"/>
    <n v="1"/>
    <x v="0"/>
    <n v="3"/>
    <n v="3"/>
    <n v="1"/>
  </r>
  <r>
    <n v="21557"/>
    <x v="1"/>
    <s v="Female"/>
    <n v="110000"/>
    <x v="3"/>
    <x v="1"/>
    <s v="Management"/>
    <s v="Yes"/>
    <x v="4"/>
    <x v="4"/>
    <x v="1"/>
    <n v="32"/>
    <s v="Yes"/>
    <x v="2"/>
    <n v="2"/>
    <s v="$100k+"/>
    <n v="4"/>
    <x v="1"/>
    <n v="5"/>
    <n v="3"/>
    <n v="1"/>
  </r>
  <r>
    <n v="26663"/>
    <x v="1"/>
    <s v="Female"/>
    <n v="60000"/>
    <x v="4"/>
    <x v="0"/>
    <s v="Professional"/>
    <s v="No"/>
    <x v="1"/>
    <x v="0"/>
    <x v="1"/>
    <n v="39"/>
    <s v="Yes"/>
    <x v="2"/>
    <n v="2"/>
    <s v="$40k-60k"/>
    <n v="2"/>
    <x v="0"/>
    <n v="1"/>
    <n v="4"/>
    <n v="1"/>
  </r>
  <r>
    <n v="11896"/>
    <x v="0"/>
    <s v="Male"/>
    <n v="100000"/>
    <x v="0"/>
    <x v="4"/>
    <s v="Management"/>
    <s v="Yes"/>
    <x v="0"/>
    <x v="1"/>
    <x v="1"/>
    <n v="36"/>
    <s v="Yes"/>
    <x v="2"/>
    <n v="2"/>
    <s v="$100k+"/>
    <n v="4"/>
    <x v="0"/>
    <n v="3"/>
    <n v="5"/>
    <n v="1"/>
  </r>
  <r>
    <n v="14189"/>
    <x v="0"/>
    <s v="Female"/>
    <n v="90000"/>
    <x v="5"/>
    <x v="2"/>
    <s v="Professional"/>
    <s v="No"/>
    <x v="2"/>
    <x v="1"/>
    <x v="0"/>
    <n v="54"/>
    <s v="Yes"/>
    <x v="1"/>
    <n v="4"/>
    <s v="$70k-90k"/>
    <n v="3"/>
    <x v="1"/>
    <n v="3"/>
    <n v="2"/>
    <n v="1"/>
  </r>
  <r>
    <n v="13136"/>
    <x v="0"/>
    <s v="Female"/>
    <n v="30000"/>
    <x v="4"/>
    <x v="1"/>
    <s v="Clerical"/>
    <s v="No"/>
    <x v="2"/>
    <x v="2"/>
    <x v="1"/>
    <n v="69"/>
    <s v="No"/>
    <x v="3"/>
    <n v="5"/>
    <s v="$10k-30k"/>
    <n v="1"/>
    <x v="1"/>
    <n v="4"/>
    <n v="3"/>
    <n v="0"/>
  </r>
  <r>
    <n v="25906"/>
    <x v="1"/>
    <s v="Female"/>
    <n v="10000"/>
    <x v="2"/>
    <x v="2"/>
    <s v="Skilled Manual"/>
    <s v="No"/>
    <x v="2"/>
    <x v="3"/>
    <x v="1"/>
    <n v="62"/>
    <s v="No"/>
    <x v="3"/>
    <n v="5"/>
    <s v="$10k-30k"/>
    <n v="1"/>
    <x v="1"/>
    <n v="2"/>
    <n v="2"/>
    <n v="0"/>
  </r>
  <r>
    <n v="17926"/>
    <x v="1"/>
    <s v="Female"/>
    <n v="40000"/>
    <x v="3"/>
    <x v="0"/>
    <s v="Clerical"/>
    <s v="No"/>
    <x v="0"/>
    <x v="0"/>
    <x v="1"/>
    <n v="28"/>
    <s v="Yes"/>
    <x v="4"/>
    <n v="1"/>
    <s v="$40k-60k"/>
    <n v="2"/>
    <x v="0"/>
    <n v="1"/>
    <n v="4"/>
    <n v="1"/>
  </r>
  <r>
    <n v="26928"/>
    <x v="1"/>
    <s v="Male"/>
    <n v="30000"/>
    <x v="0"/>
    <x v="0"/>
    <s v="Clerical"/>
    <s v="Yes"/>
    <x v="0"/>
    <x v="0"/>
    <x v="0"/>
    <n v="62"/>
    <s v="Yes"/>
    <x v="3"/>
    <n v="5"/>
    <s v="$10k-30k"/>
    <n v="1"/>
    <x v="0"/>
    <n v="1"/>
    <n v="4"/>
    <n v="1"/>
  </r>
  <r>
    <n v="20897"/>
    <x v="0"/>
    <s v="Female"/>
    <n v="30000"/>
    <x v="0"/>
    <x v="0"/>
    <s v="Skilled Manual"/>
    <s v="Yes"/>
    <x v="2"/>
    <x v="0"/>
    <x v="0"/>
    <n v="40"/>
    <s v="No"/>
    <x v="2"/>
    <n v="2"/>
    <s v="$10k-30k"/>
    <n v="1"/>
    <x v="1"/>
    <n v="1"/>
    <n v="4"/>
    <n v="0"/>
  </r>
  <r>
    <n v="28207"/>
    <x v="0"/>
    <s v="Male"/>
    <n v="80000"/>
    <x v="5"/>
    <x v="4"/>
    <s v="Management"/>
    <s v="Yes"/>
    <x v="1"/>
    <x v="0"/>
    <x v="1"/>
    <n v="36"/>
    <s v="Yes"/>
    <x v="2"/>
    <n v="2"/>
    <s v="$70k-90k"/>
    <n v="3"/>
    <x v="0"/>
    <n v="1"/>
    <n v="5"/>
    <n v="1"/>
  </r>
  <r>
    <n v="25923"/>
    <x v="1"/>
    <s v="Male"/>
    <n v="10000"/>
    <x v="4"/>
    <x v="3"/>
    <s v="Clerical"/>
    <s v="Yes"/>
    <x v="2"/>
    <x v="2"/>
    <x v="1"/>
    <n v="58"/>
    <s v="No"/>
    <x v="1"/>
    <n v="4"/>
    <s v="$10k-30k"/>
    <n v="1"/>
    <x v="1"/>
    <n v="4"/>
    <n v="1"/>
    <n v="0"/>
  </r>
  <r>
    <n v="11000"/>
    <x v="0"/>
    <s v="Male"/>
    <n v="90000"/>
    <x v="4"/>
    <x v="0"/>
    <s v="Professional"/>
    <s v="Yes"/>
    <x v="0"/>
    <x v="3"/>
    <x v="1"/>
    <n v="40"/>
    <s v="Yes"/>
    <x v="2"/>
    <n v="2"/>
    <s v="$70k-90k"/>
    <n v="3"/>
    <x v="0"/>
    <n v="2"/>
    <n v="4"/>
    <n v="1"/>
  </r>
  <r>
    <n v="20974"/>
    <x v="0"/>
    <s v="Male"/>
    <n v="10000"/>
    <x v="4"/>
    <x v="0"/>
    <s v="Clerical"/>
    <s v="Yes"/>
    <x v="1"/>
    <x v="0"/>
    <x v="0"/>
    <n v="66"/>
    <s v="No"/>
    <x v="3"/>
    <n v="5"/>
    <s v="$10k-30k"/>
    <n v="1"/>
    <x v="0"/>
    <n v="1"/>
    <n v="4"/>
    <n v="0"/>
  </r>
  <r>
    <n v="28758"/>
    <x v="0"/>
    <s v="Male"/>
    <n v="40000"/>
    <x v="4"/>
    <x v="1"/>
    <s v="Clerical"/>
    <s v="Yes"/>
    <x v="1"/>
    <x v="3"/>
    <x v="0"/>
    <n v="35"/>
    <s v="Yes"/>
    <x v="2"/>
    <n v="2"/>
    <s v="$40k-60k"/>
    <n v="2"/>
    <x v="0"/>
    <n v="2"/>
    <n v="3"/>
    <n v="1"/>
  </r>
  <r>
    <n v="11381"/>
    <x v="0"/>
    <s v="Female"/>
    <n v="20000"/>
    <x v="4"/>
    <x v="1"/>
    <s v="Manual"/>
    <s v="Yes"/>
    <x v="1"/>
    <x v="1"/>
    <x v="0"/>
    <n v="47"/>
    <s v="Yes"/>
    <x v="0"/>
    <n v="3"/>
    <s v="$10k-30k"/>
    <n v="1"/>
    <x v="0"/>
    <n v="3"/>
    <n v="3"/>
    <n v="1"/>
  </r>
  <r>
    <n v="17522"/>
    <x v="0"/>
    <s v="Male"/>
    <n v="120000"/>
    <x v="5"/>
    <x v="0"/>
    <s v="Management"/>
    <s v="Yes"/>
    <x v="1"/>
    <x v="1"/>
    <x v="1"/>
    <n v="47"/>
    <s v="No"/>
    <x v="0"/>
    <n v="3"/>
    <s v="$100k+"/>
    <n v="4"/>
    <x v="0"/>
    <n v="3"/>
    <n v="4"/>
    <n v="0"/>
  </r>
  <r>
    <n v="21207"/>
    <x v="0"/>
    <s v="Male"/>
    <n v="60000"/>
    <x v="0"/>
    <x v="1"/>
    <s v="Skilled Manual"/>
    <s v="Yes"/>
    <x v="1"/>
    <x v="2"/>
    <x v="1"/>
    <n v="46"/>
    <s v="No"/>
    <x v="0"/>
    <n v="3"/>
    <s v="$40k-60k"/>
    <n v="2"/>
    <x v="0"/>
    <n v="4"/>
    <n v="3"/>
    <n v="0"/>
  </r>
  <r>
    <n v="28102"/>
    <x v="0"/>
    <s v="Male"/>
    <n v="20000"/>
    <x v="5"/>
    <x v="2"/>
    <s v="Skilled Manual"/>
    <s v="Yes"/>
    <x v="2"/>
    <x v="2"/>
    <x v="1"/>
    <n v="58"/>
    <s v="Yes"/>
    <x v="1"/>
    <n v="4"/>
    <s v="$10k-30k"/>
    <n v="1"/>
    <x v="1"/>
    <n v="4"/>
    <n v="2"/>
    <n v="1"/>
  </r>
  <r>
    <n v="23105"/>
    <x v="1"/>
    <s v="Male"/>
    <n v="40000"/>
    <x v="1"/>
    <x v="3"/>
    <s v="Clerical"/>
    <s v="No"/>
    <x v="2"/>
    <x v="2"/>
    <x v="1"/>
    <n v="52"/>
    <s v="Yes"/>
    <x v="1"/>
    <n v="4"/>
    <s v="$40k-60k"/>
    <n v="2"/>
    <x v="1"/>
    <n v="4"/>
    <n v="1"/>
    <n v="1"/>
  </r>
  <r>
    <n v="18740"/>
    <x v="0"/>
    <s v="Male"/>
    <n v="80000"/>
    <x v="2"/>
    <x v="0"/>
    <s v="Professional"/>
    <s v="No"/>
    <x v="1"/>
    <x v="0"/>
    <x v="1"/>
    <n v="47"/>
    <s v="Yes"/>
    <x v="0"/>
    <n v="3"/>
    <s v="$70k-90k"/>
    <n v="3"/>
    <x v="0"/>
    <n v="1"/>
    <n v="4"/>
    <n v="1"/>
  </r>
  <r>
    <n v="21213"/>
    <x v="1"/>
    <s v="Male"/>
    <n v="70000"/>
    <x v="3"/>
    <x v="0"/>
    <s v="Professional"/>
    <s v="No"/>
    <x v="1"/>
    <x v="2"/>
    <x v="1"/>
    <n v="41"/>
    <s v="No"/>
    <x v="0"/>
    <n v="3"/>
    <s v="$70k-90k"/>
    <n v="3"/>
    <x v="0"/>
    <n v="4"/>
    <n v="4"/>
    <n v="0"/>
  </r>
  <r>
    <n v="17352"/>
    <x v="0"/>
    <s v="Male"/>
    <n v="50000"/>
    <x v="4"/>
    <x v="4"/>
    <s v="Management"/>
    <s v="Yes"/>
    <x v="1"/>
    <x v="2"/>
    <x v="1"/>
    <n v="64"/>
    <s v="Yes"/>
    <x v="3"/>
    <n v="5"/>
    <s v="$40k-60k"/>
    <n v="2"/>
    <x v="0"/>
    <n v="4"/>
    <n v="5"/>
    <n v="1"/>
  </r>
  <r>
    <n v="14154"/>
    <x v="0"/>
    <s v="Male"/>
    <n v="30000"/>
    <x v="3"/>
    <x v="0"/>
    <s v="Clerical"/>
    <s v="Yes"/>
    <x v="0"/>
    <x v="0"/>
    <x v="0"/>
    <n v="35"/>
    <s v="Yes"/>
    <x v="2"/>
    <n v="2"/>
    <s v="$10k-30k"/>
    <n v="1"/>
    <x v="0"/>
    <n v="1"/>
    <n v="4"/>
    <n v="1"/>
  </r>
  <r>
    <n v="19066"/>
    <x v="0"/>
    <s v="Male"/>
    <n v="130000"/>
    <x v="5"/>
    <x v="1"/>
    <s v="Professional"/>
    <s v="No"/>
    <x v="4"/>
    <x v="4"/>
    <x v="0"/>
    <n v="54"/>
    <s v="No"/>
    <x v="1"/>
    <n v="4"/>
    <s v="$100k+"/>
    <n v="4"/>
    <x v="1"/>
    <n v="5"/>
    <n v="3"/>
    <n v="0"/>
  </r>
  <r>
    <n v="11386"/>
    <x v="0"/>
    <s v="Female"/>
    <n v="30000"/>
    <x v="1"/>
    <x v="0"/>
    <s v="Clerical"/>
    <s v="Yes"/>
    <x v="0"/>
    <x v="0"/>
    <x v="0"/>
    <n v="45"/>
    <s v="No"/>
    <x v="0"/>
    <n v="3"/>
    <s v="$10k-30k"/>
    <n v="1"/>
    <x v="0"/>
    <n v="1"/>
    <n v="4"/>
    <n v="0"/>
  </r>
  <r>
    <n v="20228"/>
    <x v="0"/>
    <s v="Male"/>
    <n v="100000"/>
    <x v="3"/>
    <x v="4"/>
    <s v="Management"/>
    <s v="Yes"/>
    <x v="0"/>
    <x v="1"/>
    <x v="1"/>
    <n v="40"/>
    <s v="Yes"/>
    <x v="2"/>
    <n v="2"/>
    <s v="$100k+"/>
    <n v="4"/>
    <x v="0"/>
    <n v="3"/>
    <n v="5"/>
    <n v="1"/>
  </r>
  <r>
    <n v="16675"/>
    <x v="1"/>
    <s v="Female"/>
    <n v="160000"/>
    <x v="3"/>
    <x v="4"/>
    <s v="Management"/>
    <s v="No"/>
    <x v="4"/>
    <x v="0"/>
    <x v="1"/>
    <n v="47"/>
    <s v="Yes"/>
    <x v="0"/>
    <n v="3"/>
    <s v="$100k+"/>
    <n v="4"/>
    <x v="1"/>
    <n v="1"/>
    <n v="5"/>
    <n v="1"/>
  </r>
  <r>
    <n v="16410"/>
    <x v="1"/>
    <s v="Female"/>
    <n v="10000"/>
    <x v="5"/>
    <x v="3"/>
    <s v="Manual"/>
    <s v="Yes"/>
    <x v="2"/>
    <x v="0"/>
    <x v="0"/>
    <n v="41"/>
    <s v="Yes"/>
    <x v="0"/>
    <n v="3"/>
    <s v="$10k-30k"/>
    <n v="1"/>
    <x v="1"/>
    <n v="1"/>
    <n v="1"/>
    <n v="1"/>
  </r>
  <r>
    <n v="27760"/>
    <x v="1"/>
    <s v="Female"/>
    <n v="40000"/>
    <x v="3"/>
    <x v="4"/>
    <s v="Clerical"/>
    <s v="No"/>
    <x v="0"/>
    <x v="0"/>
    <x v="0"/>
    <n v="37"/>
    <s v="Yes"/>
    <x v="2"/>
    <n v="2"/>
    <s v="$40k-60k"/>
    <n v="2"/>
    <x v="0"/>
    <n v="1"/>
    <n v="5"/>
    <n v="1"/>
  </r>
  <r>
    <n v="22930"/>
    <x v="0"/>
    <s v="Male"/>
    <n v="90000"/>
    <x v="5"/>
    <x v="0"/>
    <s v="Professional"/>
    <s v="Yes"/>
    <x v="0"/>
    <x v="3"/>
    <x v="1"/>
    <n v="38"/>
    <s v="Yes"/>
    <x v="2"/>
    <n v="2"/>
    <s v="$70k-90k"/>
    <n v="3"/>
    <x v="0"/>
    <n v="2"/>
    <n v="4"/>
    <n v="1"/>
  </r>
  <r>
    <n v="23780"/>
    <x v="1"/>
    <s v="Male"/>
    <n v="40000"/>
    <x v="4"/>
    <x v="1"/>
    <s v="Clerical"/>
    <s v="No"/>
    <x v="2"/>
    <x v="0"/>
    <x v="0"/>
    <n v="36"/>
    <s v="Yes"/>
    <x v="2"/>
    <n v="2"/>
    <s v="$40k-60k"/>
    <n v="2"/>
    <x v="1"/>
    <n v="1"/>
    <n v="3"/>
    <n v="1"/>
  </r>
  <r>
    <n v="20994"/>
    <x v="0"/>
    <s v="Female"/>
    <n v="20000"/>
    <x v="3"/>
    <x v="0"/>
    <s v="Clerical"/>
    <s v="No"/>
    <x v="0"/>
    <x v="0"/>
    <x v="1"/>
    <n v="26"/>
    <s v="Yes"/>
    <x v="4"/>
    <n v="1"/>
    <s v="$10k-30k"/>
    <n v="1"/>
    <x v="0"/>
    <n v="1"/>
    <n v="4"/>
    <n v="1"/>
  </r>
  <r>
    <n v="28379"/>
    <x v="0"/>
    <s v="Male"/>
    <n v="30000"/>
    <x v="0"/>
    <x v="0"/>
    <s v="Skilled Manual"/>
    <s v="Yes"/>
    <x v="2"/>
    <x v="0"/>
    <x v="0"/>
    <n v="40"/>
    <s v="No"/>
    <x v="2"/>
    <n v="2"/>
    <s v="$10k-30k"/>
    <n v="1"/>
    <x v="1"/>
    <n v="1"/>
    <n v="4"/>
    <n v="0"/>
  </r>
  <r>
    <n v="14865"/>
    <x v="1"/>
    <s v="Male"/>
    <n v="40000"/>
    <x v="4"/>
    <x v="1"/>
    <s v="Clerical"/>
    <s v="Yes"/>
    <x v="2"/>
    <x v="3"/>
    <x v="0"/>
    <n v="36"/>
    <s v="No"/>
    <x v="2"/>
    <n v="2"/>
    <s v="$40k-60k"/>
    <n v="2"/>
    <x v="1"/>
    <n v="2"/>
    <n v="3"/>
    <n v="0"/>
  </r>
  <r>
    <n v="12663"/>
    <x v="0"/>
    <s v="Female"/>
    <n v="90000"/>
    <x v="2"/>
    <x v="3"/>
    <s v="Skilled Manual"/>
    <s v="Yes"/>
    <x v="2"/>
    <x v="4"/>
    <x v="0"/>
    <n v="59"/>
    <s v="No"/>
    <x v="1"/>
    <n v="4"/>
    <s v="$70k-90k"/>
    <n v="3"/>
    <x v="1"/>
    <n v="5"/>
    <n v="1"/>
    <n v="0"/>
  </r>
  <r>
    <n v="24898"/>
    <x v="1"/>
    <s v="Female"/>
    <n v="80000"/>
    <x v="3"/>
    <x v="0"/>
    <s v="Professional"/>
    <s v="Yes"/>
    <x v="4"/>
    <x v="4"/>
    <x v="1"/>
    <n v="32"/>
    <s v="No"/>
    <x v="2"/>
    <n v="2"/>
    <s v="$70k-90k"/>
    <n v="3"/>
    <x v="1"/>
    <n v="5"/>
    <n v="4"/>
    <n v="0"/>
  </r>
  <r>
    <n v="19508"/>
    <x v="0"/>
    <s v="Male"/>
    <n v="10000"/>
    <x v="3"/>
    <x v="3"/>
    <s v="Manual"/>
    <s v="No"/>
    <x v="2"/>
    <x v="0"/>
    <x v="0"/>
    <n v="30"/>
    <s v="No"/>
    <x v="4"/>
    <n v="1"/>
    <s v="$10k-30k"/>
    <n v="1"/>
    <x v="1"/>
    <n v="1"/>
    <n v="1"/>
    <n v="0"/>
  </r>
  <r>
    <n v="11489"/>
    <x v="1"/>
    <s v="Female"/>
    <n v="20000"/>
    <x v="3"/>
    <x v="3"/>
    <s v="Manual"/>
    <s v="No"/>
    <x v="2"/>
    <x v="3"/>
    <x v="0"/>
    <n v="35"/>
    <s v="Yes"/>
    <x v="2"/>
    <n v="2"/>
    <s v="$10k-30k"/>
    <n v="1"/>
    <x v="1"/>
    <n v="2"/>
    <n v="1"/>
    <n v="1"/>
  </r>
  <r>
    <n v="18160"/>
    <x v="0"/>
    <s v="Male"/>
    <n v="130000"/>
    <x v="1"/>
    <x v="2"/>
    <s v="Professional"/>
    <s v="Yes"/>
    <x v="3"/>
    <x v="2"/>
    <x v="0"/>
    <n v="51"/>
    <s v="Yes"/>
    <x v="1"/>
    <n v="4"/>
    <s v="$100k+"/>
    <n v="4"/>
    <x v="1"/>
    <n v="4"/>
    <n v="2"/>
    <n v="1"/>
  </r>
  <r>
    <n v="25241"/>
    <x v="0"/>
    <s v="Male"/>
    <n v="90000"/>
    <x v="4"/>
    <x v="0"/>
    <s v="Professional"/>
    <s v="Yes"/>
    <x v="1"/>
    <x v="2"/>
    <x v="1"/>
    <n v="47"/>
    <s v="No"/>
    <x v="0"/>
    <n v="3"/>
    <s v="$70k-90k"/>
    <n v="3"/>
    <x v="0"/>
    <n v="4"/>
    <n v="4"/>
    <n v="0"/>
  </r>
  <r>
    <n v="24369"/>
    <x v="0"/>
    <s v="Male"/>
    <n v="80000"/>
    <x v="2"/>
    <x v="4"/>
    <s v="Management"/>
    <s v="No"/>
    <x v="2"/>
    <x v="0"/>
    <x v="1"/>
    <n v="39"/>
    <s v="No"/>
    <x v="2"/>
    <n v="2"/>
    <s v="$70k-90k"/>
    <n v="3"/>
    <x v="1"/>
    <n v="1"/>
    <n v="5"/>
    <n v="0"/>
  </r>
  <r>
    <n v="27165"/>
    <x v="1"/>
    <s v="Male"/>
    <n v="20000"/>
    <x v="3"/>
    <x v="3"/>
    <s v="Manual"/>
    <s v="No"/>
    <x v="2"/>
    <x v="0"/>
    <x v="0"/>
    <n v="34"/>
    <s v="No"/>
    <x v="2"/>
    <n v="2"/>
    <s v="$10k-30k"/>
    <n v="1"/>
    <x v="1"/>
    <n v="1"/>
    <n v="1"/>
    <n v="0"/>
  </r>
  <r>
    <n v="29424"/>
    <x v="0"/>
    <s v="Male"/>
    <n v="10000"/>
    <x v="3"/>
    <x v="3"/>
    <s v="Manual"/>
    <s v="Yes"/>
    <x v="2"/>
    <x v="0"/>
    <x v="0"/>
    <n v="32"/>
    <s v="No"/>
    <x v="2"/>
    <n v="2"/>
    <s v="$10k-30k"/>
    <n v="1"/>
    <x v="1"/>
    <n v="1"/>
    <n v="1"/>
    <n v="0"/>
  </r>
  <r>
    <n v="15926"/>
    <x v="1"/>
    <s v="Female"/>
    <n v="120000"/>
    <x v="1"/>
    <x v="2"/>
    <s v="Professional"/>
    <s v="Yes"/>
    <x v="3"/>
    <x v="2"/>
    <x v="0"/>
    <n v="50"/>
    <s v="Yes"/>
    <x v="0"/>
    <n v="3"/>
    <s v="$100k+"/>
    <n v="4"/>
    <x v="1"/>
    <n v="4"/>
    <n v="2"/>
    <n v="1"/>
  </r>
  <r>
    <n v="14554"/>
    <x v="0"/>
    <s v="Male"/>
    <n v="20000"/>
    <x v="0"/>
    <x v="0"/>
    <s v="Clerical"/>
    <s v="Yes"/>
    <x v="0"/>
    <x v="0"/>
    <x v="0"/>
    <n v="66"/>
    <s v="No"/>
    <x v="3"/>
    <n v="5"/>
    <s v="$10k-30k"/>
    <n v="1"/>
    <x v="0"/>
    <n v="1"/>
    <n v="4"/>
    <n v="0"/>
  </r>
  <r>
    <n v="16468"/>
    <x v="1"/>
    <s v="Male"/>
    <n v="30000"/>
    <x v="3"/>
    <x v="1"/>
    <s v="Clerical"/>
    <s v="Yes"/>
    <x v="1"/>
    <x v="1"/>
    <x v="0"/>
    <n v="30"/>
    <s v="No"/>
    <x v="4"/>
    <n v="1"/>
    <s v="$10k-30k"/>
    <n v="1"/>
    <x v="0"/>
    <n v="3"/>
    <n v="3"/>
    <n v="0"/>
  </r>
  <r>
    <n v="19174"/>
    <x v="1"/>
    <s v="Female"/>
    <n v="30000"/>
    <x v="3"/>
    <x v="2"/>
    <s v="Manual"/>
    <s v="No"/>
    <x v="1"/>
    <x v="1"/>
    <x v="0"/>
    <n v="32"/>
    <s v="Yes"/>
    <x v="2"/>
    <n v="2"/>
    <s v="$10k-30k"/>
    <n v="1"/>
    <x v="0"/>
    <n v="3"/>
    <n v="2"/>
    <n v="1"/>
  </r>
  <r>
    <n v="19183"/>
    <x v="1"/>
    <s v="Male"/>
    <n v="10000"/>
    <x v="3"/>
    <x v="3"/>
    <s v="Manual"/>
    <s v="Yes"/>
    <x v="2"/>
    <x v="3"/>
    <x v="0"/>
    <n v="35"/>
    <s v="No"/>
    <x v="2"/>
    <n v="2"/>
    <s v="$10k-30k"/>
    <n v="1"/>
    <x v="1"/>
    <n v="2"/>
    <n v="1"/>
    <n v="0"/>
  </r>
  <r>
    <n v="13683"/>
    <x v="1"/>
    <s v="Female"/>
    <n v="30000"/>
    <x v="3"/>
    <x v="2"/>
    <s v="Manual"/>
    <s v="No"/>
    <x v="1"/>
    <x v="1"/>
    <x v="0"/>
    <n v="32"/>
    <s v="No"/>
    <x v="2"/>
    <n v="2"/>
    <s v="$10k-30k"/>
    <n v="1"/>
    <x v="0"/>
    <n v="3"/>
    <n v="2"/>
    <n v="0"/>
  </r>
  <r>
    <n v="17848"/>
    <x v="1"/>
    <s v="Male"/>
    <n v="30000"/>
    <x v="3"/>
    <x v="1"/>
    <s v="Clerical"/>
    <s v="No"/>
    <x v="1"/>
    <x v="1"/>
    <x v="0"/>
    <n v="31"/>
    <s v="Yes"/>
    <x v="2"/>
    <n v="2"/>
    <s v="$10k-30k"/>
    <n v="1"/>
    <x v="0"/>
    <n v="3"/>
    <n v="3"/>
    <n v="1"/>
  </r>
  <r>
    <n v="17894"/>
    <x v="0"/>
    <s v="Female"/>
    <n v="20000"/>
    <x v="0"/>
    <x v="0"/>
    <s v="Clerical"/>
    <s v="Yes"/>
    <x v="0"/>
    <x v="0"/>
    <x v="0"/>
    <n v="50"/>
    <s v="Yes"/>
    <x v="0"/>
    <n v="3"/>
    <s v="$10k-30k"/>
    <n v="1"/>
    <x v="0"/>
    <n v="1"/>
    <n v="4"/>
    <n v="1"/>
  </r>
  <r>
    <n v="25651"/>
    <x v="0"/>
    <s v="Male"/>
    <n v="40000"/>
    <x v="0"/>
    <x v="0"/>
    <s v="Skilled Manual"/>
    <s v="No"/>
    <x v="0"/>
    <x v="0"/>
    <x v="0"/>
    <n v="43"/>
    <s v="Yes"/>
    <x v="0"/>
    <n v="3"/>
    <s v="$40k-60k"/>
    <n v="2"/>
    <x v="0"/>
    <n v="1"/>
    <n v="4"/>
    <n v="1"/>
  </r>
  <r>
    <n v="22936"/>
    <x v="1"/>
    <s v="Female"/>
    <n v="60000"/>
    <x v="0"/>
    <x v="1"/>
    <s v="Skilled Manual"/>
    <s v="No"/>
    <x v="1"/>
    <x v="0"/>
    <x v="1"/>
    <n v="45"/>
    <s v="Yes"/>
    <x v="0"/>
    <n v="3"/>
    <s v="$40k-60k"/>
    <n v="2"/>
    <x v="0"/>
    <n v="1"/>
    <n v="3"/>
    <n v="1"/>
  </r>
  <r>
    <n v="23915"/>
    <x v="0"/>
    <s v="Male"/>
    <n v="20000"/>
    <x v="4"/>
    <x v="2"/>
    <s v="Manual"/>
    <s v="Yes"/>
    <x v="2"/>
    <x v="0"/>
    <x v="0"/>
    <n v="42"/>
    <s v="No"/>
    <x v="0"/>
    <n v="3"/>
    <s v="$10k-30k"/>
    <n v="1"/>
    <x v="1"/>
    <n v="1"/>
    <n v="2"/>
    <n v="0"/>
  </r>
  <r>
    <n v="24121"/>
    <x v="1"/>
    <s v="Female"/>
    <n v="30000"/>
    <x v="3"/>
    <x v="1"/>
    <s v="Clerical"/>
    <s v="No"/>
    <x v="1"/>
    <x v="0"/>
    <x v="0"/>
    <n v="29"/>
    <s v="Yes"/>
    <x v="4"/>
    <n v="1"/>
    <s v="$10k-30k"/>
    <n v="1"/>
    <x v="0"/>
    <n v="1"/>
    <n v="3"/>
    <n v="1"/>
  </r>
  <r>
    <n v="27878"/>
    <x v="1"/>
    <s v="Male"/>
    <n v="20000"/>
    <x v="3"/>
    <x v="1"/>
    <s v="Manual"/>
    <s v="No"/>
    <x v="0"/>
    <x v="0"/>
    <x v="1"/>
    <n v="28"/>
    <s v="Yes"/>
    <x v="4"/>
    <n v="1"/>
    <s v="$10k-30k"/>
    <n v="1"/>
    <x v="0"/>
    <n v="1"/>
    <n v="3"/>
    <n v="1"/>
  </r>
  <r>
    <n v="13572"/>
    <x v="1"/>
    <s v="Male"/>
    <n v="10000"/>
    <x v="1"/>
    <x v="2"/>
    <s v="Manual"/>
    <s v="Yes"/>
    <x v="0"/>
    <x v="0"/>
    <x v="0"/>
    <n v="37"/>
    <s v="Yes"/>
    <x v="2"/>
    <n v="2"/>
    <s v="$10k-30k"/>
    <n v="1"/>
    <x v="0"/>
    <n v="1"/>
    <n v="2"/>
    <n v="1"/>
  </r>
  <r>
    <n v="27941"/>
    <x v="0"/>
    <s v="Female"/>
    <n v="80000"/>
    <x v="5"/>
    <x v="1"/>
    <s v="Professional"/>
    <s v="Yes"/>
    <x v="2"/>
    <x v="1"/>
    <x v="0"/>
    <n v="53"/>
    <s v="No"/>
    <x v="1"/>
    <n v="4"/>
    <s v="$70k-90k"/>
    <n v="3"/>
    <x v="1"/>
    <n v="3"/>
    <n v="3"/>
    <n v="0"/>
  </r>
  <r>
    <n v="26354"/>
    <x v="1"/>
    <s v="Male"/>
    <n v="40000"/>
    <x v="3"/>
    <x v="4"/>
    <s v="Clerical"/>
    <s v="No"/>
    <x v="0"/>
    <x v="0"/>
    <x v="0"/>
    <n v="38"/>
    <s v="Yes"/>
    <x v="2"/>
    <n v="2"/>
    <s v="$40k-60k"/>
    <n v="2"/>
    <x v="0"/>
    <n v="1"/>
    <n v="5"/>
    <n v="1"/>
  </r>
  <r>
    <n v="14785"/>
    <x v="1"/>
    <s v="Male"/>
    <n v="30000"/>
    <x v="0"/>
    <x v="0"/>
    <s v="Clerical"/>
    <s v="No"/>
    <x v="1"/>
    <x v="3"/>
    <x v="0"/>
    <n v="39"/>
    <s v="No"/>
    <x v="2"/>
    <n v="2"/>
    <s v="$10k-30k"/>
    <n v="1"/>
    <x v="0"/>
    <n v="2"/>
    <n v="4"/>
    <n v="0"/>
  </r>
  <r>
    <n v="17238"/>
    <x v="1"/>
    <s v="Male"/>
    <n v="80000"/>
    <x v="3"/>
    <x v="0"/>
    <s v="Professional"/>
    <s v="Yes"/>
    <x v="4"/>
    <x v="4"/>
    <x v="1"/>
    <n v="32"/>
    <s v="No"/>
    <x v="2"/>
    <n v="2"/>
    <s v="$70k-90k"/>
    <n v="3"/>
    <x v="1"/>
    <n v="5"/>
    <n v="4"/>
    <n v="0"/>
  </r>
  <r>
    <n v="23608"/>
    <x v="0"/>
    <s v="Female"/>
    <n v="150000"/>
    <x v="1"/>
    <x v="2"/>
    <s v="Professional"/>
    <s v="Yes"/>
    <x v="4"/>
    <x v="0"/>
    <x v="0"/>
    <n v="51"/>
    <s v="Yes"/>
    <x v="1"/>
    <n v="4"/>
    <s v="$100k+"/>
    <n v="4"/>
    <x v="1"/>
    <n v="1"/>
    <n v="2"/>
    <n v="1"/>
  </r>
  <r>
    <n v="22538"/>
    <x v="1"/>
    <s v="Female"/>
    <n v="10000"/>
    <x v="3"/>
    <x v="3"/>
    <s v="Manual"/>
    <s v="Yes"/>
    <x v="2"/>
    <x v="3"/>
    <x v="0"/>
    <n v="33"/>
    <s v="No"/>
    <x v="2"/>
    <n v="2"/>
    <s v="$10k-30k"/>
    <n v="1"/>
    <x v="1"/>
    <n v="2"/>
    <n v="1"/>
    <n v="0"/>
  </r>
  <r>
    <n v="12332"/>
    <x v="0"/>
    <s v="Male"/>
    <n v="90000"/>
    <x v="5"/>
    <x v="2"/>
    <s v="Management"/>
    <s v="Yes"/>
    <x v="4"/>
    <x v="2"/>
    <x v="0"/>
    <n v="58"/>
    <s v="Yes"/>
    <x v="1"/>
    <n v="4"/>
    <s v="$70k-90k"/>
    <n v="3"/>
    <x v="1"/>
    <n v="4"/>
    <n v="2"/>
    <n v="1"/>
  </r>
  <r>
    <n v="17230"/>
    <x v="0"/>
    <s v="Male"/>
    <n v="80000"/>
    <x v="3"/>
    <x v="0"/>
    <s v="Professional"/>
    <s v="Yes"/>
    <x v="4"/>
    <x v="4"/>
    <x v="1"/>
    <n v="30"/>
    <s v="No"/>
    <x v="4"/>
    <n v="1"/>
    <s v="$70k-90k"/>
    <n v="3"/>
    <x v="1"/>
    <n v="5"/>
    <n v="4"/>
    <n v="0"/>
  </r>
  <r>
    <n v="13082"/>
    <x v="1"/>
    <s v="Male"/>
    <n v="130000"/>
    <x v="3"/>
    <x v="4"/>
    <s v="Management"/>
    <s v="Yes"/>
    <x v="0"/>
    <x v="1"/>
    <x v="1"/>
    <n v="48"/>
    <s v="Yes"/>
    <x v="0"/>
    <n v="3"/>
    <s v="$100k+"/>
    <n v="4"/>
    <x v="0"/>
    <n v="3"/>
    <n v="5"/>
    <n v="1"/>
  </r>
  <r>
    <n v="22518"/>
    <x v="1"/>
    <s v="Female"/>
    <n v="30000"/>
    <x v="1"/>
    <x v="1"/>
    <s v="Clerical"/>
    <s v="No"/>
    <x v="2"/>
    <x v="0"/>
    <x v="0"/>
    <n v="27"/>
    <s v="Yes"/>
    <x v="4"/>
    <n v="1"/>
    <s v="$10k-30k"/>
    <n v="1"/>
    <x v="1"/>
    <n v="1"/>
    <n v="3"/>
    <n v="1"/>
  </r>
  <r>
    <n v="13687"/>
    <x v="0"/>
    <s v="Male"/>
    <n v="40000"/>
    <x v="0"/>
    <x v="0"/>
    <s v="Skilled Manual"/>
    <s v="Yes"/>
    <x v="1"/>
    <x v="0"/>
    <x v="0"/>
    <n v="33"/>
    <s v="Yes"/>
    <x v="2"/>
    <n v="2"/>
    <s v="$40k-60k"/>
    <n v="2"/>
    <x v="0"/>
    <n v="1"/>
    <n v="4"/>
    <n v="1"/>
  </r>
  <r>
    <n v="23571"/>
    <x v="0"/>
    <s v="Female"/>
    <n v="40000"/>
    <x v="4"/>
    <x v="0"/>
    <s v="Management"/>
    <s v="Yes"/>
    <x v="2"/>
    <x v="0"/>
    <x v="1"/>
    <n v="66"/>
    <s v="Yes"/>
    <x v="3"/>
    <n v="5"/>
    <s v="$40k-60k"/>
    <n v="2"/>
    <x v="1"/>
    <n v="1"/>
    <n v="4"/>
    <n v="1"/>
  </r>
  <r>
    <n v="19305"/>
    <x v="1"/>
    <s v="Female"/>
    <n v="10000"/>
    <x v="4"/>
    <x v="2"/>
    <s v="Manual"/>
    <s v="Yes"/>
    <x v="1"/>
    <x v="0"/>
    <x v="0"/>
    <n v="38"/>
    <s v="Yes"/>
    <x v="2"/>
    <n v="2"/>
    <s v="$10k-30k"/>
    <n v="1"/>
    <x v="0"/>
    <n v="1"/>
    <n v="2"/>
    <n v="1"/>
  </r>
  <r>
    <n v="22636"/>
    <x v="1"/>
    <s v="Female"/>
    <n v="40000"/>
    <x v="3"/>
    <x v="0"/>
    <s v="Clerical"/>
    <s v="No"/>
    <x v="0"/>
    <x v="0"/>
    <x v="0"/>
    <n v="38"/>
    <s v="Yes"/>
    <x v="2"/>
    <n v="2"/>
    <s v="$40k-60k"/>
    <n v="2"/>
    <x v="0"/>
    <n v="1"/>
    <n v="4"/>
    <n v="1"/>
  </r>
  <r>
    <n v="17310"/>
    <x v="0"/>
    <s v="Male"/>
    <n v="60000"/>
    <x v="0"/>
    <x v="1"/>
    <s v="Skilled Manual"/>
    <s v="Yes"/>
    <x v="1"/>
    <x v="0"/>
    <x v="1"/>
    <n v="45"/>
    <s v="Yes"/>
    <x v="0"/>
    <n v="3"/>
    <s v="$40k-60k"/>
    <n v="2"/>
    <x v="0"/>
    <n v="1"/>
    <n v="3"/>
    <n v="1"/>
  </r>
  <r>
    <n v="12133"/>
    <x v="0"/>
    <s v="Female"/>
    <n v="130000"/>
    <x v="1"/>
    <x v="1"/>
    <s v="Professional"/>
    <s v="Yes"/>
    <x v="4"/>
    <x v="2"/>
    <x v="0"/>
    <n v="50"/>
    <s v="Yes"/>
    <x v="0"/>
    <n v="3"/>
    <s v="$100k+"/>
    <n v="4"/>
    <x v="1"/>
    <n v="4"/>
    <n v="3"/>
    <n v="1"/>
  </r>
  <r>
    <n v="25918"/>
    <x v="1"/>
    <s v="Female"/>
    <n v="30000"/>
    <x v="4"/>
    <x v="1"/>
    <s v="Clerical"/>
    <s v="No"/>
    <x v="2"/>
    <x v="2"/>
    <x v="1"/>
    <n v="60"/>
    <s v="Yes"/>
    <x v="1"/>
    <n v="4"/>
    <s v="$10k-30k"/>
    <n v="1"/>
    <x v="1"/>
    <n v="4"/>
    <n v="3"/>
    <n v="1"/>
  </r>
  <r>
    <n v="25752"/>
    <x v="1"/>
    <s v="Female"/>
    <n v="20000"/>
    <x v="4"/>
    <x v="1"/>
    <s v="Manual"/>
    <s v="No"/>
    <x v="1"/>
    <x v="0"/>
    <x v="0"/>
    <n v="53"/>
    <s v="Yes"/>
    <x v="1"/>
    <n v="4"/>
    <s v="$10k-30k"/>
    <n v="1"/>
    <x v="0"/>
    <n v="1"/>
    <n v="3"/>
    <n v="1"/>
  </r>
  <r>
    <n v="17324"/>
    <x v="0"/>
    <s v="Female"/>
    <n v="100000"/>
    <x v="5"/>
    <x v="0"/>
    <s v="Professional"/>
    <s v="Yes"/>
    <x v="1"/>
    <x v="4"/>
    <x v="1"/>
    <n v="46"/>
    <s v="No"/>
    <x v="0"/>
    <n v="3"/>
    <s v="$100k+"/>
    <n v="4"/>
    <x v="0"/>
    <n v="5"/>
    <n v="4"/>
    <n v="0"/>
  </r>
  <r>
    <n v="22918"/>
    <x v="1"/>
    <s v="Male"/>
    <n v="80000"/>
    <x v="2"/>
    <x v="4"/>
    <s v="Management"/>
    <s v="Yes"/>
    <x v="4"/>
    <x v="0"/>
    <x v="1"/>
    <n v="50"/>
    <s v="No"/>
    <x v="0"/>
    <n v="3"/>
    <s v="$70k-90k"/>
    <n v="3"/>
    <x v="1"/>
    <n v="1"/>
    <n v="5"/>
    <n v="0"/>
  </r>
  <r>
    <n v="12510"/>
    <x v="0"/>
    <s v="Male"/>
    <n v="40000"/>
    <x v="0"/>
    <x v="0"/>
    <s v="Skilled Manual"/>
    <s v="Yes"/>
    <x v="1"/>
    <x v="0"/>
    <x v="0"/>
    <n v="43"/>
    <s v="Yes"/>
    <x v="0"/>
    <n v="3"/>
    <s v="$40k-60k"/>
    <n v="2"/>
    <x v="0"/>
    <n v="1"/>
    <n v="4"/>
    <n v="1"/>
  </r>
  <r>
    <n v="25512"/>
    <x v="1"/>
    <s v="Male"/>
    <n v="20000"/>
    <x v="3"/>
    <x v="2"/>
    <s v="Manual"/>
    <s v="No"/>
    <x v="1"/>
    <x v="1"/>
    <x v="0"/>
    <n v="30"/>
    <s v="No"/>
    <x v="4"/>
    <n v="1"/>
    <s v="$10k-30k"/>
    <n v="1"/>
    <x v="0"/>
    <n v="3"/>
    <n v="2"/>
    <n v="0"/>
  </r>
  <r>
    <n v="16179"/>
    <x v="1"/>
    <s v="Female"/>
    <n v="80000"/>
    <x v="2"/>
    <x v="0"/>
    <s v="Professional"/>
    <s v="Yes"/>
    <x v="3"/>
    <x v="3"/>
    <x v="1"/>
    <n v="38"/>
    <s v="No"/>
    <x v="2"/>
    <n v="2"/>
    <s v="$70k-90k"/>
    <n v="3"/>
    <x v="1"/>
    <n v="2"/>
    <n v="4"/>
    <n v="0"/>
  </r>
  <r>
    <n v="15628"/>
    <x v="0"/>
    <s v="Female"/>
    <n v="40000"/>
    <x v="0"/>
    <x v="0"/>
    <s v="Skilled Manual"/>
    <s v="Yes"/>
    <x v="1"/>
    <x v="0"/>
    <x v="0"/>
    <n v="89"/>
    <s v="No"/>
    <x v="3"/>
    <n v="5"/>
    <s v="$40k-60k"/>
    <n v="2"/>
    <x v="0"/>
    <n v="1"/>
    <n v="4"/>
    <n v="0"/>
  </r>
  <r>
    <n v="20977"/>
    <x v="0"/>
    <s v="Male"/>
    <n v="20000"/>
    <x v="0"/>
    <x v="0"/>
    <s v="Clerical"/>
    <s v="Yes"/>
    <x v="0"/>
    <x v="0"/>
    <x v="0"/>
    <n v="64"/>
    <s v="Yes"/>
    <x v="3"/>
    <n v="5"/>
    <s v="$10k-30k"/>
    <n v="1"/>
    <x v="0"/>
    <n v="1"/>
    <n v="4"/>
    <n v="1"/>
  </r>
  <r>
    <n v="18140"/>
    <x v="0"/>
    <s v="Male"/>
    <n v="130000"/>
    <x v="1"/>
    <x v="1"/>
    <s v="Professional"/>
    <s v="No"/>
    <x v="4"/>
    <x v="2"/>
    <x v="0"/>
    <n v="51"/>
    <s v="Yes"/>
    <x v="1"/>
    <n v="4"/>
    <s v="$100k+"/>
    <n v="4"/>
    <x v="1"/>
    <n v="4"/>
    <n v="3"/>
    <n v="1"/>
  </r>
  <r>
    <n v="20417"/>
    <x v="0"/>
    <s v="Male"/>
    <n v="30000"/>
    <x v="1"/>
    <x v="1"/>
    <s v="Clerical"/>
    <s v="No"/>
    <x v="2"/>
    <x v="2"/>
    <x v="1"/>
    <n v="56"/>
    <s v="No"/>
    <x v="1"/>
    <n v="4"/>
    <s v="$10k-30k"/>
    <n v="1"/>
    <x v="1"/>
    <n v="4"/>
    <n v="3"/>
    <n v="0"/>
  </r>
  <r>
    <n v="18267"/>
    <x v="0"/>
    <s v="Male"/>
    <n v="60000"/>
    <x v="1"/>
    <x v="0"/>
    <s v="Professional"/>
    <s v="Yes"/>
    <x v="2"/>
    <x v="2"/>
    <x v="1"/>
    <n v="43"/>
    <s v="No"/>
    <x v="0"/>
    <n v="3"/>
    <s v="$40k-60k"/>
    <n v="2"/>
    <x v="1"/>
    <n v="4"/>
    <n v="4"/>
    <n v="0"/>
  </r>
  <r>
    <n v="13620"/>
    <x v="1"/>
    <s v="Male"/>
    <n v="70000"/>
    <x v="3"/>
    <x v="0"/>
    <s v="Professional"/>
    <s v="No"/>
    <x v="4"/>
    <x v="4"/>
    <x v="1"/>
    <n v="30"/>
    <s v="Yes"/>
    <x v="4"/>
    <n v="1"/>
    <s v="$70k-90k"/>
    <n v="3"/>
    <x v="1"/>
    <n v="5"/>
    <n v="4"/>
    <n v="1"/>
  </r>
  <r>
    <n v="22974"/>
    <x v="0"/>
    <s v="Female"/>
    <n v="30000"/>
    <x v="4"/>
    <x v="1"/>
    <s v="Clerical"/>
    <s v="Yes"/>
    <x v="2"/>
    <x v="2"/>
    <x v="1"/>
    <n v="69"/>
    <s v="No"/>
    <x v="3"/>
    <n v="5"/>
    <s v="$10k-30k"/>
    <n v="1"/>
    <x v="1"/>
    <n v="4"/>
    <n v="3"/>
    <n v="0"/>
  </r>
  <r>
    <n v="13586"/>
    <x v="0"/>
    <s v="Male"/>
    <n v="80000"/>
    <x v="5"/>
    <x v="1"/>
    <s v="Professional"/>
    <s v="Yes"/>
    <x v="2"/>
    <x v="4"/>
    <x v="0"/>
    <n v="53"/>
    <s v="No"/>
    <x v="1"/>
    <n v="4"/>
    <s v="$70k-90k"/>
    <n v="3"/>
    <x v="1"/>
    <n v="5"/>
    <n v="3"/>
    <n v="0"/>
  </r>
  <r>
    <n v="17978"/>
    <x v="0"/>
    <s v="Male"/>
    <n v="40000"/>
    <x v="3"/>
    <x v="4"/>
    <s v="Clerical"/>
    <s v="Yes"/>
    <x v="0"/>
    <x v="0"/>
    <x v="0"/>
    <n v="37"/>
    <s v="Yes"/>
    <x v="2"/>
    <n v="2"/>
    <s v="$40k-60k"/>
    <n v="2"/>
    <x v="0"/>
    <n v="1"/>
    <n v="5"/>
    <n v="1"/>
  </r>
  <r>
    <n v="12581"/>
    <x v="1"/>
    <s v="Female"/>
    <n v="10000"/>
    <x v="3"/>
    <x v="1"/>
    <s v="Manual"/>
    <s v="No"/>
    <x v="1"/>
    <x v="0"/>
    <x v="1"/>
    <n v="28"/>
    <s v="Yes"/>
    <x v="4"/>
    <n v="1"/>
    <s v="$10k-30k"/>
    <n v="1"/>
    <x v="0"/>
    <n v="1"/>
    <n v="3"/>
    <n v="1"/>
  </r>
  <r>
    <n v="18018"/>
    <x v="1"/>
    <s v="Male"/>
    <n v="30000"/>
    <x v="1"/>
    <x v="1"/>
    <s v="Clerical"/>
    <s v="Yes"/>
    <x v="0"/>
    <x v="0"/>
    <x v="0"/>
    <n v="43"/>
    <s v="No"/>
    <x v="0"/>
    <n v="3"/>
    <s v="$10k-30k"/>
    <n v="1"/>
    <x v="0"/>
    <n v="1"/>
    <n v="3"/>
    <n v="0"/>
  </r>
  <r>
    <n v="28957"/>
    <x v="1"/>
    <s v="Female"/>
    <n v="120000"/>
    <x v="3"/>
    <x v="3"/>
    <s v="Professional"/>
    <s v="Yes"/>
    <x v="3"/>
    <x v="4"/>
    <x v="1"/>
    <n v="34"/>
    <s v="Yes"/>
    <x v="2"/>
    <n v="2"/>
    <s v="$100k+"/>
    <n v="4"/>
    <x v="1"/>
    <n v="5"/>
    <n v="1"/>
    <n v="1"/>
  </r>
  <r>
    <n v="13690"/>
    <x v="1"/>
    <s v="Female"/>
    <n v="20000"/>
    <x v="3"/>
    <x v="3"/>
    <s v="Manual"/>
    <s v="No"/>
    <x v="2"/>
    <x v="3"/>
    <x v="0"/>
    <n v="34"/>
    <s v="Yes"/>
    <x v="2"/>
    <n v="2"/>
    <s v="$10k-30k"/>
    <n v="1"/>
    <x v="1"/>
    <n v="2"/>
    <n v="1"/>
    <n v="1"/>
  </r>
  <r>
    <n v="12568"/>
    <x v="0"/>
    <s v="Female"/>
    <n v="30000"/>
    <x v="0"/>
    <x v="0"/>
    <s v="Clerical"/>
    <s v="Yes"/>
    <x v="0"/>
    <x v="0"/>
    <x v="0"/>
    <n v="64"/>
    <s v="No"/>
    <x v="3"/>
    <n v="5"/>
    <s v="$10k-30k"/>
    <n v="1"/>
    <x v="0"/>
    <n v="1"/>
    <n v="4"/>
    <n v="0"/>
  </r>
  <r>
    <n v="13122"/>
    <x v="0"/>
    <s v="Female"/>
    <n v="80000"/>
    <x v="3"/>
    <x v="0"/>
    <s v="Professional"/>
    <s v="Yes"/>
    <x v="1"/>
    <x v="3"/>
    <x v="1"/>
    <n v="41"/>
    <s v="Yes"/>
    <x v="0"/>
    <n v="3"/>
    <s v="$70k-90k"/>
    <n v="3"/>
    <x v="0"/>
    <n v="2"/>
    <n v="4"/>
    <n v="1"/>
  </r>
  <r>
    <n v="21184"/>
    <x v="1"/>
    <s v="Male"/>
    <n v="70000"/>
    <x v="3"/>
    <x v="0"/>
    <s v="Professional"/>
    <s v="No"/>
    <x v="1"/>
    <x v="2"/>
    <x v="1"/>
    <n v="38"/>
    <s v="No"/>
    <x v="2"/>
    <n v="2"/>
    <s v="$70k-90k"/>
    <n v="3"/>
    <x v="0"/>
    <n v="4"/>
    <n v="4"/>
    <n v="0"/>
  </r>
  <r>
    <n v="26150"/>
    <x v="1"/>
    <s v="Female"/>
    <n v="70000"/>
    <x v="3"/>
    <x v="0"/>
    <s v="Professional"/>
    <s v="No"/>
    <x v="1"/>
    <x v="0"/>
    <x v="1"/>
    <n v="41"/>
    <s v="Yes"/>
    <x v="0"/>
    <n v="3"/>
    <s v="$70k-90k"/>
    <n v="3"/>
    <x v="0"/>
    <n v="1"/>
    <n v="4"/>
    <n v="1"/>
  </r>
  <r>
    <n v="24151"/>
    <x v="1"/>
    <s v="Male"/>
    <n v="20000"/>
    <x v="0"/>
    <x v="0"/>
    <s v="Clerical"/>
    <s v="No"/>
    <x v="0"/>
    <x v="0"/>
    <x v="0"/>
    <n v="51"/>
    <s v="No"/>
    <x v="1"/>
    <n v="4"/>
    <s v="$10k-30k"/>
    <n v="1"/>
    <x v="0"/>
    <n v="1"/>
    <n v="4"/>
    <n v="0"/>
  </r>
  <r>
    <n v="23962"/>
    <x v="0"/>
    <s v="Female"/>
    <n v="10000"/>
    <x v="3"/>
    <x v="3"/>
    <s v="Manual"/>
    <s v="Yes"/>
    <x v="2"/>
    <x v="3"/>
    <x v="0"/>
    <n v="32"/>
    <s v="No"/>
    <x v="2"/>
    <n v="2"/>
    <s v="$10k-30k"/>
    <n v="1"/>
    <x v="1"/>
    <n v="2"/>
    <n v="1"/>
    <n v="0"/>
  </r>
  <r>
    <n v="17793"/>
    <x v="0"/>
    <s v="Female"/>
    <n v="40000"/>
    <x v="3"/>
    <x v="0"/>
    <s v="Clerical"/>
    <s v="Yes"/>
    <x v="0"/>
    <x v="0"/>
    <x v="0"/>
    <n v="38"/>
    <s v="Yes"/>
    <x v="2"/>
    <n v="2"/>
    <s v="$40k-60k"/>
    <n v="2"/>
    <x v="0"/>
    <n v="1"/>
    <n v="4"/>
    <n v="1"/>
  </r>
  <r>
    <n v="14926"/>
    <x v="0"/>
    <s v="Male"/>
    <n v="30000"/>
    <x v="0"/>
    <x v="0"/>
    <s v="Clerical"/>
    <s v="Yes"/>
    <x v="0"/>
    <x v="0"/>
    <x v="0"/>
    <n v="38"/>
    <s v="Yes"/>
    <x v="2"/>
    <n v="2"/>
    <s v="$10k-30k"/>
    <n v="1"/>
    <x v="0"/>
    <n v="1"/>
    <n v="4"/>
    <n v="1"/>
  </r>
  <r>
    <n v="16163"/>
    <x v="1"/>
    <s v="Male"/>
    <n v="60000"/>
    <x v="4"/>
    <x v="0"/>
    <s v="Professional"/>
    <s v="Yes"/>
    <x v="1"/>
    <x v="1"/>
    <x v="1"/>
    <n v="38"/>
    <s v="Yes"/>
    <x v="2"/>
    <n v="2"/>
    <s v="$40k-60k"/>
    <n v="2"/>
    <x v="0"/>
    <n v="3"/>
    <n v="4"/>
    <n v="1"/>
  </r>
  <r>
    <n v="21365"/>
    <x v="0"/>
    <s v="Female"/>
    <n v="10000"/>
    <x v="4"/>
    <x v="3"/>
    <s v="Clerical"/>
    <s v="Yes"/>
    <x v="2"/>
    <x v="2"/>
    <x v="1"/>
    <n v="58"/>
    <s v="No"/>
    <x v="1"/>
    <n v="4"/>
    <s v="$10k-30k"/>
    <n v="1"/>
    <x v="1"/>
    <n v="4"/>
    <n v="1"/>
    <n v="0"/>
  </r>
  <r>
    <n v="27771"/>
    <x v="1"/>
    <s v="Male"/>
    <n v="30000"/>
    <x v="0"/>
    <x v="0"/>
    <s v="Clerical"/>
    <s v="Yes"/>
    <x v="1"/>
    <x v="3"/>
    <x v="0"/>
    <n v="39"/>
    <s v="Yes"/>
    <x v="2"/>
    <n v="2"/>
    <s v="$10k-30k"/>
    <n v="1"/>
    <x v="0"/>
    <n v="2"/>
    <n v="4"/>
    <n v="1"/>
  </r>
  <r>
    <n v="26167"/>
    <x v="1"/>
    <s v="Female"/>
    <n v="40000"/>
    <x v="4"/>
    <x v="0"/>
    <s v="Management"/>
    <s v="No"/>
    <x v="1"/>
    <x v="2"/>
    <x v="1"/>
    <n v="53"/>
    <s v="Yes"/>
    <x v="1"/>
    <n v="4"/>
    <s v="$40k-60k"/>
    <n v="2"/>
    <x v="0"/>
    <n v="4"/>
    <n v="4"/>
    <n v="1"/>
  </r>
  <r>
    <n v="25792"/>
    <x v="1"/>
    <s v="Female"/>
    <n v="110000"/>
    <x v="1"/>
    <x v="0"/>
    <s v="Management"/>
    <s v="Yes"/>
    <x v="3"/>
    <x v="4"/>
    <x v="0"/>
    <n v="53"/>
    <s v="No"/>
    <x v="1"/>
    <n v="4"/>
    <s v="$100k+"/>
    <n v="4"/>
    <x v="1"/>
    <n v="5"/>
    <n v="4"/>
    <n v="0"/>
  </r>
  <r>
    <n v="11555"/>
    <x v="0"/>
    <s v="Female"/>
    <n v="40000"/>
    <x v="0"/>
    <x v="0"/>
    <s v="Clerical"/>
    <s v="Yes"/>
    <x v="0"/>
    <x v="0"/>
    <x v="0"/>
    <n v="80"/>
    <s v="No"/>
    <x v="3"/>
    <n v="5"/>
    <s v="$40k-60k"/>
    <n v="2"/>
    <x v="0"/>
    <n v="1"/>
    <n v="4"/>
    <n v="0"/>
  </r>
  <r>
    <n v="22381"/>
    <x v="0"/>
    <s v="Male"/>
    <n v="10000"/>
    <x v="0"/>
    <x v="4"/>
    <s v="Manual"/>
    <s v="Yes"/>
    <x v="0"/>
    <x v="0"/>
    <x v="0"/>
    <n v="44"/>
    <s v="No"/>
    <x v="0"/>
    <n v="3"/>
    <s v="$10k-30k"/>
    <n v="1"/>
    <x v="0"/>
    <n v="1"/>
    <n v="5"/>
    <n v="0"/>
  </r>
  <r>
    <n v="17882"/>
    <x v="0"/>
    <s v="Male"/>
    <n v="20000"/>
    <x v="0"/>
    <x v="4"/>
    <s v="Clerical"/>
    <s v="Yes"/>
    <x v="0"/>
    <x v="0"/>
    <x v="0"/>
    <n v="44"/>
    <s v="No"/>
    <x v="0"/>
    <n v="3"/>
    <s v="$10k-30k"/>
    <n v="1"/>
    <x v="0"/>
    <n v="1"/>
    <n v="5"/>
    <n v="0"/>
  </r>
  <r>
    <n v="22174"/>
    <x v="0"/>
    <s v="Male"/>
    <n v="30000"/>
    <x v="1"/>
    <x v="2"/>
    <s v="Skilled Manual"/>
    <s v="Yes"/>
    <x v="2"/>
    <x v="2"/>
    <x v="1"/>
    <n v="54"/>
    <s v="Yes"/>
    <x v="1"/>
    <n v="4"/>
    <s v="$10k-30k"/>
    <n v="1"/>
    <x v="1"/>
    <n v="4"/>
    <n v="2"/>
    <n v="1"/>
  </r>
  <r>
    <n v="22439"/>
    <x v="0"/>
    <s v="Female"/>
    <n v="30000"/>
    <x v="3"/>
    <x v="0"/>
    <s v="Clerical"/>
    <s v="Yes"/>
    <x v="0"/>
    <x v="0"/>
    <x v="0"/>
    <n v="37"/>
    <s v="Yes"/>
    <x v="2"/>
    <n v="2"/>
    <s v="$10k-30k"/>
    <n v="1"/>
    <x v="0"/>
    <n v="1"/>
    <n v="4"/>
    <n v="1"/>
  </r>
  <r>
    <n v="18012"/>
    <x v="0"/>
    <s v="Female"/>
    <n v="40000"/>
    <x v="0"/>
    <x v="0"/>
    <s v="Skilled Manual"/>
    <s v="Yes"/>
    <x v="0"/>
    <x v="0"/>
    <x v="0"/>
    <n v="41"/>
    <s v="No"/>
    <x v="0"/>
    <n v="3"/>
    <s v="$40k-60k"/>
    <n v="2"/>
    <x v="0"/>
    <n v="1"/>
    <n v="4"/>
    <n v="0"/>
  </r>
  <r>
    <n v="27582"/>
    <x v="1"/>
    <s v="Female"/>
    <n v="90000"/>
    <x v="4"/>
    <x v="0"/>
    <s v="Professional"/>
    <s v="No"/>
    <x v="0"/>
    <x v="0"/>
    <x v="1"/>
    <n v="36"/>
    <s v="Yes"/>
    <x v="2"/>
    <n v="2"/>
    <s v="$70k-90k"/>
    <n v="3"/>
    <x v="0"/>
    <n v="1"/>
    <n v="4"/>
    <n v="1"/>
  </r>
  <r>
    <n v="12744"/>
    <x v="1"/>
    <s v="Female"/>
    <n v="40000"/>
    <x v="4"/>
    <x v="1"/>
    <s v="Clerical"/>
    <s v="Yes"/>
    <x v="0"/>
    <x v="0"/>
    <x v="0"/>
    <n v="33"/>
    <s v="No"/>
    <x v="2"/>
    <n v="2"/>
    <s v="$40k-60k"/>
    <n v="2"/>
    <x v="0"/>
    <n v="1"/>
    <n v="3"/>
    <n v="0"/>
  </r>
  <r>
    <n v="22821"/>
    <x v="0"/>
    <s v="Female"/>
    <n v="130000"/>
    <x v="1"/>
    <x v="1"/>
    <s v="Professional"/>
    <s v="Yes"/>
    <x v="3"/>
    <x v="0"/>
    <x v="0"/>
    <n v="52"/>
    <s v="No"/>
    <x v="1"/>
    <n v="4"/>
    <s v="$100k+"/>
    <n v="4"/>
    <x v="1"/>
    <n v="1"/>
    <n v="3"/>
    <n v="0"/>
  </r>
  <r>
    <n v="20171"/>
    <x v="0"/>
    <s v="Female"/>
    <n v="20000"/>
    <x v="4"/>
    <x v="1"/>
    <s v="Manual"/>
    <s v="Yes"/>
    <x v="1"/>
    <x v="0"/>
    <x v="0"/>
    <n v="46"/>
    <s v="Yes"/>
    <x v="0"/>
    <n v="3"/>
    <s v="$10k-30k"/>
    <n v="1"/>
    <x v="0"/>
    <n v="1"/>
    <n v="3"/>
    <n v="1"/>
  </r>
  <r>
    <n v="11116"/>
    <x v="0"/>
    <s v="Male"/>
    <n v="70000"/>
    <x v="2"/>
    <x v="1"/>
    <s v="Skilled Manual"/>
    <s v="Yes"/>
    <x v="2"/>
    <x v="2"/>
    <x v="1"/>
    <n v="43"/>
    <s v="No"/>
    <x v="0"/>
    <n v="3"/>
    <s v="$70k-90k"/>
    <n v="3"/>
    <x v="1"/>
    <n v="4"/>
    <n v="3"/>
    <n v="0"/>
  </r>
  <r>
    <n v="20053"/>
    <x v="1"/>
    <s v="Male"/>
    <n v="40000"/>
    <x v="4"/>
    <x v="1"/>
    <s v="Clerical"/>
    <s v="Yes"/>
    <x v="0"/>
    <x v="0"/>
    <x v="0"/>
    <n v="34"/>
    <s v="No"/>
    <x v="2"/>
    <n v="2"/>
    <s v="$40k-60k"/>
    <n v="2"/>
    <x v="0"/>
    <n v="1"/>
    <n v="3"/>
    <n v="0"/>
  </r>
  <r>
    <n v="25266"/>
    <x v="1"/>
    <s v="Female"/>
    <n v="30000"/>
    <x v="4"/>
    <x v="1"/>
    <s v="Clerical"/>
    <s v="No"/>
    <x v="2"/>
    <x v="2"/>
    <x v="1"/>
    <n v="67"/>
    <s v="No"/>
    <x v="3"/>
    <n v="5"/>
    <s v="$10k-30k"/>
    <n v="1"/>
    <x v="1"/>
    <n v="4"/>
    <n v="3"/>
    <n v="0"/>
  </r>
  <r>
    <n v="17960"/>
    <x v="0"/>
    <s v="Female"/>
    <n v="40000"/>
    <x v="3"/>
    <x v="4"/>
    <s v="Clerical"/>
    <s v="Yes"/>
    <x v="0"/>
    <x v="0"/>
    <x v="0"/>
    <n v="35"/>
    <s v="Yes"/>
    <x v="2"/>
    <n v="2"/>
    <s v="$40k-60k"/>
    <n v="2"/>
    <x v="0"/>
    <n v="1"/>
    <n v="5"/>
    <n v="1"/>
  </r>
  <r>
    <n v="13961"/>
    <x v="0"/>
    <s v="Female"/>
    <n v="80000"/>
    <x v="2"/>
    <x v="4"/>
    <s v="Management"/>
    <s v="Yes"/>
    <x v="4"/>
    <x v="0"/>
    <x v="1"/>
    <n v="40"/>
    <s v="No"/>
    <x v="2"/>
    <n v="2"/>
    <s v="$70k-90k"/>
    <n v="3"/>
    <x v="1"/>
    <n v="1"/>
    <n v="5"/>
    <n v="0"/>
  </r>
  <r>
    <n v="11897"/>
    <x v="1"/>
    <s v="Male"/>
    <n v="60000"/>
    <x v="4"/>
    <x v="0"/>
    <s v="Professional"/>
    <s v="No"/>
    <x v="1"/>
    <x v="0"/>
    <x v="1"/>
    <n v="37"/>
    <s v="Yes"/>
    <x v="2"/>
    <n v="2"/>
    <s v="$40k-60k"/>
    <n v="2"/>
    <x v="0"/>
    <n v="1"/>
    <n v="4"/>
    <n v="1"/>
  </r>
  <r>
    <n v="11139"/>
    <x v="1"/>
    <s v="Female"/>
    <n v="30000"/>
    <x v="4"/>
    <x v="1"/>
    <s v="Clerical"/>
    <s v="No"/>
    <x v="2"/>
    <x v="2"/>
    <x v="1"/>
    <n v="67"/>
    <s v="No"/>
    <x v="3"/>
    <n v="5"/>
    <s v="$10k-30k"/>
    <n v="1"/>
    <x v="1"/>
    <n v="4"/>
    <n v="3"/>
    <n v="0"/>
  </r>
  <r>
    <n v="11576"/>
    <x v="0"/>
    <s v="Male"/>
    <n v="30000"/>
    <x v="0"/>
    <x v="0"/>
    <s v="Skilled Manual"/>
    <s v="Yes"/>
    <x v="2"/>
    <x v="0"/>
    <x v="0"/>
    <n v="41"/>
    <s v="Yes"/>
    <x v="0"/>
    <n v="3"/>
    <s v="$10k-30k"/>
    <n v="1"/>
    <x v="1"/>
    <n v="1"/>
    <n v="4"/>
    <n v="1"/>
  </r>
  <r>
    <n v="19255"/>
    <x v="1"/>
    <s v="Male"/>
    <n v="10000"/>
    <x v="4"/>
    <x v="1"/>
    <s v="Manual"/>
    <s v="Yes"/>
    <x v="1"/>
    <x v="0"/>
    <x v="0"/>
    <n v="51"/>
    <s v="Yes"/>
    <x v="1"/>
    <n v="4"/>
    <s v="$10k-30k"/>
    <n v="1"/>
    <x v="0"/>
    <n v="1"/>
    <n v="3"/>
    <n v="1"/>
  </r>
  <r>
    <n v="18153"/>
    <x v="0"/>
    <s v="Female"/>
    <n v="100000"/>
    <x v="4"/>
    <x v="0"/>
    <s v="Management"/>
    <s v="Yes"/>
    <x v="3"/>
    <x v="4"/>
    <x v="0"/>
    <n v="59"/>
    <s v="No"/>
    <x v="1"/>
    <n v="4"/>
    <s v="$100k+"/>
    <n v="4"/>
    <x v="1"/>
    <n v="5"/>
    <n v="4"/>
    <n v="0"/>
  </r>
  <r>
    <n v="14547"/>
    <x v="0"/>
    <s v="Male"/>
    <n v="10000"/>
    <x v="4"/>
    <x v="1"/>
    <s v="Manual"/>
    <s v="Yes"/>
    <x v="0"/>
    <x v="3"/>
    <x v="0"/>
    <n v="51"/>
    <s v="No"/>
    <x v="1"/>
    <n v="4"/>
    <s v="$10k-30k"/>
    <n v="1"/>
    <x v="0"/>
    <n v="2"/>
    <n v="3"/>
    <n v="0"/>
  </r>
  <r>
    <n v="24901"/>
    <x v="1"/>
    <s v="Male"/>
    <n v="110000"/>
    <x v="3"/>
    <x v="1"/>
    <s v="Management"/>
    <s v="No"/>
    <x v="4"/>
    <x v="4"/>
    <x v="1"/>
    <n v="32"/>
    <s v="Yes"/>
    <x v="2"/>
    <n v="2"/>
    <s v="$100k+"/>
    <n v="4"/>
    <x v="1"/>
    <n v="5"/>
    <n v="3"/>
    <n v="1"/>
  </r>
  <r>
    <n v="27169"/>
    <x v="1"/>
    <s v="Male"/>
    <n v="30000"/>
    <x v="3"/>
    <x v="2"/>
    <s v="Manual"/>
    <s v="Yes"/>
    <x v="1"/>
    <x v="1"/>
    <x v="0"/>
    <n v="34"/>
    <s v="Yes"/>
    <x v="2"/>
    <n v="2"/>
    <s v="$10k-30k"/>
    <n v="1"/>
    <x v="0"/>
    <n v="3"/>
    <n v="2"/>
    <n v="1"/>
  </r>
  <r>
    <n v="14805"/>
    <x v="1"/>
    <s v="Female"/>
    <n v="10000"/>
    <x v="1"/>
    <x v="3"/>
    <s v="Manual"/>
    <s v="Yes"/>
    <x v="2"/>
    <x v="0"/>
    <x v="0"/>
    <n v="43"/>
    <s v="No"/>
    <x v="0"/>
    <n v="3"/>
    <s v="$10k-30k"/>
    <n v="1"/>
    <x v="1"/>
    <n v="1"/>
    <n v="1"/>
    <n v="0"/>
  </r>
  <r>
    <n v="15822"/>
    <x v="0"/>
    <s v="Male"/>
    <n v="40000"/>
    <x v="4"/>
    <x v="0"/>
    <s v="Management"/>
    <s v="Yes"/>
    <x v="2"/>
    <x v="0"/>
    <x v="1"/>
    <n v="67"/>
    <s v="No"/>
    <x v="3"/>
    <n v="5"/>
    <s v="$40k-60k"/>
    <n v="2"/>
    <x v="1"/>
    <n v="1"/>
    <n v="4"/>
    <n v="0"/>
  </r>
  <r>
    <n v="19389"/>
    <x v="1"/>
    <s v="Male"/>
    <n v="30000"/>
    <x v="3"/>
    <x v="1"/>
    <s v="Clerical"/>
    <s v="No"/>
    <x v="1"/>
    <x v="1"/>
    <x v="0"/>
    <n v="28"/>
    <s v="No"/>
    <x v="4"/>
    <n v="1"/>
    <s v="$10k-30k"/>
    <n v="1"/>
    <x v="0"/>
    <n v="3"/>
    <n v="3"/>
    <n v="0"/>
  </r>
  <r>
    <n v="17048"/>
    <x v="1"/>
    <s v="Female"/>
    <n v="90000"/>
    <x v="0"/>
    <x v="4"/>
    <s v="Management"/>
    <s v="Yes"/>
    <x v="0"/>
    <x v="0"/>
    <x v="1"/>
    <n v="36"/>
    <s v="Yes"/>
    <x v="2"/>
    <n v="2"/>
    <s v="$70k-90k"/>
    <n v="3"/>
    <x v="0"/>
    <n v="1"/>
    <n v="5"/>
    <n v="1"/>
  </r>
  <r>
    <n v="22204"/>
    <x v="0"/>
    <s v="Male"/>
    <n v="110000"/>
    <x v="5"/>
    <x v="0"/>
    <s v="Management"/>
    <s v="Yes"/>
    <x v="4"/>
    <x v="1"/>
    <x v="1"/>
    <n v="48"/>
    <s v="No"/>
    <x v="0"/>
    <n v="3"/>
    <s v="$100k+"/>
    <n v="4"/>
    <x v="1"/>
    <n v="3"/>
    <n v="4"/>
    <n v="0"/>
  </r>
  <r>
    <n v="12718"/>
    <x v="1"/>
    <s v="Female"/>
    <n v="30000"/>
    <x v="3"/>
    <x v="1"/>
    <s v="Clerical"/>
    <s v="Yes"/>
    <x v="1"/>
    <x v="1"/>
    <x v="0"/>
    <n v="31"/>
    <s v="No"/>
    <x v="2"/>
    <n v="2"/>
    <s v="$10k-30k"/>
    <n v="1"/>
    <x v="0"/>
    <n v="3"/>
    <n v="3"/>
    <n v="0"/>
  </r>
  <r>
    <n v="15019"/>
    <x v="1"/>
    <s v="Female"/>
    <n v="30000"/>
    <x v="1"/>
    <x v="2"/>
    <s v="Skilled Manual"/>
    <s v="Yes"/>
    <x v="2"/>
    <x v="2"/>
    <x v="1"/>
    <n v="55"/>
    <s v="No"/>
    <x v="1"/>
    <n v="4"/>
    <s v="$10k-30k"/>
    <n v="1"/>
    <x v="1"/>
    <n v="4"/>
    <n v="2"/>
    <n v="0"/>
  </r>
  <r>
    <n v="28488"/>
    <x v="1"/>
    <s v="Male"/>
    <n v="20000"/>
    <x v="3"/>
    <x v="1"/>
    <s v="Manual"/>
    <s v="Yes"/>
    <x v="0"/>
    <x v="0"/>
    <x v="1"/>
    <n v="28"/>
    <s v="Yes"/>
    <x v="4"/>
    <n v="1"/>
    <s v="$10k-30k"/>
    <n v="1"/>
    <x v="0"/>
    <n v="1"/>
    <n v="3"/>
    <n v="1"/>
  </r>
  <r>
    <n v="21891"/>
    <x v="0"/>
    <s v="Female"/>
    <n v="110000"/>
    <x v="3"/>
    <x v="2"/>
    <s v="Management"/>
    <s v="Yes"/>
    <x v="4"/>
    <x v="4"/>
    <x v="1"/>
    <n v="34"/>
    <s v="Yes"/>
    <x v="2"/>
    <n v="2"/>
    <s v="$100k+"/>
    <n v="4"/>
    <x v="1"/>
    <n v="5"/>
    <n v="2"/>
    <n v="1"/>
  </r>
  <r>
    <n v="27814"/>
    <x v="1"/>
    <s v="Female"/>
    <n v="30000"/>
    <x v="1"/>
    <x v="1"/>
    <s v="Clerical"/>
    <s v="No"/>
    <x v="1"/>
    <x v="0"/>
    <x v="0"/>
    <n v="26"/>
    <s v="No"/>
    <x v="4"/>
    <n v="1"/>
    <s v="$10k-30k"/>
    <n v="1"/>
    <x v="0"/>
    <n v="1"/>
    <n v="3"/>
    <n v="0"/>
  </r>
  <r>
    <n v="22175"/>
    <x v="0"/>
    <s v="Female"/>
    <n v="30000"/>
    <x v="1"/>
    <x v="2"/>
    <s v="Skilled Manual"/>
    <s v="Yes"/>
    <x v="2"/>
    <x v="2"/>
    <x v="1"/>
    <n v="53"/>
    <s v="Yes"/>
    <x v="1"/>
    <n v="4"/>
    <s v="$10k-30k"/>
    <n v="1"/>
    <x v="1"/>
    <n v="4"/>
    <n v="2"/>
    <n v="1"/>
  </r>
  <r>
    <n v="29447"/>
    <x v="1"/>
    <s v="Female"/>
    <n v="10000"/>
    <x v="4"/>
    <x v="0"/>
    <s v="Clerical"/>
    <s v="No"/>
    <x v="1"/>
    <x v="1"/>
    <x v="0"/>
    <n v="68"/>
    <s v="No"/>
    <x v="3"/>
    <n v="5"/>
    <s v="$10k-30k"/>
    <n v="1"/>
    <x v="0"/>
    <n v="3"/>
    <n v="4"/>
    <n v="0"/>
  </r>
  <r>
    <n v="19784"/>
    <x v="0"/>
    <s v="Female"/>
    <n v="80000"/>
    <x v="4"/>
    <x v="2"/>
    <s v="Skilled Manual"/>
    <s v="Yes"/>
    <x v="2"/>
    <x v="2"/>
    <x v="1"/>
    <n v="50"/>
    <s v="Yes"/>
    <x v="0"/>
    <n v="3"/>
    <s v="$70k-90k"/>
    <n v="3"/>
    <x v="1"/>
    <n v="4"/>
    <n v="2"/>
    <n v="1"/>
  </r>
  <r>
    <n v="27824"/>
    <x v="1"/>
    <s v="Female"/>
    <n v="30000"/>
    <x v="1"/>
    <x v="1"/>
    <s v="Clerical"/>
    <s v="Yes"/>
    <x v="2"/>
    <x v="0"/>
    <x v="0"/>
    <n v="28"/>
    <s v="Yes"/>
    <x v="4"/>
    <n v="1"/>
    <s v="$10k-30k"/>
    <n v="1"/>
    <x v="1"/>
    <n v="1"/>
    <n v="3"/>
    <n v="1"/>
  </r>
  <r>
    <n v="24093"/>
    <x v="1"/>
    <s v="Female"/>
    <n v="80000"/>
    <x v="3"/>
    <x v="4"/>
    <s v="Skilled Manual"/>
    <s v="No"/>
    <x v="0"/>
    <x v="0"/>
    <x v="0"/>
    <n v="40"/>
    <s v="Yes"/>
    <x v="2"/>
    <n v="2"/>
    <s v="$70k-90k"/>
    <n v="3"/>
    <x v="0"/>
    <n v="1"/>
    <n v="5"/>
    <n v="1"/>
  </r>
  <r>
    <n v="19618"/>
    <x v="0"/>
    <s v="Male"/>
    <n v="70000"/>
    <x v="2"/>
    <x v="1"/>
    <s v="Skilled Manual"/>
    <s v="Yes"/>
    <x v="2"/>
    <x v="0"/>
    <x v="1"/>
    <n v="44"/>
    <s v="No"/>
    <x v="0"/>
    <n v="3"/>
    <s v="$70k-90k"/>
    <n v="3"/>
    <x v="1"/>
    <n v="1"/>
    <n v="3"/>
    <n v="0"/>
  </r>
  <r>
    <n v="21561"/>
    <x v="1"/>
    <s v="Male"/>
    <n v="90000"/>
    <x v="3"/>
    <x v="0"/>
    <s v="Professional"/>
    <s v="No"/>
    <x v="4"/>
    <x v="4"/>
    <x v="1"/>
    <n v="34"/>
    <s v="Yes"/>
    <x v="2"/>
    <n v="2"/>
    <s v="$70k-90k"/>
    <n v="3"/>
    <x v="1"/>
    <n v="5"/>
    <n v="4"/>
    <n v="1"/>
  </r>
  <r>
    <n v="11061"/>
    <x v="0"/>
    <s v="Male"/>
    <n v="70000"/>
    <x v="4"/>
    <x v="1"/>
    <s v="Skilled Manual"/>
    <s v="Yes"/>
    <x v="2"/>
    <x v="2"/>
    <x v="1"/>
    <n v="52"/>
    <s v="Yes"/>
    <x v="1"/>
    <n v="4"/>
    <s v="$70k-90k"/>
    <n v="3"/>
    <x v="1"/>
    <n v="4"/>
    <n v="3"/>
    <n v="1"/>
  </r>
  <r>
    <n v="26651"/>
    <x v="1"/>
    <s v="Male"/>
    <n v="80000"/>
    <x v="5"/>
    <x v="4"/>
    <s v="Management"/>
    <s v="Yes"/>
    <x v="0"/>
    <x v="0"/>
    <x v="1"/>
    <n v="36"/>
    <s v="Yes"/>
    <x v="2"/>
    <n v="2"/>
    <s v="$70k-90k"/>
    <n v="3"/>
    <x v="0"/>
    <n v="1"/>
    <n v="5"/>
    <n v="1"/>
  </r>
  <r>
    <n v="21108"/>
    <x v="0"/>
    <s v="Female"/>
    <n v="40000"/>
    <x v="0"/>
    <x v="0"/>
    <s v="Skilled Manual"/>
    <s v="Yes"/>
    <x v="1"/>
    <x v="0"/>
    <x v="0"/>
    <n v="43"/>
    <s v="Yes"/>
    <x v="0"/>
    <n v="3"/>
    <s v="$40k-60k"/>
    <n v="2"/>
    <x v="0"/>
    <n v="1"/>
    <n v="4"/>
    <n v="1"/>
  </r>
  <r>
    <n v="12731"/>
    <x v="1"/>
    <s v="Male"/>
    <n v="30000"/>
    <x v="3"/>
    <x v="2"/>
    <s v="Manual"/>
    <s v="No"/>
    <x v="1"/>
    <x v="3"/>
    <x v="0"/>
    <n v="32"/>
    <s v="No"/>
    <x v="2"/>
    <n v="2"/>
    <s v="$10k-30k"/>
    <n v="1"/>
    <x v="0"/>
    <n v="2"/>
    <n v="2"/>
    <n v="0"/>
  </r>
  <r>
    <n v="25307"/>
    <x v="0"/>
    <s v="Female"/>
    <n v="40000"/>
    <x v="0"/>
    <x v="0"/>
    <s v="Skilled Manual"/>
    <s v="Yes"/>
    <x v="1"/>
    <x v="3"/>
    <x v="0"/>
    <n v="32"/>
    <s v="Yes"/>
    <x v="2"/>
    <n v="2"/>
    <s v="$40k-60k"/>
    <n v="2"/>
    <x v="0"/>
    <n v="2"/>
    <n v="4"/>
    <n v="1"/>
  </r>
  <r>
    <n v="14278"/>
    <x v="0"/>
    <s v="Female"/>
    <n v="130000"/>
    <x v="3"/>
    <x v="4"/>
    <s v="Management"/>
    <s v="Yes"/>
    <x v="1"/>
    <x v="4"/>
    <x v="1"/>
    <n v="48"/>
    <s v="No"/>
    <x v="0"/>
    <n v="3"/>
    <s v="$100k+"/>
    <n v="4"/>
    <x v="0"/>
    <n v="5"/>
    <n v="5"/>
    <n v="0"/>
  </r>
  <r>
    <n v="20711"/>
    <x v="0"/>
    <s v="Female"/>
    <n v="40000"/>
    <x v="0"/>
    <x v="0"/>
    <s v="Skilled Manual"/>
    <s v="Yes"/>
    <x v="0"/>
    <x v="3"/>
    <x v="0"/>
    <n v="32"/>
    <s v="Yes"/>
    <x v="2"/>
    <n v="2"/>
    <s v="$40k-60k"/>
    <n v="2"/>
    <x v="0"/>
    <n v="2"/>
    <n v="4"/>
    <n v="1"/>
  </r>
  <r>
    <n v="11383"/>
    <x v="0"/>
    <s v="Female"/>
    <n v="30000"/>
    <x v="1"/>
    <x v="4"/>
    <s v="Clerical"/>
    <s v="Yes"/>
    <x v="0"/>
    <x v="0"/>
    <x v="0"/>
    <n v="46"/>
    <s v="No"/>
    <x v="0"/>
    <n v="3"/>
    <s v="$10k-30k"/>
    <n v="1"/>
    <x v="0"/>
    <n v="1"/>
    <n v="5"/>
    <n v="0"/>
  </r>
  <r>
    <n v="12497"/>
    <x v="0"/>
    <s v="Female"/>
    <n v="40000"/>
    <x v="0"/>
    <x v="0"/>
    <s v="Skilled Manual"/>
    <s v="Yes"/>
    <x v="0"/>
    <x v="0"/>
    <x v="0"/>
    <n v="42"/>
    <s v="No"/>
    <x v="0"/>
    <n v="3"/>
    <s v="$40k-60k"/>
    <n v="2"/>
    <x v="0"/>
    <n v="1"/>
    <n v="4"/>
    <n v="0"/>
  </r>
  <r>
    <n v="16559"/>
    <x v="1"/>
    <s v="Female"/>
    <n v="10000"/>
    <x v="4"/>
    <x v="2"/>
    <s v="Manual"/>
    <s v="Yes"/>
    <x v="0"/>
    <x v="0"/>
    <x v="0"/>
    <n v="36"/>
    <s v="Yes"/>
    <x v="2"/>
    <n v="2"/>
    <s v="$10k-30k"/>
    <n v="1"/>
    <x v="0"/>
    <n v="1"/>
    <n v="2"/>
    <n v="1"/>
  </r>
  <r>
    <n v="11585"/>
    <x v="0"/>
    <s v="Female"/>
    <n v="40000"/>
    <x v="0"/>
    <x v="0"/>
    <s v="Skilled Manual"/>
    <s v="Yes"/>
    <x v="0"/>
    <x v="0"/>
    <x v="0"/>
    <n v="41"/>
    <s v="No"/>
    <x v="0"/>
    <n v="3"/>
    <s v="$40k-60k"/>
    <n v="2"/>
    <x v="0"/>
    <n v="1"/>
    <n v="4"/>
    <n v="0"/>
  </r>
  <r>
    <n v="20277"/>
    <x v="0"/>
    <s v="Female"/>
    <n v="30000"/>
    <x v="4"/>
    <x v="1"/>
    <s v="Clerical"/>
    <s v="No"/>
    <x v="2"/>
    <x v="0"/>
    <x v="1"/>
    <n v="69"/>
    <s v="No"/>
    <x v="3"/>
    <n v="5"/>
    <s v="$10k-30k"/>
    <n v="1"/>
    <x v="1"/>
    <n v="1"/>
    <n v="3"/>
    <n v="0"/>
  </r>
  <r>
    <n v="26765"/>
    <x v="1"/>
    <s v="Female"/>
    <n v="70000"/>
    <x v="2"/>
    <x v="1"/>
    <s v="Skilled Manual"/>
    <s v="Yes"/>
    <x v="2"/>
    <x v="2"/>
    <x v="1"/>
    <n v="45"/>
    <s v="No"/>
    <x v="0"/>
    <n v="3"/>
    <s v="$70k-90k"/>
    <n v="3"/>
    <x v="1"/>
    <n v="4"/>
    <n v="3"/>
    <n v="0"/>
  </r>
  <r>
    <n v="12389"/>
    <x v="1"/>
    <s v="Male"/>
    <n v="30000"/>
    <x v="3"/>
    <x v="2"/>
    <s v="Manual"/>
    <s v="No"/>
    <x v="1"/>
    <x v="1"/>
    <x v="0"/>
    <n v="34"/>
    <s v="No"/>
    <x v="2"/>
    <n v="2"/>
    <s v="$10k-30k"/>
    <n v="1"/>
    <x v="0"/>
    <n v="3"/>
    <n v="2"/>
    <n v="0"/>
  </r>
  <r>
    <n v="13585"/>
    <x v="0"/>
    <s v="Female"/>
    <n v="80000"/>
    <x v="5"/>
    <x v="1"/>
    <s v="Professional"/>
    <s v="No"/>
    <x v="1"/>
    <x v="1"/>
    <x v="0"/>
    <n v="53"/>
    <s v="Yes"/>
    <x v="1"/>
    <n v="4"/>
    <s v="$70k-90k"/>
    <n v="3"/>
    <x v="0"/>
    <n v="3"/>
    <n v="3"/>
    <n v="1"/>
  </r>
  <r>
    <n v="26385"/>
    <x v="1"/>
    <s v="Male"/>
    <n v="120000"/>
    <x v="1"/>
    <x v="2"/>
    <s v="Professional"/>
    <s v="No"/>
    <x v="3"/>
    <x v="2"/>
    <x v="0"/>
    <n v="50"/>
    <s v="No"/>
    <x v="0"/>
    <n v="3"/>
    <s v="$100k+"/>
    <n v="4"/>
    <x v="1"/>
    <n v="4"/>
    <n v="2"/>
    <n v="0"/>
  </r>
  <r>
    <n v="12236"/>
    <x v="0"/>
    <s v="Female"/>
    <n v="20000"/>
    <x v="0"/>
    <x v="1"/>
    <s v="Manual"/>
    <s v="Yes"/>
    <x v="0"/>
    <x v="0"/>
    <x v="0"/>
    <n v="65"/>
    <s v="No"/>
    <x v="3"/>
    <n v="5"/>
    <s v="$10k-30k"/>
    <n v="1"/>
    <x v="0"/>
    <n v="1"/>
    <n v="3"/>
    <n v="0"/>
  </r>
  <r>
    <n v="21560"/>
    <x v="0"/>
    <s v="Male"/>
    <n v="120000"/>
    <x v="3"/>
    <x v="3"/>
    <s v="Professional"/>
    <s v="Yes"/>
    <x v="3"/>
    <x v="4"/>
    <x v="1"/>
    <n v="32"/>
    <s v="Yes"/>
    <x v="2"/>
    <n v="2"/>
    <s v="$100k+"/>
    <n v="4"/>
    <x v="1"/>
    <n v="5"/>
    <n v="1"/>
    <n v="1"/>
  </r>
  <r>
    <n v="21554"/>
    <x v="1"/>
    <s v="Female"/>
    <n v="80000"/>
    <x v="3"/>
    <x v="0"/>
    <s v="Professional"/>
    <s v="No"/>
    <x v="4"/>
    <x v="4"/>
    <x v="1"/>
    <n v="33"/>
    <s v="No"/>
    <x v="2"/>
    <n v="2"/>
    <s v="$70k-90k"/>
    <n v="3"/>
    <x v="1"/>
    <n v="5"/>
    <n v="4"/>
    <n v="0"/>
  </r>
  <r>
    <n v="13662"/>
    <x v="1"/>
    <s v="Male"/>
    <n v="20000"/>
    <x v="3"/>
    <x v="3"/>
    <s v="Manual"/>
    <s v="Yes"/>
    <x v="2"/>
    <x v="3"/>
    <x v="0"/>
    <n v="31"/>
    <s v="Yes"/>
    <x v="2"/>
    <n v="2"/>
    <s v="$10k-30k"/>
    <n v="1"/>
    <x v="1"/>
    <n v="2"/>
    <n v="1"/>
    <n v="1"/>
  </r>
  <r>
    <n v="13089"/>
    <x v="0"/>
    <s v="Female"/>
    <n v="120000"/>
    <x v="0"/>
    <x v="0"/>
    <s v="Management"/>
    <s v="Yes"/>
    <x v="2"/>
    <x v="0"/>
    <x v="1"/>
    <n v="46"/>
    <s v="Yes"/>
    <x v="0"/>
    <n v="3"/>
    <s v="$100k+"/>
    <n v="4"/>
    <x v="1"/>
    <n v="1"/>
    <n v="4"/>
    <n v="1"/>
  </r>
  <r>
    <n v="14791"/>
    <x v="0"/>
    <s v="Female"/>
    <n v="40000"/>
    <x v="3"/>
    <x v="0"/>
    <s v="Clerical"/>
    <s v="Yes"/>
    <x v="0"/>
    <x v="0"/>
    <x v="0"/>
    <n v="39"/>
    <s v="Yes"/>
    <x v="2"/>
    <n v="2"/>
    <s v="$40k-60k"/>
    <n v="2"/>
    <x v="0"/>
    <n v="1"/>
    <n v="4"/>
    <n v="1"/>
  </r>
  <r>
    <n v="19331"/>
    <x v="1"/>
    <s v="Male"/>
    <n v="20000"/>
    <x v="4"/>
    <x v="2"/>
    <s v="Manual"/>
    <s v="Yes"/>
    <x v="1"/>
    <x v="0"/>
    <x v="0"/>
    <n v="40"/>
    <s v="No"/>
    <x v="2"/>
    <n v="2"/>
    <s v="$10k-30k"/>
    <n v="1"/>
    <x v="0"/>
    <n v="1"/>
    <n v="2"/>
    <n v="0"/>
  </r>
  <r>
    <n v="17754"/>
    <x v="1"/>
    <s v="Female"/>
    <n v="30000"/>
    <x v="1"/>
    <x v="0"/>
    <s v="Clerical"/>
    <s v="Yes"/>
    <x v="0"/>
    <x v="0"/>
    <x v="0"/>
    <n v="46"/>
    <s v="Yes"/>
    <x v="0"/>
    <n v="3"/>
    <s v="$10k-30k"/>
    <n v="1"/>
    <x v="0"/>
    <n v="1"/>
    <n v="4"/>
    <n v="1"/>
  </r>
  <r>
    <n v="11149"/>
    <x v="0"/>
    <s v="Male"/>
    <n v="40000"/>
    <x v="4"/>
    <x v="0"/>
    <s v="Management"/>
    <s v="Yes"/>
    <x v="2"/>
    <x v="0"/>
    <x v="1"/>
    <n v="65"/>
    <s v="No"/>
    <x v="3"/>
    <n v="5"/>
    <s v="$40k-60k"/>
    <n v="2"/>
    <x v="1"/>
    <n v="1"/>
    <n v="4"/>
    <n v="0"/>
  </r>
  <r>
    <n v="16549"/>
    <x v="1"/>
    <s v="Female"/>
    <n v="30000"/>
    <x v="1"/>
    <x v="0"/>
    <s v="Clerical"/>
    <s v="Yes"/>
    <x v="0"/>
    <x v="0"/>
    <x v="0"/>
    <n v="47"/>
    <s v="Yes"/>
    <x v="0"/>
    <n v="3"/>
    <s v="$10k-30k"/>
    <n v="1"/>
    <x v="0"/>
    <n v="1"/>
    <n v="4"/>
    <n v="1"/>
  </r>
  <r>
    <n v="24305"/>
    <x v="1"/>
    <s v="Male"/>
    <n v="100000"/>
    <x v="0"/>
    <x v="0"/>
    <s v="Management"/>
    <s v="No"/>
    <x v="4"/>
    <x v="0"/>
    <x v="1"/>
    <n v="46"/>
    <s v="Yes"/>
    <x v="0"/>
    <n v="3"/>
    <s v="$100k+"/>
    <n v="4"/>
    <x v="1"/>
    <n v="1"/>
    <n v="4"/>
    <n v="1"/>
  </r>
  <r>
    <n v="18253"/>
    <x v="0"/>
    <s v="Female"/>
    <n v="80000"/>
    <x v="2"/>
    <x v="4"/>
    <s v="Management"/>
    <s v="Yes"/>
    <x v="4"/>
    <x v="0"/>
    <x v="1"/>
    <n v="40"/>
    <s v="No"/>
    <x v="2"/>
    <n v="2"/>
    <s v="$70k-90k"/>
    <n v="3"/>
    <x v="1"/>
    <n v="1"/>
    <n v="5"/>
    <n v="0"/>
  </r>
  <r>
    <n v="20147"/>
    <x v="0"/>
    <s v="Female"/>
    <n v="30000"/>
    <x v="0"/>
    <x v="0"/>
    <s v="Clerical"/>
    <s v="Yes"/>
    <x v="0"/>
    <x v="0"/>
    <x v="0"/>
    <n v="65"/>
    <s v="No"/>
    <x v="3"/>
    <n v="5"/>
    <s v="$10k-30k"/>
    <n v="1"/>
    <x v="0"/>
    <n v="1"/>
    <n v="4"/>
    <n v="0"/>
  </r>
  <r>
    <n v="15612"/>
    <x v="1"/>
    <s v="Male"/>
    <n v="30000"/>
    <x v="3"/>
    <x v="2"/>
    <s v="Manual"/>
    <s v="No"/>
    <x v="1"/>
    <x v="3"/>
    <x v="0"/>
    <n v="28"/>
    <s v="No"/>
    <x v="4"/>
    <n v="1"/>
    <s v="$10k-30k"/>
    <n v="1"/>
    <x v="0"/>
    <n v="2"/>
    <n v="2"/>
    <n v="0"/>
  </r>
  <r>
    <n v="28323"/>
    <x v="1"/>
    <s v="Male"/>
    <n v="70000"/>
    <x v="3"/>
    <x v="0"/>
    <s v="Professional"/>
    <s v="No"/>
    <x v="2"/>
    <x v="2"/>
    <x v="1"/>
    <n v="43"/>
    <s v="Yes"/>
    <x v="0"/>
    <n v="3"/>
    <s v="$70k-90k"/>
    <n v="3"/>
    <x v="1"/>
    <n v="4"/>
    <n v="4"/>
    <n v="1"/>
  </r>
  <r>
    <n v="22634"/>
    <x v="1"/>
    <s v="Female"/>
    <n v="40000"/>
    <x v="3"/>
    <x v="4"/>
    <s v="Clerical"/>
    <s v="Yes"/>
    <x v="0"/>
    <x v="0"/>
    <x v="0"/>
    <n v="38"/>
    <s v="Yes"/>
    <x v="2"/>
    <n v="2"/>
    <s v="$40k-60k"/>
    <n v="2"/>
    <x v="0"/>
    <n v="1"/>
    <n v="5"/>
    <n v="1"/>
  </r>
  <r>
    <n v="15665"/>
    <x v="0"/>
    <s v="Female"/>
    <n v="30000"/>
    <x v="3"/>
    <x v="0"/>
    <s v="Clerical"/>
    <s v="Yes"/>
    <x v="0"/>
    <x v="0"/>
    <x v="0"/>
    <n v="47"/>
    <s v="Yes"/>
    <x v="0"/>
    <n v="3"/>
    <s v="$10k-30k"/>
    <n v="1"/>
    <x v="0"/>
    <n v="1"/>
    <n v="4"/>
    <n v="1"/>
  </r>
  <r>
    <n v="27585"/>
    <x v="0"/>
    <s v="Female"/>
    <n v="90000"/>
    <x v="4"/>
    <x v="0"/>
    <s v="Professional"/>
    <s v="No"/>
    <x v="0"/>
    <x v="0"/>
    <x v="1"/>
    <n v="36"/>
    <s v="Yes"/>
    <x v="2"/>
    <n v="2"/>
    <s v="$70k-90k"/>
    <n v="3"/>
    <x v="0"/>
    <n v="1"/>
    <n v="4"/>
    <n v="1"/>
  </r>
  <r>
    <n v="19748"/>
    <x v="0"/>
    <s v="Male"/>
    <n v="20000"/>
    <x v="5"/>
    <x v="2"/>
    <s v="Skilled Manual"/>
    <s v="No"/>
    <x v="2"/>
    <x v="3"/>
    <x v="1"/>
    <n v="60"/>
    <s v="No"/>
    <x v="1"/>
    <n v="4"/>
    <s v="$10k-30k"/>
    <n v="1"/>
    <x v="1"/>
    <n v="2"/>
    <n v="2"/>
    <n v="0"/>
  </r>
  <r>
    <n v="21974"/>
    <x v="1"/>
    <s v="Female"/>
    <n v="70000"/>
    <x v="3"/>
    <x v="0"/>
    <s v="Professional"/>
    <s v="Yes"/>
    <x v="1"/>
    <x v="2"/>
    <x v="1"/>
    <n v="42"/>
    <s v="Yes"/>
    <x v="0"/>
    <n v="3"/>
    <s v="$70k-90k"/>
    <n v="3"/>
    <x v="0"/>
    <n v="4"/>
    <n v="4"/>
    <n v="1"/>
  </r>
  <r>
    <n v="14032"/>
    <x v="0"/>
    <s v="Male"/>
    <n v="70000"/>
    <x v="4"/>
    <x v="2"/>
    <s v="Skilled Manual"/>
    <s v="No"/>
    <x v="2"/>
    <x v="3"/>
    <x v="1"/>
    <n v="50"/>
    <s v="Yes"/>
    <x v="0"/>
    <n v="3"/>
    <s v="$70k-90k"/>
    <n v="3"/>
    <x v="1"/>
    <n v="2"/>
    <n v="2"/>
    <n v="1"/>
  </r>
  <r>
    <n v="22610"/>
    <x v="0"/>
    <s v="Male"/>
    <n v="30000"/>
    <x v="3"/>
    <x v="0"/>
    <s v="Clerical"/>
    <s v="Yes"/>
    <x v="0"/>
    <x v="0"/>
    <x v="0"/>
    <n v="35"/>
    <s v="Yes"/>
    <x v="2"/>
    <n v="2"/>
    <s v="$10k-30k"/>
    <n v="1"/>
    <x v="0"/>
    <n v="1"/>
    <n v="4"/>
    <n v="1"/>
  </r>
  <r>
    <n v="26984"/>
    <x v="0"/>
    <s v="Male"/>
    <n v="40000"/>
    <x v="0"/>
    <x v="0"/>
    <s v="Skilled Manual"/>
    <s v="Yes"/>
    <x v="1"/>
    <x v="0"/>
    <x v="0"/>
    <n v="32"/>
    <s v="Yes"/>
    <x v="2"/>
    <n v="2"/>
    <s v="$40k-60k"/>
    <n v="2"/>
    <x v="0"/>
    <n v="1"/>
    <n v="4"/>
    <n v="1"/>
  </r>
  <r>
    <n v="18294"/>
    <x v="0"/>
    <s v="Female"/>
    <n v="90000"/>
    <x v="0"/>
    <x v="0"/>
    <s v="Professional"/>
    <s v="Yes"/>
    <x v="1"/>
    <x v="2"/>
    <x v="1"/>
    <n v="46"/>
    <s v="No"/>
    <x v="0"/>
    <n v="3"/>
    <s v="$70k-90k"/>
    <n v="3"/>
    <x v="0"/>
    <n v="4"/>
    <n v="4"/>
    <n v="0"/>
  </r>
  <r>
    <n v="28564"/>
    <x v="1"/>
    <s v="Female"/>
    <n v="40000"/>
    <x v="4"/>
    <x v="1"/>
    <s v="Clerical"/>
    <s v="Yes"/>
    <x v="0"/>
    <x v="3"/>
    <x v="0"/>
    <n v="33"/>
    <s v="Yes"/>
    <x v="2"/>
    <n v="2"/>
    <s v="$40k-60k"/>
    <n v="2"/>
    <x v="0"/>
    <n v="2"/>
    <n v="3"/>
    <n v="1"/>
  </r>
  <r>
    <n v="28521"/>
    <x v="1"/>
    <s v="Male"/>
    <n v="40000"/>
    <x v="3"/>
    <x v="4"/>
    <s v="Clerical"/>
    <s v="No"/>
    <x v="0"/>
    <x v="0"/>
    <x v="0"/>
    <n v="36"/>
    <s v="Yes"/>
    <x v="2"/>
    <n v="2"/>
    <s v="$40k-60k"/>
    <n v="2"/>
    <x v="0"/>
    <n v="1"/>
    <n v="5"/>
    <n v="1"/>
  </r>
  <r>
    <n v="15450"/>
    <x v="0"/>
    <s v="Male"/>
    <n v="10000"/>
    <x v="0"/>
    <x v="4"/>
    <s v="Clerical"/>
    <s v="Yes"/>
    <x v="0"/>
    <x v="0"/>
    <x v="0"/>
    <n v="70"/>
    <s v="No"/>
    <x v="3"/>
    <n v="5"/>
    <s v="$10k-30k"/>
    <n v="1"/>
    <x v="0"/>
    <n v="1"/>
    <n v="5"/>
    <n v="0"/>
  </r>
  <r>
    <n v="25681"/>
    <x v="1"/>
    <s v="Female"/>
    <n v="30000"/>
    <x v="3"/>
    <x v="1"/>
    <s v="Clerical"/>
    <s v="No"/>
    <x v="1"/>
    <x v="1"/>
    <x v="0"/>
    <n v="31"/>
    <s v="Yes"/>
    <x v="2"/>
    <n v="2"/>
    <s v="$10k-30k"/>
    <n v="1"/>
    <x v="0"/>
    <n v="3"/>
    <n v="3"/>
    <n v="1"/>
  </r>
  <r>
    <n v="19491"/>
    <x v="1"/>
    <s v="Male"/>
    <n v="30000"/>
    <x v="4"/>
    <x v="1"/>
    <s v="Clerical"/>
    <s v="Yes"/>
    <x v="2"/>
    <x v="0"/>
    <x v="0"/>
    <n v="42"/>
    <s v="No"/>
    <x v="0"/>
    <n v="3"/>
    <s v="$10k-30k"/>
    <n v="1"/>
    <x v="1"/>
    <n v="1"/>
    <n v="3"/>
    <n v="0"/>
  </r>
  <r>
    <n v="26415"/>
    <x v="0"/>
    <s v="Female"/>
    <n v="90000"/>
    <x v="5"/>
    <x v="3"/>
    <s v="Skilled Manual"/>
    <s v="Yes"/>
    <x v="3"/>
    <x v="4"/>
    <x v="0"/>
    <n v="58"/>
    <s v="No"/>
    <x v="1"/>
    <n v="4"/>
    <s v="$70k-90k"/>
    <n v="3"/>
    <x v="1"/>
    <n v="5"/>
    <n v="1"/>
    <n v="0"/>
  </r>
  <r>
    <n v="12821"/>
    <x v="0"/>
    <s v="Male"/>
    <n v="40000"/>
    <x v="3"/>
    <x v="0"/>
    <s v="Clerical"/>
    <s v="Yes"/>
    <x v="0"/>
    <x v="0"/>
    <x v="0"/>
    <n v="39"/>
    <s v="No"/>
    <x v="2"/>
    <n v="2"/>
    <s v="$40k-60k"/>
    <n v="2"/>
    <x v="0"/>
    <n v="1"/>
    <n v="4"/>
    <n v="0"/>
  </r>
  <r>
    <n v="15629"/>
    <x v="1"/>
    <s v="Female"/>
    <n v="10000"/>
    <x v="3"/>
    <x v="3"/>
    <s v="Manual"/>
    <s v="Yes"/>
    <x v="2"/>
    <x v="3"/>
    <x v="0"/>
    <n v="34"/>
    <s v="No"/>
    <x v="2"/>
    <n v="2"/>
    <s v="$10k-30k"/>
    <n v="1"/>
    <x v="1"/>
    <n v="2"/>
    <n v="1"/>
    <n v="0"/>
  </r>
  <r>
    <n v="27835"/>
    <x v="0"/>
    <s v="Male"/>
    <n v="20000"/>
    <x v="3"/>
    <x v="3"/>
    <s v="Manual"/>
    <s v="Yes"/>
    <x v="2"/>
    <x v="0"/>
    <x v="0"/>
    <n v="32"/>
    <s v="No"/>
    <x v="2"/>
    <n v="2"/>
    <s v="$10k-30k"/>
    <n v="1"/>
    <x v="1"/>
    <n v="1"/>
    <n v="1"/>
    <n v="0"/>
  </r>
  <r>
    <n v="11738"/>
    <x v="0"/>
    <s v="Male"/>
    <n v="60000"/>
    <x v="5"/>
    <x v="0"/>
    <s v="Professional"/>
    <s v="Yes"/>
    <x v="0"/>
    <x v="1"/>
    <x v="2"/>
    <n v="46"/>
    <s v="No"/>
    <x v="0"/>
    <n v="3"/>
    <s v="$40k-60k"/>
    <n v="2"/>
    <x v="0"/>
    <n v="3"/>
    <n v="4"/>
    <n v="0"/>
  </r>
  <r>
    <n v="25065"/>
    <x v="0"/>
    <s v="Male"/>
    <n v="70000"/>
    <x v="4"/>
    <x v="3"/>
    <s v="Skilled Manual"/>
    <s v="Yes"/>
    <x v="2"/>
    <x v="2"/>
    <x v="2"/>
    <n v="48"/>
    <s v="No"/>
    <x v="0"/>
    <n v="3"/>
    <s v="$70k-90k"/>
    <n v="3"/>
    <x v="1"/>
    <n v="4"/>
    <n v="1"/>
    <n v="0"/>
  </r>
  <r>
    <n v="26238"/>
    <x v="1"/>
    <s v="Female"/>
    <n v="40000"/>
    <x v="1"/>
    <x v="1"/>
    <s v="Clerical"/>
    <s v="Yes"/>
    <x v="1"/>
    <x v="3"/>
    <x v="2"/>
    <n v="31"/>
    <s v="Yes"/>
    <x v="2"/>
    <n v="2"/>
    <s v="$40k-60k"/>
    <n v="2"/>
    <x v="0"/>
    <n v="2"/>
    <n v="3"/>
    <n v="1"/>
  </r>
  <r>
    <n v="23707"/>
    <x v="1"/>
    <s v="Male"/>
    <n v="70000"/>
    <x v="2"/>
    <x v="0"/>
    <s v="Management"/>
    <s v="Yes"/>
    <x v="4"/>
    <x v="4"/>
    <x v="2"/>
    <n v="60"/>
    <s v="Yes"/>
    <x v="1"/>
    <n v="4"/>
    <s v="$70k-90k"/>
    <n v="3"/>
    <x v="1"/>
    <n v="5"/>
    <n v="4"/>
    <n v="1"/>
  </r>
  <r>
    <n v="27650"/>
    <x v="0"/>
    <s v="Male"/>
    <n v="70000"/>
    <x v="5"/>
    <x v="2"/>
    <s v="Professional"/>
    <s v="Yes"/>
    <x v="0"/>
    <x v="2"/>
    <x v="2"/>
    <n v="51"/>
    <s v="No"/>
    <x v="1"/>
    <n v="4"/>
    <s v="$70k-90k"/>
    <n v="3"/>
    <x v="0"/>
    <n v="4"/>
    <n v="2"/>
    <n v="0"/>
  </r>
  <r>
    <n v="24981"/>
    <x v="0"/>
    <s v="Male"/>
    <n v="60000"/>
    <x v="4"/>
    <x v="1"/>
    <s v="Professional"/>
    <s v="Yes"/>
    <x v="2"/>
    <x v="4"/>
    <x v="2"/>
    <n v="56"/>
    <s v="No"/>
    <x v="1"/>
    <n v="4"/>
    <s v="$40k-60k"/>
    <n v="2"/>
    <x v="1"/>
    <n v="5"/>
    <n v="3"/>
    <n v="0"/>
  </r>
  <r>
    <n v="20678"/>
    <x v="1"/>
    <s v="Female"/>
    <n v="60000"/>
    <x v="1"/>
    <x v="0"/>
    <s v="Skilled Manual"/>
    <s v="Yes"/>
    <x v="1"/>
    <x v="1"/>
    <x v="2"/>
    <n v="40"/>
    <s v="Yes"/>
    <x v="2"/>
    <n v="2"/>
    <s v="$40k-60k"/>
    <n v="2"/>
    <x v="0"/>
    <n v="3"/>
    <n v="4"/>
    <n v="1"/>
  </r>
  <r>
    <n v="15302"/>
    <x v="1"/>
    <s v="Female"/>
    <n v="70000"/>
    <x v="0"/>
    <x v="4"/>
    <s v="Professional"/>
    <s v="Yes"/>
    <x v="0"/>
    <x v="1"/>
    <x v="2"/>
    <n v="34"/>
    <s v="Yes"/>
    <x v="2"/>
    <n v="2"/>
    <s v="$70k-90k"/>
    <n v="3"/>
    <x v="0"/>
    <n v="3"/>
    <n v="5"/>
    <n v="1"/>
  </r>
  <r>
    <n v="26012"/>
    <x v="0"/>
    <s v="Male"/>
    <n v="80000"/>
    <x v="0"/>
    <x v="1"/>
    <s v="Skilled Manual"/>
    <s v="Yes"/>
    <x v="1"/>
    <x v="1"/>
    <x v="2"/>
    <n v="48"/>
    <s v="Yes"/>
    <x v="0"/>
    <n v="3"/>
    <s v="$70k-90k"/>
    <n v="3"/>
    <x v="0"/>
    <n v="3"/>
    <n v="3"/>
    <n v="1"/>
  </r>
  <r>
    <n v="26575"/>
    <x v="1"/>
    <s v="Female"/>
    <n v="40000"/>
    <x v="3"/>
    <x v="2"/>
    <s v="Skilled Manual"/>
    <s v="No"/>
    <x v="2"/>
    <x v="3"/>
    <x v="2"/>
    <n v="31"/>
    <s v="Yes"/>
    <x v="2"/>
    <n v="2"/>
    <s v="$40k-60k"/>
    <n v="2"/>
    <x v="1"/>
    <n v="2"/>
    <n v="2"/>
    <n v="1"/>
  </r>
  <r>
    <n v="15559"/>
    <x v="0"/>
    <s v="Male"/>
    <n v="60000"/>
    <x v="2"/>
    <x v="0"/>
    <s v="Professional"/>
    <s v="Yes"/>
    <x v="1"/>
    <x v="1"/>
    <x v="2"/>
    <n v="47"/>
    <s v="No"/>
    <x v="0"/>
    <n v="3"/>
    <s v="$40k-60k"/>
    <n v="2"/>
    <x v="0"/>
    <n v="3"/>
    <n v="4"/>
    <n v="0"/>
  </r>
  <r>
    <n v="19235"/>
    <x v="0"/>
    <s v="Female"/>
    <n v="50000"/>
    <x v="3"/>
    <x v="4"/>
    <s v="Skilled Manual"/>
    <s v="Yes"/>
    <x v="0"/>
    <x v="0"/>
    <x v="2"/>
    <n v="34"/>
    <s v="No"/>
    <x v="2"/>
    <n v="2"/>
    <s v="$40k-60k"/>
    <n v="2"/>
    <x v="0"/>
    <n v="1"/>
    <n v="5"/>
    <n v="0"/>
  </r>
  <r>
    <n v="15275"/>
    <x v="0"/>
    <s v="Male"/>
    <n v="40000"/>
    <x v="3"/>
    <x v="1"/>
    <s v="Skilled Manual"/>
    <s v="Yes"/>
    <x v="1"/>
    <x v="2"/>
    <x v="2"/>
    <n v="29"/>
    <s v="No"/>
    <x v="4"/>
    <n v="1"/>
    <s v="$40k-60k"/>
    <n v="2"/>
    <x v="0"/>
    <n v="4"/>
    <n v="3"/>
    <n v="0"/>
  </r>
  <r>
    <n v="20339"/>
    <x v="0"/>
    <s v="Female"/>
    <n v="130000"/>
    <x v="0"/>
    <x v="0"/>
    <s v="Management"/>
    <s v="Yes"/>
    <x v="3"/>
    <x v="1"/>
    <x v="2"/>
    <n v="44"/>
    <s v="Yes"/>
    <x v="0"/>
    <n v="3"/>
    <s v="$100k+"/>
    <n v="4"/>
    <x v="1"/>
    <n v="3"/>
    <n v="4"/>
    <n v="1"/>
  </r>
  <r>
    <n v="25405"/>
    <x v="0"/>
    <s v="Male"/>
    <n v="70000"/>
    <x v="4"/>
    <x v="0"/>
    <s v="Skilled Manual"/>
    <s v="Yes"/>
    <x v="1"/>
    <x v="1"/>
    <x v="2"/>
    <n v="38"/>
    <s v="Yes"/>
    <x v="2"/>
    <n v="2"/>
    <s v="$70k-90k"/>
    <n v="3"/>
    <x v="0"/>
    <n v="3"/>
    <n v="4"/>
    <n v="1"/>
  </r>
  <r>
    <n v="15940"/>
    <x v="0"/>
    <s v="Male"/>
    <n v="100000"/>
    <x v="5"/>
    <x v="1"/>
    <s v="Professional"/>
    <s v="Yes"/>
    <x v="3"/>
    <x v="0"/>
    <x v="2"/>
    <n v="40"/>
    <s v="No"/>
    <x v="2"/>
    <n v="2"/>
    <s v="$100k+"/>
    <n v="4"/>
    <x v="1"/>
    <n v="1"/>
    <n v="3"/>
    <n v="0"/>
  </r>
  <r>
    <n v="25074"/>
    <x v="0"/>
    <s v="Female"/>
    <n v="70000"/>
    <x v="5"/>
    <x v="0"/>
    <s v="Professional"/>
    <s v="Yes"/>
    <x v="2"/>
    <x v="1"/>
    <x v="2"/>
    <n v="42"/>
    <s v="Yes"/>
    <x v="0"/>
    <n v="3"/>
    <s v="$70k-90k"/>
    <n v="3"/>
    <x v="1"/>
    <n v="3"/>
    <n v="4"/>
    <n v="1"/>
  </r>
  <r>
    <n v="24738"/>
    <x v="0"/>
    <s v="Female"/>
    <n v="40000"/>
    <x v="0"/>
    <x v="1"/>
    <s v="Clerical"/>
    <s v="Yes"/>
    <x v="1"/>
    <x v="3"/>
    <x v="2"/>
    <n v="51"/>
    <s v="Yes"/>
    <x v="1"/>
    <n v="4"/>
    <s v="$40k-60k"/>
    <n v="2"/>
    <x v="0"/>
    <n v="2"/>
    <n v="3"/>
    <n v="1"/>
  </r>
  <r>
    <n v="16337"/>
    <x v="0"/>
    <s v="Male"/>
    <n v="60000"/>
    <x v="3"/>
    <x v="1"/>
    <s v="Skilled Manual"/>
    <s v="No"/>
    <x v="2"/>
    <x v="3"/>
    <x v="2"/>
    <n v="29"/>
    <s v="No"/>
    <x v="4"/>
    <n v="1"/>
    <s v="$40k-60k"/>
    <n v="2"/>
    <x v="1"/>
    <n v="2"/>
    <n v="3"/>
    <n v="0"/>
  </r>
  <r>
    <n v="24357"/>
    <x v="0"/>
    <s v="Male"/>
    <n v="80000"/>
    <x v="1"/>
    <x v="0"/>
    <s v="Professional"/>
    <s v="Yes"/>
    <x v="1"/>
    <x v="1"/>
    <x v="2"/>
    <n v="48"/>
    <s v="Yes"/>
    <x v="0"/>
    <n v="3"/>
    <s v="$70k-90k"/>
    <n v="3"/>
    <x v="0"/>
    <n v="3"/>
    <n v="4"/>
    <n v="1"/>
  </r>
  <r>
    <n v="18613"/>
    <x v="1"/>
    <s v="Male"/>
    <n v="70000"/>
    <x v="3"/>
    <x v="0"/>
    <s v="Professional"/>
    <s v="No"/>
    <x v="1"/>
    <x v="1"/>
    <x v="2"/>
    <n v="37"/>
    <s v="Yes"/>
    <x v="2"/>
    <n v="2"/>
    <s v="$70k-90k"/>
    <n v="3"/>
    <x v="0"/>
    <n v="3"/>
    <n v="4"/>
    <n v="1"/>
  </r>
  <r>
    <n v="12207"/>
    <x v="1"/>
    <s v="Male"/>
    <n v="80000"/>
    <x v="5"/>
    <x v="0"/>
    <s v="Management"/>
    <s v="Yes"/>
    <x v="0"/>
    <x v="2"/>
    <x v="2"/>
    <n v="66"/>
    <s v="Yes"/>
    <x v="3"/>
    <n v="5"/>
    <s v="$70k-90k"/>
    <n v="3"/>
    <x v="0"/>
    <n v="4"/>
    <n v="4"/>
    <n v="1"/>
  </r>
  <r>
    <n v="18052"/>
    <x v="0"/>
    <s v="Female"/>
    <n v="60000"/>
    <x v="0"/>
    <x v="1"/>
    <s v="Skilled Manual"/>
    <s v="Yes"/>
    <x v="1"/>
    <x v="0"/>
    <x v="2"/>
    <n v="45"/>
    <s v="Yes"/>
    <x v="0"/>
    <n v="3"/>
    <s v="$40k-60k"/>
    <n v="2"/>
    <x v="0"/>
    <n v="1"/>
    <n v="3"/>
    <n v="1"/>
  </r>
  <r>
    <n v="13353"/>
    <x v="1"/>
    <s v="Female"/>
    <n v="60000"/>
    <x v="5"/>
    <x v="4"/>
    <s v="Management"/>
    <s v="Yes"/>
    <x v="2"/>
    <x v="4"/>
    <x v="2"/>
    <n v="61"/>
    <s v="Yes"/>
    <x v="3"/>
    <n v="5"/>
    <s v="$40k-60k"/>
    <n v="2"/>
    <x v="1"/>
    <n v="5"/>
    <n v="5"/>
    <n v="1"/>
  </r>
  <r>
    <n v="19399"/>
    <x v="1"/>
    <s v="Male"/>
    <n v="40000"/>
    <x v="3"/>
    <x v="0"/>
    <s v="Professional"/>
    <s v="No"/>
    <x v="1"/>
    <x v="1"/>
    <x v="2"/>
    <n v="45"/>
    <s v="No"/>
    <x v="0"/>
    <n v="3"/>
    <s v="$40k-60k"/>
    <n v="2"/>
    <x v="0"/>
    <n v="3"/>
    <n v="4"/>
    <n v="0"/>
  </r>
  <r>
    <n v="16154"/>
    <x v="0"/>
    <s v="Female"/>
    <n v="70000"/>
    <x v="2"/>
    <x v="0"/>
    <s v="Professional"/>
    <s v="Yes"/>
    <x v="2"/>
    <x v="1"/>
    <x v="2"/>
    <n v="47"/>
    <s v="No"/>
    <x v="0"/>
    <n v="3"/>
    <s v="$70k-90k"/>
    <n v="3"/>
    <x v="1"/>
    <n v="3"/>
    <n v="4"/>
    <n v="0"/>
  </r>
  <r>
    <n v="22219"/>
    <x v="0"/>
    <s v="Female"/>
    <n v="60000"/>
    <x v="4"/>
    <x v="2"/>
    <s v="Professional"/>
    <s v="Yes"/>
    <x v="2"/>
    <x v="2"/>
    <x v="2"/>
    <n v="49"/>
    <s v="No"/>
    <x v="0"/>
    <n v="3"/>
    <s v="$40k-60k"/>
    <n v="2"/>
    <x v="1"/>
    <n v="4"/>
    <n v="2"/>
    <n v="0"/>
  </r>
  <r>
    <n v="17269"/>
    <x v="1"/>
    <s v="Male"/>
    <n v="60000"/>
    <x v="1"/>
    <x v="0"/>
    <s v="Professional"/>
    <s v="No"/>
    <x v="0"/>
    <x v="0"/>
    <x v="2"/>
    <n v="47"/>
    <s v="Yes"/>
    <x v="0"/>
    <n v="3"/>
    <s v="$40k-60k"/>
    <n v="2"/>
    <x v="0"/>
    <n v="1"/>
    <n v="4"/>
    <n v="1"/>
  </r>
  <r>
    <n v="23586"/>
    <x v="0"/>
    <s v="Female"/>
    <n v="80000"/>
    <x v="3"/>
    <x v="0"/>
    <s v="Management"/>
    <s v="Yes"/>
    <x v="1"/>
    <x v="3"/>
    <x v="2"/>
    <n v="34"/>
    <s v="Yes"/>
    <x v="2"/>
    <n v="2"/>
    <s v="$70k-90k"/>
    <n v="3"/>
    <x v="0"/>
    <n v="2"/>
    <n v="4"/>
    <n v="1"/>
  </r>
  <r>
    <n v="15740"/>
    <x v="0"/>
    <s v="Male"/>
    <n v="80000"/>
    <x v="2"/>
    <x v="0"/>
    <s v="Management"/>
    <s v="Yes"/>
    <x v="2"/>
    <x v="3"/>
    <x v="2"/>
    <n v="64"/>
    <s v="No"/>
    <x v="3"/>
    <n v="5"/>
    <s v="$70k-90k"/>
    <n v="3"/>
    <x v="1"/>
    <n v="2"/>
    <n v="4"/>
    <n v="0"/>
  </r>
  <r>
    <n v="27638"/>
    <x v="1"/>
    <s v="Male"/>
    <n v="100000"/>
    <x v="0"/>
    <x v="1"/>
    <s v="Professional"/>
    <s v="No"/>
    <x v="4"/>
    <x v="3"/>
    <x v="2"/>
    <n v="44"/>
    <s v="No"/>
    <x v="0"/>
    <n v="3"/>
    <s v="$100k+"/>
    <n v="4"/>
    <x v="1"/>
    <n v="2"/>
    <n v="3"/>
    <n v="0"/>
  </r>
  <r>
    <n v="18976"/>
    <x v="1"/>
    <s v="Male"/>
    <n v="40000"/>
    <x v="5"/>
    <x v="2"/>
    <s v="Professional"/>
    <s v="Yes"/>
    <x v="2"/>
    <x v="4"/>
    <x v="2"/>
    <n v="62"/>
    <s v="Yes"/>
    <x v="3"/>
    <n v="5"/>
    <s v="$40k-60k"/>
    <n v="2"/>
    <x v="1"/>
    <n v="5"/>
    <n v="2"/>
    <n v="1"/>
  </r>
  <r>
    <n v="19413"/>
    <x v="1"/>
    <s v="Male"/>
    <n v="60000"/>
    <x v="1"/>
    <x v="0"/>
    <s v="Professional"/>
    <s v="No"/>
    <x v="1"/>
    <x v="0"/>
    <x v="2"/>
    <n v="47"/>
    <s v="Yes"/>
    <x v="0"/>
    <n v="3"/>
    <s v="$40k-60k"/>
    <n v="2"/>
    <x v="0"/>
    <n v="1"/>
    <n v="4"/>
    <n v="1"/>
  </r>
  <r>
    <n v="13283"/>
    <x v="0"/>
    <s v="Male"/>
    <n v="80000"/>
    <x v="1"/>
    <x v="1"/>
    <s v="Professional"/>
    <s v="No"/>
    <x v="2"/>
    <x v="0"/>
    <x v="2"/>
    <n v="49"/>
    <s v="Yes"/>
    <x v="0"/>
    <n v="3"/>
    <s v="$70k-90k"/>
    <n v="3"/>
    <x v="1"/>
    <n v="1"/>
    <n v="3"/>
    <n v="1"/>
  </r>
  <r>
    <n v="17471"/>
    <x v="1"/>
    <s v="Female"/>
    <n v="80000"/>
    <x v="5"/>
    <x v="4"/>
    <s v="Management"/>
    <s v="Yes"/>
    <x v="2"/>
    <x v="2"/>
    <x v="2"/>
    <n v="67"/>
    <s v="No"/>
    <x v="3"/>
    <n v="5"/>
    <s v="$70k-90k"/>
    <n v="3"/>
    <x v="1"/>
    <n v="4"/>
    <n v="5"/>
    <n v="0"/>
  </r>
  <r>
    <n v="16791"/>
    <x v="1"/>
    <s v="Male"/>
    <n v="60000"/>
    <x v="2"/>
    <x v="0"/>
    <s v="Management"/>
    <s v="Yes"/>
    <x v="4"/>
    <x v="4"/>
    <x v="2"/>
    <n v="59"/>
    <s v="Yes"/>
    <x v="1"/>
    <n v="4"/>
    <s v="$40k-60k"/>
    <n v="2"/>
    <x v="1"/>
    <n v="5"/>
    <n v="4"/>
    <n v="1"/>
  </r>
  <r>
    <n v="15382"/>
    <x v="0"/>
    <s v="Female"/>
    <n v="110000"/>
    <x v="0"/>
    <x v="0"/>
    <s v="Management"/>
    <s v="Yes"/>
    <x v="2"/>
    <x v="3"/>
    <x v="2"/>
    <n v="44"/>
    <s v="No"/>
    <x v="0"/>
    <n v="3"/>
    <s v="$100k+"/>
    <n v="4"/>
    <x v="1"/>
    <n v="2"/>
    <n v="4"/>
    <n v="0"/>
  </r>
  <r>
    <n v="11641"/>
    <x v="0"/>
    <s v="Male"/>
    <n v="50000"/>
    <x v="0"/>
    <x v="0"/>
    <s v="Skilled Manual"/>
    <s v="Yes"/>
    <x v="0"/>
    <x v="0"/>
    <x v="2"/>
    <n v="36"/>
    <s v="No"/>
    <x v="2"/>
    <n v="2"/>
    <s v="$40k-60k"/>
    <n v="2"/>
    <x v="0"/>
    <n v="1"/>
    <n v="4"/>
    <n v="0"/>
  </r>
  <r>
    <n v="11935"/>
    <x v="1"/>
    <s v="Female"/>
    <n v="30000"/>
    <x v="3"/>
    <x v="1"/>
    <s v="Skilled Manual"/>
    <s v="Yes"/>
    <x v="1"/>
    <x v="2"/>
    <x v="2"/>
    <n v="28"/>
    <s v="No"/>
    <x v="4"/>
    <n v="1"/>
    <s v="$10k-30k"/>
    <n v="1"/>
    <x v="0"/>
    <n v="4"/>
    <n v="3"/>
    <n v="0"/>
  </r>
  <r>
    <n v="13233"/>
    <x v="0"/>
    <s v="Male"/>
    <n v="60000"/>
    <x v="4"/>
    <x v="1"/>
    <s v="Professional"/>
    <s v="Yes"/>
    <x v="1"/>
    <x v="4"/>
    <x v="2"/>
    <n v="57"/>
    <s v="Yes"/>
    <x v="1"/>
    <n v="4"/>
    <s v="$40k-60k"/>
    <n v="2"/>
    <x v="0"/>
    <n v="5"/>
    <n v="3"/>
    <n v="1"/>
  </r>
  <r>
    <n v="25909"/>
    <x v="0"/>
    <s v="Male"/>
    <n v="60000"/>
    <x v="3"/>
    <x v="1"/>
    <s v="Skilled Manual"/>
    <s v="Yes"/>
    <x v="1"/>
    <x v="2"/>
    <x v="2"/>
    <n v="27"/>
    <s v="Yes"/>
    <x v="4"/>
    <n v="1"/>
    <s v="$40k-60k"/>
    <n v="2"/>
    <x v="0"/>
    <n v="4"/>
    <n v="3"/>
    <n v="1"/>
  </r>
  <r>
    <n v="14092"/>
    <x v="1"/>
    <s v="Male"/>
    <n v="30000"/>
    <x v="3"/>
    <x v="3"/>
    <s v="Clerical"/>
    <s v="Yes"/>
    <x v="2"/>
    <x v="2"/>
    <x v="2"/>
    <n v="28"/>
    <s v="No"/>
    <x v="4"/>
    <n v="1"/>
    <s v="$10k-30k"/>
    <n v="1"/>
    <x v="1"/>
    <n v="4"/>
    <n v="1"/>
    <n v="0"/>
  </r>
  <r>
    <n v="29143"/>
    <x v="1"/>
    <s v="Female"/>
    <n v="60000"/>
    <x v="0"/>
    <x v="0"/>
    <s v="Professional"/>
    <s v="No"/>
    <x v="1"/>
    <x v="0"/>
    <x v="2"/>
    <n v="44"/>
    <s v="Yes"/>
    <x v="0"/>
    <n v="3"/>
    <s v="$40k-60k"/>
    <n v="2"/>
    <x v="0"/>
    <n v="1"/>
    <n v="4"/>
    <n v="1"/>
  </r>
  <r>
    <n v="24941"/>
    <x v="0"/>
    <s v="Male"/>
    <n v="60000"/>
    <x v="1"/>
    <x v="0"/>
    <s v="Management"/>
    <s v="Yes"/>
    <x v="2"/>
    <x v="4"/>
    <x v="2"/>
    <n v="66"/>
    <s v="No"/>
    <x v="3"/>
    <n v="5"/>
    <s v="$40k-60k"/>
    <n v="2"/>
    <x v="1"/>
    <n v="5"/>
    <n v="4"/>
    <n v="0"/>
  </r>
  <r>
    <n v="24637"/>
    <x v="0"/>
    <s v="Male"/>
    <n v="40000"/>
    <x v="5"/>
    <x v="2"/>
    <s v="Professional"/>
    <s v="Yes"/>
    <x v="2"/>
    <x v="4"/>
    <x v="2"/>
    <n v="64"/>
    <s v="No"/>
    <x v="3"/>
    <n v="5"/>
    <s v="$40k-60k"/>
    <n v="2"/>
    <x v="1"/>
    <n v="5"/>
    <n v="2"/>
    <n v="0"/>
  </r>
  <r>
    <n v="23893"/>
    <x v="0"/>
    <s v="Male"/>
    <n v="50000"/>
    <x v="1"/>
    <x v="0"/>
    <s v="Skilled Manual"/>
    <s v="Yes"/>
    <x v="4"/>
    <x v="4"/>
    <x v="2"/>
    <n v="41"/>
    <s v="No"/>
    <x v="0"/>
    <n v="3"/>
    <s v="$40k-60k"/>
    <n v="2"/>
    <x v="1"/>
    <n v="5"/>
    <n v="4"/>
    <n v="0"/>
  </r>
  <r>
    <n v="13907"/>
    <x v="1"/>
    <s v="Female"/>
    <n v="80000"/>
    <x v="1"/>
    <x v="0"/>
    <s v="Skilled Manual"/>
    <s v="Yes"/>
    <x v="1"/>
    <x v="0"/>
    <x v="2"/>
    <n v="41"/>
    <s v="Yes"/>
    <x v="0"/>
    <n v="3"/>
    <s v="$70k-90k"/>
    <n v="3"/>
    <x v="0"/>
    <n v="1"/>
    <n v="4"/>
    <n v="1"/>
  </r>
  <r>
    <n v="14900"/>
    <x v="0"/>
    <s v="Female"/>
    <n v="40000"/>
    <x v="0"/>
    <x v="1"/>
    <s v="Clerical"/>
    <s v="Yes"/>
    <x v="1"/>
    <x v="3"/>
    <x v="2"/>
    <n v="49"/>
    <s v="Yes"/>
    <x v="0"/>
    <n v="3"/>
    <s v="$40k-60k"/>
    <n v="2"/>
    <x v="0"/>
    <n v="2"/>
    <n v="3"/>
    <n v="1"/>
  </r>
  <r>
    <n v="11262"/>
    <x v="0"/>
    <s v="Female"/>
    <n v="80000"/>
    <x v="5"/>
    <x v="0"/>
    <s v="Management"/>
    <s v="Yes"/>
    <x v="0"/>
    <x v="0"/>
    <x v="2"/>
    <n v="42"/>
    <s v="No"/>
    <x v="0"/>
    <n v="3"/>
    <s v="$70k-90k"/>
    <n v="3"/>
    <x v="0"/>
    <n v="1"/>
    <n v="4"/>
    <n v="0"/>
  </r>
  <r>
    <n v="22294"/>
    <x v="1"/>
    <s v="Female"/>
    <n v="70000"/>
    <x v="3"/>
    <x v="0"/>
    <s v="Professional"/>
    <s v="No"/>
    <x v="1"/>
    <x v="1"/>
    <x v="2"/>
    <n v="37"/>
    <s v="Yes"/>
    <x v="2"/>
    <n v="2"/>
    <s v="$70k-90k"/>
    <n v="3"/>
    <x v="0"/>
    <n v="3"/>
    <n v="4"/>
    <n v="1"/>
  </r>
  <r>
    <n v="12195"/>
    <x v="1"/>
    <s v="Female"/>
    <n v="70000"/>
    <x v="1"/>
    <x v="4"/>
    <s v="Management"/>
    <s v="Yes"/>
    <x v="2"/>
    <x v="3"/>
    <x v="2"/>
    <n v="52"/>
    <s v="No"/>
    <x v="1"/>
    <n v="4"/>
    <s v="$70k-90k"/>
    <n v="3"/>
    <x v="1"/>
    <n v="2"/>
    <n v="5"/>
    <n v="0"/>
  </r>
  <r>
    <n v="25375"/>
    <x v="0"/>
    <s v="Male"/>
    <n v="50000"/>
    <x v="0"/>
    <x v="4"/>
    <s v="Skilled Manual"/>
    <s v="Yes"/>
    <x v="0"/>
    <x v="3"/>
    <x v="2"/>
    <n v="34"/>
    <s v="No"/>
    <x v="2"/>
    <n v="2"/>
    <s v="$40k-60k"/>
    <n v="2"/>
    <x v="0"/>
    <n v="2"/>
    <n v="5"/>
    <n v="0"/>
  </r>
  <r>
    <n v="11143"/>
    <x v="0"/>
    <s v="Male"/>
    <n v="40000"/>
    <x v="3"/>
    <x v="2"/>
    <s v="Skilled Manual"/>
    <s v="Yes"/>
    <x v="2"/>
    <x v="2"/>
    <x v="2"/>
    <n v="29"/>
    <s v="No"/>
    <x v="4"/>
    <n v="1"/>
    <s v="$40k-60k"/>
    <n v="2"/>
    <x v="1"/>
    <n v="4"/>
    <n v="2"/>
    <n v="0"/>
  </r>
  <r>
    <n v="25898"/>
    <x v="0"/>
    <s v="Female"/>
    <n v="70000"/>
    <x v="4"/>
    <x v="2"/>
    <s v="Professional"/>
    <s v="Yes"/>
    <x v="2"/>
    <x v="1"/>
    <x v="2"/>
    <n v="53"/>
    <s v="No"/>
    <x v="1"/>
    <n v="4"/>
    <s v="$70k-90k"/>
    <n v="3"/>
    <x v="1"/>
    <n v="3"/>
    <n v="2"/>
    <n v="0"/>
  </r>
  <r>
    <n v="24397"/>
    <x v="1"/>
    <s v="Male"/>
    <n v="120000"/>
    <x v="4"/>
    <x v="0"/>
    <s v="Management"/>
    <s v="No"/>
    <x v="3"/>
    <x v="3"/>
    <x v="2"/>
    <n v="40"/>
    <s v="No"/>
    <x v="2"/>
    <n v="2"/>
    <s v="$100k+"/>
    <n v="4"/>
    <x v="1"/>
    <n v="2"/>
    <n v="4"/>
    <n v="0"/>
  </r>
  <r>
    <n v="19758"/>
    <x v="1"/>
    <s v="Male"/>
    <n v="60000"/>
    <x v="3"/>
    <x v="1"/>
    <s v="Skilled Manual"/>
    <s v="No"/>
    <x v="2"/>
    <x v="3"/>
    <x v="2"/>
    <n v="29"/>
    <s v="No"/>
    <x v="4"/>
    <n v="1"/>
    <s v="$40k-60k"/>
    <n v="2"/>
    <x v="1"/>
    <n v="2"/>
    <n v="3"/>
    <n v="0"/>
  </r>
  <r>
    <n v="15529"/>
    <x v="0"/>
    <s v="Male"/>
    <n v="60000"/>
    <x v="5"/>
    <x v="0"/>
    <s v="Professional"/>
    <s v="Yes"/>
    <x v="2"/>
    <x v="1"/>
    <x v="2"/>
    <n v="43"/>
    <s v="Yes"/>
    <x v="0"/>
    <n v="3"/>
    <s v="$40k-60k"/>
    <n v="2"/>
    <x v="1"/>
    <n v="3"/>
    <n v="4"/>
    <n v="1"/>
  </r>
  <r>
    <n v="19884"/>
    <x v="0"/>
    <s v="Male"/>
    <n v="60000"/>
    <x v="4"/>
    <x v="2"/>
    <s v="Professional"/>
    <s v="Yes"/>
    <x v="2"/>
    <x v="1"/>
    <x v="2"/>
    <n v="55"/>
    <s v="Yes"/>
    <x v="1"/>
    <n v="4"/>
    <s v="$40k-60k"/>
    <n v="2"/>
    <x v="1"/>
    <n v="3"/>
    <n v="2"/>
    <n v="1"/>
  </r>
  <r>
    <n v="18674"/>
    <x v="1"/>
    <s v="Female"/>
    <n v="80000"/>
    <x v="5"/>
    <x v="4"/>
    <s v="Skilled Manual"/>
    <s v="No"/>
    <x v="0"/>
    <x v="0"/>
    <x v="2"/>
    <n v="48"/>
    <s v="No"/>
    <x v="0"/>
    <n v="3"/>
    <s v="$70k-90k"/>
    <n v="3"/>
    <x v="0"/>
    <n v="1"/>
    <n v="5"/>
    <n v="0"/>
  </r>
  <r>
    <n v="13453"/>
    <x v="0"/>
    <s v="Female"/>
    <n v="130000"/>
    <x v="1"/>
    <x v="0"/>
    <s v="Management"/>
    <s v="Yes"/>
    <x v="4"/>
    <x v="0"/>
    <x v="2"/>
    <n v="45"/>
    <s v="Yes"/>
    <x v="0"/>
    <n v="3"/>
    <s v="$100k+"/>
    <n v="4"/>
    <x v="1"/>
    <n v="1"/>
    <n v="4"/>
    <n v="1"/>
  </r>
  <r>
    <n v="14063"/>
    <x v="1"/>
    <s v="Female"/>
    <n v="70000"/>
    <x v="3"/>
    <x v="0"/>
    <s v="Professional"/>
    <s v="No"/>
    <x v="1"/>
    <x v="0"/>
    <x v="1"/>
    <n v="42"/>
    <s v="Yes"/>
    <x v="0"/>
    <n v="3"/>
    <s v="$70k-90k"/>
    <n v="3"/>
    <x v="0"/>
    <n v="1"/>
    <n v="4"/>
    <n v="1"/>
  </r>
  <r>
    <n v="27393"/>
    <x v="0"/>
    <s v="Female"/>
    <n v="50000"/>
    <x v="5"/>
    <x v="0"/>
    <s v="Management"/>
    <s v="Yes"/>
    <x v="2"/>
    <x v="4"/>
    <x v="2"/>
    <n v="63"/>
    <s v="No"/>
    <x v="3"/>
    <n v="5"/>
    <s v="$40k-60k"/>
    <n v="2"/>
    <x v="1"/>
    <n v="5"/>
    <n v="4"/>
    <n v="0"/>
  </r>
  <r>
    <n v="14417"/>
    <x v="1"/>
    <s v="Male"/>
    <n v="60000"/>
    <x v="1"/>
    <x v="2"/>
    <s v="Professional"/>
    <s v="Yes"/>
    <x v="2"/>
    <x v="4"/>
    <x v="2"/>
    <n v="54"/>
    <s v="Yes"/>
    <x v="1"/>
    <n v="4"/>
    <s v="$40k-60k"/>
    <n v="2"/>
    <x v="1"/>
    <n v="5"/>
    <n v="2"/>
    <n v="1"/>
  </r>
  <r>
    <n v="17533"/>
    <x v="0"/>
    <s v="Male"/>
    <n v="40000"/>
    <x v="1"/>
    <x v="1"/>
    <s v="Professional"/>
    <s v="No"/>
    <x v="2"/>
    <x v="2"/>
    <x v="2"/>
    <n v="73"/>
    <s v="Yes"/>
    <x v="3"/>
    <n v="5"/>
    <s v="$40k-60k"/>
    <n v="2"/>
    <x v="1"/>
    <n v="4"/>
    <n v="3"/>
    <n v="1"/>
  </r>
  <r>
    <n v="18580"/>
    <x v="0"/>
    <s v="Female"/>
    <n v="60000"/>
    <x v="4"/>
    <x v="4"/>
    <s v="Professional"/>
    <s v="Yes"/>
    <x v="0"/>
    <x v="1"/>
    <x v="2"/>
    <n v="40"/>
    <s v="Yes"/>
    <x v="2"/>
    <n v="2"/>
    <s v="$40k-60k"/>
    <n v="2"/>
    <x v="0"/>
    <n v="3"/>
    <n v="5"/>
    <n v="1"/>
  </r>
  <r>
    <n v="17025"/>
    <x v="1"/>
    <s v="Male"/>
    <n v="50000"/>
    <x v="3"/>
    <x v="1"/>
    <s v="Skilled Manual"/>
    <s v="No"/>
    <x v="1"/>
    <x v="1"/>
    <x v="2"/>
    <n v="39"/>
    <s v="Yes"/>
    <x v="2"/>
    <n v="2"/>
    <s v="$40k-60k"/>
    <n v="2"/>
    <x v="0"/>
    <n v="3"/>
    <n v="3"/>
    <n v="1"/>
  </r>
  <r>
    <n v="25293"/>
    <x v="0"/>
    <s v="Male"/>
    <n v="80000"/>
    <x v="5"/>
    <x v="0"/>
    <s v="Management"/>
    <s v="Yes"/>
    <x v="0"/>
    <x v="3"/>
    <x v="2"/>
    <n v="42"/>
    <s v="No"/>
    <x v="0"/>
    <n v="3"/>
    <s v="$70k-90k"/>
    <n v="3"/>
    <x v="0"/>
    <n v="2"/>
    <n v="4"/>
    <n v="0"/>
  </r>
  <r>
    <n v="24725"/>
    <x v="0"/>
    <s v="Female"/>
    <n v="40000"/>
    <x v="1"/>
    <x v="1"/>
    <s v="Clerical"/>
    <s v="Yes"/>
    <x v="0"/>
    <x v="3"/>
    <x v="2"/>
    <n v="31"/>
    <s v="No"/>
    <x v="2"/>
    <n v="2"/>
    <s v="$40k-60k"/>
    <n v="2"/>
    <x v="0"/>
    <n v="2"/>
    <n v="3"/>
    <n v="0"/>
  </r>
  <r>
    <n v="23200"/>
    <x v="0"/>
    <s v="Female"/>
    <n v="50000"/>
    <x v="1"/>
    <x v="0"/>
    <s v="Skilled Manual"/>
    <s v="Yes"/>
    <x v="2"/>
    <x v="0"/>
    <x v="2"/>
    <n v="41"/>
    <s v="No"/>
    <x v="0"/>
    <n v="3"/>
    <s v="$40k-60k"/>
    <n v="2"/>
    <x v="1"/>
    <n v="1"/>
    <n v="4"/>
    <n v="0"/>
  </r>
  <r>
    <n v="15895"/>
    <x v="1"/>
    <s v="Female"/>
    <n v="60000"/>
    <x v="4"/>
    <x v="0"/>
    <s v="Management"/>
    <s v="Yes"/>
    <x v="0"/>
    <x v="4"/>
    <x v="2"/>
    <n v="58"/>
    <s v="No"/>
    <x v="1"/>
    <n v="4"/>
    <s v="$40k-60k"/>
    <n v="2"/>
    <x v="0"/>
    <n v="5"/>
    <n v="4"/>
    <n v="0"/>
  </r>
  <r>
    <n v="18577"/>
    <x v="0"/>
    <s v="Female"/>
    <n v="60000"/>
    <x v="3"/>
    <x v="4"/>
    <s v="Professional"/>
    <s v="Yes"/>
    <x v="0"/>
    <x v="0"/>
    <x v="2"/>
    <n v="40"/>
    <s v="No"/>
    <x v="2"/>
    <n v="2"/>
    <s v="$40k-60k"/>
    <n v="2"/>
    <x v="0"/>
    <n v="1"/>
    <n v="5"/>
    <n v="0"/>
  </r>
  <r>
    <n v="27218"/>
    <x v="0"/>
    <s v="Female"/>
    <n v="20000"/>
    <x v="4"/>
    <x v="3"/>
    <s v="Clerical"/>
    <s v="No"/>
    <x v="0"/>
    <x v="0"/>
    <x v="2"/>
    <n v="48"/>
    <s v="No"/>
    <x v="0"/>
    <n v="3"/>
    <s v="$10k-30k"/>
    <n v="1"/>
    <x v="0"/>
    <n v="1"/>
    <n v="1"/>
    <n v="0"/>
  </r>
  <r>
    <n v="18560"/>
    <x v="0"/>
    <s v="Female"/>
    <n v="70000"/>
    <x v="4"/>
    <x v="4"/>
    <s v="Professional"/>
    <s v="Yes"/>
    <x v="0"/>
    <x v="1"/>
    <x v="2"/>
    <n v="34"/>
    <s v="Yes"/>
    <x v="2"/>
    <n v="2"/>
    <s v="$70k-90k"/>
    <n v="3"/>
    <x v="0"/>
    <n v="3"/>
    <n v="5"/>
    <n v="1"/>
  </r>
  <r>
    <n v="25006"/>
    <x v="1"/>
    <s v="Female"/>
    <n v="30000"/>
    <x v="3"/>
    <x v="1"/>
    <s v="Skilled Manual"/>
    <s v="Yes"/>
    <x v="1"/>
    <x v="2"/>
    <x v="2"/>
    <n v="28"/>
    <s v="No"/>
    <x v="4"/>
    <n v="1"/>
    <s v="$10k-30k"/>
    <n v="1"/>
    <x v="0"/>
    <n v="4"/>
    <n v="3"/>
    <n v="0"/>
  </r>
  <r>
    <n v="17369"/>
    <x v="1"/>
    <s v="Male"/>
    <n v="30000"/>
    <x v="3"/>
    <x v="1"/>
    <s v="Skilled Manual"/>
    <s v="Yes"/>
    <x v="1"/>
    <x v="2"/>
    <x v="2"/>
    <n v="27"/>
    <s v="No"/>
    <x v="4"/>
    <n v="1"/>
    <s v="$10k-30k"/>
    <n v="1"/>
    <x v="0"/>
    <n v="4"/>
    <n v="3"/>
    <n v="0"/>
  </r>
  <r>
    <n v="14495"/>
    <x v="0"/>
    <s v="Male"/>
    <n v="40000"/>
    <x v="1"/>
    <x v="1"/>
    <s v="Professional"/>
    <s v="No"/>
    <x v="2"/>
    <x v="2"/>
    <x v="2"/>
    <n v="54"/>
    <s v="Yes"/>
    <x v="1"/>
    <n v="4"/>
    <s v="$40k-60k"/>
    <n v="2"/>
    <x v="1"/>
    <n v="4"/>
    <n v="3"/>
    <n v="1"/>
  </r>
  <r>
    <n v="18847"/>
    <x v="0"/>
    <s v="Female"/>
    <n v="60000"/>
    <x v="4"/>
    <x v="4"/>
    <s v="Management"/>
    <s v="Yes"/>
    <x v="2"/>
    <x v="2"/>
    <x v="2"/>
    <n v="70"/>
    <s v="No"/>
    <x v="3"/>
    <n v="5"/>
    <s v="$40k-60k"/>
    <n v="2"/>
    <x v="1"/>
    <n v="4"/>
    <n v="5"/>
    <n v="0"/>
  </r>
  <r>
    <n v="14754"/>
    <x v="0"/>
    <s v="Male"/>
    <n v="40000"/>
    <x v="0"/>
    <x v="1"/>
    <s v="Clerical"/>
    <s v="Yes"/>
    <x v="1"/>
    <x v="3"/>
    <x v="2"/>
    <n v="48"/>
    <s v="Yes"/>
    <x v="0"/>
    <n v="3"/>
    <s v="$40k-60k"/>
    <n v="2"/>
    <x v="0"/>
    <n v="2"/>
    <n v="3"/>
    <n v="1"/>
  </r>
  <r>
    <n v="23378"/>
    <x v="0"/>
    <s v="Male"/>
    <n v="70000"/>
    <x v="0"/>
    <x v="1"/>
    <s v="Skilled Manual"/>
    <s v="Yes"/>
    <x v="1"/>
    <x v="1"/>
    <x v="2"/>
    <n v="44"/>
    <s v="Yes"/>
    <x v="0"/>
    <n v="3"/>
    <s v="$70k-90k"/>
    <n v="3"/>
    <x v="0"/>
    <n v="3"/>
    <n v="3"/>
    <n v="1"/>
  </r>
  <r>
    <n v="26452"/>
    <x v="1"/>
    <s v="Male"/>
    <n v="50000"/>
    <x v="1"/>
    <x v="4"/>
    <s v="Management"/>
    <s v="Yes"/>
    <x v="2"/>
    <x v="4"/>
    <x v="2"/>
    <n v="69"/>
    <s v="No"/>
    <x v="3"/>
    <n v="5"/>
    <s v="$40k-60k"/>
    <n v="2"/>
    <x v="1"/>
    <n v="5"/>
    <n v="5"/>
    <n v="0"/>
  </r>
  <r>
    <n v="20370"/>
    <x v="0"/>
    <s v="Male"/>
    <n v="70000"/>
    <x v="1"/>
    <x v="3"/>
    <s v="Skilled Manual"/>
    <s v="Yes"/>
    <x v="2"/>
    <x v="2"/>
    <x v="2"/>
    <n v="52"/>
    <s v="No"/>
    <x v="1"/>
    <n v="4"/>
    <s v="$70k-90k"/>
    <n v="3"/>
    <x v="1"/>
    <n v="4"/>
    <n v="1"/>
    <n v="0"/>
  </r>
  <r>
    <n v="20528"/>
    <x v="0"/>
    <s v="Male"/>
    <n v="40000"/>
    <x v="4"/>
    <x v="3"/>
    <s v="Skilled Manual"/>
    <s v="Yes"/>
    <x v="2"/>
    <x v="1"/>
    <x v="2"/>
    <n v="55"/>
    <s v="No"/>
    <x v="1"/>
    <n v="4"/>
    <s v="$40k-60k"/>
    <n v="2"/>
    <x v="1"/>
    <n v="3"/>
    <n v="1"/>
    <n v="0"/>
  </r>
  <r>
    <n v="23549"/>
    <x v="1"/>
    <s v="Male"/>
    <n v="30000"/>
    <x v="3"/>
    <x v="2"/>
    <s v="Skilled Manual"/>
    <s v="Yes"/>
    <x v="2"/>
    <x v="2"/>
    <x v="2"/>
    <n v="30"/>
    <s v="No"/>
    <x v="4"/>
    <n v="1"/>
    <s v="$10k-30k"/>
    <n v="1"/>
    <x v="1"/>
    <n v="4"/>
    <n v="2"/>
    <n v="0"/>
  </r>
  <r>
    <n v="21751"/>
    <x v="0"/>
    <s v="Male"/>
    <n v="60000"/>
    <x v="1"/>
    <x v="4"/>
    <s v="Management"/>
    <s v="Yes"/>
    <x v="2"/>
    <x v="3"/>
    <x v="2"/>
    <n v="63"/>
    <s v="No"/>
    <x v="3"/>
    <n v="5"/>
    <s v="$40k-60k"/>
    <n v="2"/>
    <x v="1"/>
    <n v="2"/>
    <n v="5"/>
    <n v="0"/>
  </r>
  <r>
    <n v="21266"/>
    <x v="1"/>
    <s v="Female"/>
    <n v="80000"/>
    <x v="3"/>
    <x v="0"/>
    <s v="Management"/>
    <s v="Yes"/>
    <x v="1"/>
    <x v="3"/>
    <x v="2"/>
    <n v="34"/>
    <s v="Yes"/>
    <x v="2"/>
    <n v="2"/>
    <s v="$70k-90k"/>
    <n v="3"/>
    <x v="0"/>
    <n v="2"/>
    <n v="4"/>
    <n v="1"/>
  </r>
  <r>
    <n v="13388"/>
    <x v="1"/>
    <s v="Male"/>
    <n v="60000"/>
    <x v="4"/>
    <x v="1"/>
    <s v="Professional"/>
    <s v="Yes"/>
    <x v="1"/>
    <x v="4"/>
    <x v="2"/>
    <n v="56"/>
    <s v="No"/>
    <x v="1"/>
    <n v="4"/>
    <s v="$40k-60k"/>
    <n v="2"/>
    <x v="0"/>
    <n v="5"/>
    <n v="3"/>
    <n v="0"/>
  </r>
  <r>
    <n v="18752"/>
    <x v="1"/>
    <s v="Female"/>
    <n v="40000"/>
    <x v="3"/>
    <x v="2"/>
    <s v="Skilled Manual"/>
    <s v="Yes"/>
    <x v="1"/>
    <x v="2"/>
    <x v="2"/>
    <n v="31"/>
    <s v="No"/>
    <x v="2"/>
    <n v="2"/>
    <s v="$40k-60k"/>
    <n v="2"/>
    <x v="0"/>
    <n v="4"/>
    <n v="2"/>
    <n v="0"/>
  </r>
  <r>
    <n v="16917"/>
    <x v="0"/>
    <s v="Male"/>
    <n v="120000"/>
    <x v="0"/>
    <x v="0"/>
    <s v="Management"/>
    <s v="Yes"/>
    <x v="3"/>
    <x v="0"/>
    <x v="2"/>
    <n v="38"/>
    <s v="No"/>
    <x v="2"/>
    <n v="2"/>
    <s v="$100k+"/>
    <n v="4"/>
    <x v="1"/>
    <n v="1"/>
    <n v="4"/>
    <n v="0"/>
  </r>
  <r>
    <n v="15313"/>
    <x v="0"/>
    <s v="Male"/>
    <n v="60000"/>
    <x v="5"/>
    <x v="0"/>
    <s v="Management"/>
    <s v="Yes"/>
    <x v="2"/>
    <x v="1"/>
    <x v="2"/>
    <n v="59"/>
    <s v="No"/>
    <x v="1"/>
    <n v="4"/>
    <s v="$40k-60k"/>
    <n v="2"/>
    <x v="1"/>
    <n v="3"/>
    <n v="4"/>
    <n v="0"/>
  </r>
  <r>
    <n v="25329"/>
    <x v="1"/>
    <s v="Female"/>
    <n v="40000"/>
    <x v="1"/>
    <x v="1"/>
    <s v="Clerical"/>
    <s v="No"/>
    <x v="2"/>
    <x v="0"/>
    <x v="2"/>
    <n v="32"/>
    <s v="No"/>
    <x v="2"/>
    <n v="2"/>
    <s v="$40k-60k"/>
    <n v="2"/>
    <x v="1"/>
    <n v="1"/>
    <n v="3"/>
    <n v="0"/>
  </r>
  <r>
    <n v="20380"/>
    <x v="0"/>
    <s v="Female"/>
    <n v="60000"/>
    <x v="1"/>
    <x v="4"/>
    <s v="Management"/>
    <s v="Yes"/>
    <x v="2"/>
    <x v="4"/>
    <x v="2"/>
    <n v="69"/>
    <s v="No"/>
    <x v="3"/>
    <n v="5"/>
    <s v="$40k-60k"/>
    <n v="2"/>
    <x v="1"/>
    <n v="5"/>
    <n v="5"/>
    <n v="0"/>
  </r>
  <r>
    <n v="23089"/>
    <x v="0"/>
    <s v="Male"/>
    <n v="40000"/>
    <x v="3"/>
    <x v="1"/>
    <s v="Skilled Manual"/>
    <s v="Yes"/>
    <x v="1"/>
    <x v="2"/>
    <x v="2"/>
    <n v="28"/>
    <s v="No"/>
    <x v="4"/>
    <n v="1"/>
    <s v="$40k-60k"/>
    <n v="2"/>
    <x v="0"/>
    <n v="4"/>
    <n v="3"/>
    <n v="0"/>
  </r>
  <r>
    <n v="13749"/>
    <x v="0"/>
    <s v="Male"/>
    <n v="80000"/>
    <x v="5"/>
    <x v="4"/>
    <s v="Skilled Manual"/>
    <s v="Yes"/>
    <x v="0"/>
    <x v="3"/>
    <x v="2"/>
    <n v="47"/>
    <s v="No"/>
    <x v="0"/>
    <n v="3"/>
    <s v="$70k-90k"/>
    <n v="3"/>
    <x v="0"/>
    <n v="2"/>
    <n v="5"/>
    <n v="0"/>
  </r>
  <r>
    <n v="24943"/>
    <x v="0"/>
    <s v="Male"/>
    <n v="60000"/>
    <x v="1"/>
    <x v="0"/>
    <s v="Management"/>
    <s v="Yes"/>
    <x v="2"/>
    <x v="4"/>
    <x v="2"/>
    <n v="66"/>
    <s v="No"/>
    <x v="3"/>
    <n v="5"/>
    <s v="$40k-60k"/>
    <n v="2"/>
    <x v="1"/>
    <n v="5"/>
    <n v="4"/>
    <n v="0"/>
  </r>
  <r>
    <n v="28667"/>
    <x v="1"/>
    <s v="Male"/>
    <n v="70000"/>
    <x v="4"/>
    <x v="0"/>
    <s v="Skilled Manual"/>
    <s v="No"/>
    <x v="1"/>
    <x v="0"/>
    <x v="2"/>
    <n v="37"/>
    <s v="Yes"/>
    <x v="2"/>
    <n v="2"/>
    <s v="$70k-90k"/>
    <n v="3"/>
    <x v="0"/>
    <n v="1"/>
    <n v="4"/>
    <n v="1"/>
  </r>
  <r>
    <n v="15194"/>
    <x v="1"/>
    <s v="Male"/>
    <n v="120000"/>
    <x v="4"/>
    <x v="0"/>
    <s v="Management"/>
    <s v="No"/>
    <x v="4"/>
    <x v="0"/>
    <x v="2"/>
    <n v="39"/>
    <s v="Yes"/>
    <x v="2"/>
    <n v="2"/>
    <s v="$100k+"/>
    <n v="4"/>
    <x v="1"/>
    <n v="1"/>
    <n v="4"/>
    <n v="1"/>
  </r>
  <r>
    <n v="17436"/>
    <x v="0"/>
    <s v="Male"/>
    <n v="60000"/>
    <x v="4"/>
    <x v="2"/>
    <s v="Professional"/>
    <s v="No"/>
    <x v="2"/>
    <x v="3"/>
    <x v="2"/>
    <n v="51"/>
    <s v="No"/>
    <x v="1"/>
    <n v="4"/>
    <s v="$40k-60k"/>
    <n v="2"/>
    <x v="1"/>
    <n v="2"/>
    <n v="2"/>
    <n v="0"/>
  </r>
  <r>
    <n v="18935"/>
    <x v="0"/>
    <s v="Female"/>
    <n v="130000"/>
    <x v="3"/>
    <x v="4"/>
    <s v="Management"/>
    <s v="Yes"/>
    <x v="4"/>
    <x v="3"/>
    <x v="2"/>
    <n v="40"/>
    <s v="No"/>
    <x v="2"/>
    <n v="2"/>
    <s v="$100k+"/>
    <n v="4"/>
    <x v="1"/>
    <n v="2"/>
    <n v="5"/>
    <n v="0"/>
  </r>
  <r>
    <n v="16871"/>
    <x v="0"/>
    <s v="Female"/>
    <n v="90000"/>
    <x v="4"/>
    <x v="2"/>
    <s v="Professional"/>
    <s v="Yes"/>
    <x v="1"/>
    <x v="4"/>
    <x v="2"/>
    <n v="51"/>
    <s v="Yes"/>
    <x v="1"/>
    <n v="4"/>
    <s v="$70k-90k"/>
    <n v="3"/>
    <x v="0"/>
    <n v="5"/>
    <n v="2"/>
    <n v="1"/>
  </r>
  <r>
    <n v="12100"/>
    <x v="1"/>
    <s v="Male"/>
    <n v="60000"/>
    <x v="4"/>
    <x v="0"/>
    <s v="Management"/>
    <s v="Yes"/>
    <x v="0"/>
    <x v="4"/>
    <x v="2"/>
    <n v="57"/>
    <s v="No"/>
    <x v="1"/>
    <n v="4"/>
    <s v="$40k-60k"/>
    <n v="2"/>
    <x v="0"/>
    <n v="5"/>
    <n v="4"/>
    <n v="0"/>
  </r>
  <r>
    <n v="23158"/>
    <x v="0"/>
    <s v="Female"/>
    <n v="60000"/>
    <x v="0"/>
    <x v="4"/>
    <s v="Professional"/>
    <s v="No"/>
    <x v="0"/>
    <x v="0"/>
    <x v="2"/>
    <n v="35"/>
    <s v="Yes"/>
    <x v="2"/>
    <n v="2"/>
    <s v="$40k-60k"/>
    <n v="2"/>
    <x v="0"/>
    <n v="1"/>
    <n v="5"/>
    <n v="1"/>
  </r>
  <r>
    <n v="18545"/>
    <x v="0"/>
    <s v="Male"/>
    <n v="40000"/>
    <x v="5"/>
    <x v="2"/>
    <s v="Professional"/>
    <s v="No"/>
    <x v="2"/>
    <x v="4"/>
    <x v="2"/>
    <n v="61"/>
    <s v="Yes"/>
    <x v="3"/>
    <n v="5"/>
    <s v="$40k-60k"/>
    <n v="2"/>
    <x v="1"/>
    <n v="5"/>
    <n v="2"/>
    <n v="1"/>
  </r>
  <r>
    <n v="18391"/>
    <x v="1"/>
    <s v="Female"/>
    <n v="80000"/>
    <x v="2"/>
    <x v="1"/>
    <s v="Professional"/>
    <s v="Yes"/>
    <x v="2"/>
    <x v="2"/>
    <x v="2"/>
    <n v="44"/>
    <s v="No"/>
    <x v="0"/>
    <n v="3"/>
    <s v="$70k-90k"/>
    <n v="3"/>
    <x v="1"/>
    <n v="4"/>
    <n v="3"/>
    <n v="0"/>
  </r>
  <r>
    <n v="19812"/>
    <x v="1"/>
    <s v="Female"/>
    <n v="70000"/>
    <x v="4"/>
    <x v="1"/>
    <s v="Professional"/>
    <s v="Yes"/>
    <x v="0"/>
    <x v="2"/>
    <x v="2"/>
    <n v="49"/>
    <s v="Yes"/>
    <x v="0"/>
    <n v="3"/>
    <s v="$70k-90k"/>
    <n v="3"/>
    <x v="0"/>
    <n v="4"/>
    <n v="3"/>
    <n v="1"/>
  </r>
  <r>
    <n v="27660"/>
    <x v="0"/>
    <s v="Male"/>
    <n v="80000"/>
    <x v="5"/>
    <x v="4"/>
    <s v="Management"/>
    <s v="Yes"/>
    <x v="2"/>
    <x v="2"/>
    <x v="2"/>
    <n v="70"/>
    <s v="No"/>
    <x v="3"/>
    <n v="5"/>
    <s v="$70k-90k"/>
    <n v="3"/>
    <x v="1"/>
    <n v="4"/>
    <n v="5"/>
    <n v="0"/>
  </r>
  <r>
    <n v="18058"/>
    <x v="1"/>
    <s v="Female"/>
    <n v="20000"/>
    <x v="1"/>
    <x v="2"/>
    <s v="Skilled Manual"/>
    <s v="Yes"/>
    <x v="2"/>
    <x v="1"/>
    <x v="2"/>
    <n v="78"/>
    <s v="No"/>
    <x v="3"/>
    <n v="5"/>
    <s v="$10k-30k"/>
    <n v="1"/>
    <x v="1"/>
    <n v="3"/>
    <n v="2"/>
    <n v="0"/>
  </r>
  <r>
    <n v="20343"/>
    <x v="0"/>
    <s v="Female"/>
    <n v="90000"/>
    <x v="5"/>
    <x v="1"/>
    <s v="Professional"/>
    <s v="Yes"/>
    <x v="1"/>
    <x v="3"/>
    <x v="2"/>
    <n v="45"/>
    <s v="No"/>
    <x v="0"/>
    <n v="3"/>
    <s v="$70k-90k"/>
    <n v="3"/>
    <x v="0"/>
    <n v="2"/>
    <n v="3"/>
    <n v="0"/>
  </r>
  <r>
    <n v="28997"/>
    <x v="1"/>
    <s v="Male"/>
    <n v="40000"/>
    <x v="4"/>
    <x v="2"/>
    <s v="Professional"/>
    <s v="No"/>
    <x v="1"/>
    <x v="1"/>
    <x v="2"/>
    <n v="58"/>
    <s v="Yes"/>
    <x v="1"/>
    <n v="4"/>
    <s v="$40k-60k"/>
    <n v="2"/>
    <x v="0"/>
    <n v="3"/>
    <n v="2"/>
    <n v="1"/>
  </r>
  <r>
    <n v="24398"/>
    <x v="0"/>
    <s v="Male"/>
    <n v="130000"/>
    <x v="0"/>
    <x v="4"/>
    <s v="Management"/>
    <s v="Yes"/>
    <x v="3"/>
    <x v="0"/>
    <x v="2"/>
    <n v="41"/>
    <s v="No"/>
    <x v="0"/>
    <n v="3"/>
    <s v="$100k+"/>
    <n v="4"/>
    <x v="1"/>
    <n v="1"/>
    <n v="5"/>
    <n v="0"/>
  </r>
  <r>
    <n v="19002"/>
    <x v="0"/>
    <s v="Female"/>
    <n v="60000"/>
    <x v="4"/>
    <x v="1"/>
    <s v="Professional"/>
    <s v="Yes"/>
    <x v="1"/>
    <x v="1"/>
    <x v="2"/>
    <n v="57"/>
    <s v="Yes"/>
    <x v="1"/>
    <n v="4"/>
    <s v="$40k-60k"/>
    <n v="2"/>
    <x v="0"/>
    <n v="3"/>
    <n v="3"/>
    <n v="1"/>
  </r>
  <r>
    <n v="28609"/>
    <x v="0"/>
    <s v="Male"/>
    <n v="30000"/>
    <x v="4"/>
    <x v="2"/>
    <s v="Skilled Manual"/>
    <s v="No"/>
    <x v="2"/>
    <x v="0"/>
    <x v="2"/>
    <n v="49"/>
    <s v="No"/>
    <x v="0"/>
    <n v="3"/>
    <s v="$10k-30k"/>
    <n v="1"/>
    <x v="1"/>
    <n v="1"/>
    <n v="2"/>
    <n v="0"/>
  </r>
  <r>
    <n v="29231"/>
    <x v="1"/>
    <s v="Male"/>
    <n v="80000"/>
    <x v="5"/>
    <x v="1"/>
    <s v="Professional"/>
    <s v="No"/>
    <x v="2"/>
    <x v="0"/>
    <x v="2"/>
    <n v="43"/>
    <s v="No"/>
    <x v="0"/>
    <n v="3"/>
    <s v="$70k-90k"/>
    <n v="3"/>
    <x v="1"/>
    <n v="1"/>
    <n v="3"/>
    <n v="0"/>
  </r>
  <r>
    <n v="18858"/>
    <x v="1"/>
    <s v="Male"/>
    <n v="60000"/>
    <x v="4"/>
    <x v="3"/>
    <s v="Skilled Manual"/>
    <s v="Yes"/>
    <x v="2"/>
    <x v="2"/>
    <x v="2"/>
    <n v="52"/>
    <s v="Yes"/>
    <x v="1"/>
    <n v="4"/>
    <s v="$40k-60k"/>
    <n v="2"/>
    <x v="1"/>
    <n v="4"/>
    <n v="1"/>
    <n v="1"/>
  </r>
  <r>
    <n v="20000"/>
    <x v="0"/>
    <s v="Male"/>
    <n v="60000"/>
    <x v="0"/>
    <x v="4"/>
    <s v="Professional"/>
    <s v="Yes"/>
    <x v="0"/>
    <x v="0"/>
    <x v="2"/>
    <n v="35"/>
    <s v="Yes"/>
    <x v="2"/>
    <n v="2"/>
    <s v="$40k-60k"/>
    <n v="2"/>
    <x v="0"/>
    <n v="1"/>
    <n v="5"/>
    <n v="1"/>
  </r>
  <r>
    <n v="25261"/>
    <x v="0"/>
    <s v="Male"/>
    <n v="40000"/>
    <x v="3"/>
    <x v="2"/>
    <s v="Skilled Manual"/>
    <s v="Yes"/>
    <x v="2"/>
    <x v="2"/>
    <x v="2"/>
    <n v="27"/>
    <s v="No"/>
    <x v="4"/>
    <n v="1"/>
    <s v="$40k-60k"/>
    <n v="2"/>
    <x v="1"/>
    <n v="4"/>
    <n v="2"/>
    <n v="0"/>
  </r>
  <r>
    <n v="17458"/>
    <x v="1"/>
    <s v="Male"/>
    <n v="70000"/>
    <x v="1"/>
    <x v="2"/>
    <s v="Professional"/>
    <s v="Yes"/>
    <x v="0"/>
    <x v="2"/>
    <x v="2"/>
    <n v="52"/>
    <s v="Yes"/>
    <x v="1"/>
    <n v="4"/>
    <s v="$70k-90k"/>
    <n v="3"/>
    <x v="0"/>
    <n v="4"/>
    <n v="2"/>
    <n v="1"/>
  </r>
  <r>
    <n v="11644"/>
    <x v="1"/>
    <s v="Male"/>
    <n v="40000"/>
    <x v="4"/>
    <x v="0"/>
    <s v="Skilled Manual"/>
    <s v="Yes"/>
    <x v="0"/>
    <x v="1"/>
    <x v="2"/>
    <n v="36"/>
    <s v="No"/>
    <x v="2"/>
    <n v="2"/>
    <s v="$40k-60k"/>
    <n v="2"/>
    <x v="0"/>
    <n v="3"/>
    <n v="4"/>
    <n v="0"/>
  </r>
  <r>
    <n v="16145"/>
    <x v="1"/>
    <s v="Female"/>
    <n v="70000"/>
    <x v="2"/>
    <x v="4"/>
    <s v="Professional"/>
    <s v="Yes"/>
    <x v="4"/>
    <x v="4"/>
    <x v="2"/>
    <n v="46"/>
    <s v="Yes"/>
    <x v="0"/>
    <n v="3"/>
    <s v="$70k-90k"/>
    <n v="3"/>
    <x v="1"/>
    <n v="5"/>
    <n v="5"/>
    <n v="1"/>
  </r>
  <r>
    <n v="16890"/>
    <x v="0"/>
    <s v="Male"/>
    <n v="60000"/>
    <x v="1"/>
    <x v="3"/>
    <s v="Skilled Manual"/>
    <s v="Yes"/>
    <x v="2"/>
    <x v="2"/>
    <x v="2"/>
    <n v="52"/>
    <s v="Yes"/>
    <x v="1"/>
    <n v="4"/>
    <s v="$40k-60k"/>
    <n v="2"/>
    <x v="1"/>
    <n v="4"/>
    <n v="1"/>
    <n v="1"/>
  </r>
  <r>
    <n v="25983"/>
    <x v="0"/>
    <s v="Male"/>
    <n v="70000"/>
    <x v="3"/>
    <x v="0"/>
    <s v="Professional"/>
    <s v="No"/>
    <x v="1"/>
    <x v="0"/>
    <x v="2"/>
    <n v="43"/>
    <s v="No"/>
    <x v="0"/>
    <n v="3"/>
    <s v="$70k-90k"/>
    <n v="3"/>
    <x v="0"/>
    <n v="1"/>
    <n v="4"/>
    <n v="0"/>
  </r>
  <r>
    <n v="14633"/>
    <x v="0"/>
    <s v="Male"/>
    <n v="60000"/>
    <x v="0"/>
    <x v="1"/>
    <s v="Skilled Manual"/>
    <s v="Yes"/>
    <x v="1"/>
    <x v="1"/>
    <x v="2"/>
    <n v="44"/>
    <s v="No"/>
    <x v="0"/>
    <n v="3"/>
    <s v="$40k-60k"/>
    <n v="2"/>
    <x v="0"/>
    <n v="3"/>
    <n v="3"/>
    <n v="0"/>
  </r>
  <r>
    <n v="22994"/>
    <x v="0"/>
    <s v="Female"/>
    <n v="80000"/>
    <x v="3"/>
    <x v="0"/>
    <s v="Management"/>
    <s v="Yes"/>
    <x v="1"/>
    <x v="3"/>
    <x v="2"/>
    <n v="34"/>
    <s v="Yes"/>
    <x v="2"/>
    <n v="2"/>
    <s v="$70k-90k"/>
    <n v="3"/>
    <x v="0"/>
    <n v="2"/>
    <n v="4"/>
    <n v="1"/>
  </r>
  <r>
    <n v="22983"/>
    <x v="1"/>
    <s v="Female"/>
    <n v="30000"/>
    <x v="3"/>
    <x v="3"/>
    <s v="Clerical"/>
    <s v="Yes"/>
    <x v="2"/>
    <x v="2"/>
    <x v="2"/>
    <n v="27"/>
    <s v="No"/>
    <x v="4"/>
    <n v="1"/>
    <s v="$10k-30k"/>
    <n v="1"/>
    <x v="1"/>
    <n v="4"/>
    <n v="1"/>
    <n v="0"/>
  </r>
  <r>
    <n v="25184"/>
    <x v="1"/>
    <s v="Male"/>
    <n v="110000"/>
    <x v="0"/>
    <x v="1"/>
    <s v="Professional"/>
    <s v="Yes"/>
    <x v="3"/>
    <x v="2"/>
    <x v="2"/>
    <n v="45"/>
    <s v="Yes"/>
    <x v="0"/>
    <n v="3"/>
    <s v="$100k+"/>
    <n v="4"/>
    <x v="1"/>
    <n v="4"/>
    <n v="3"/>
    <n v="1"/>
  </r>
  <r>
    <n v="14469"/>
    <x v="0"/>
    <s v="Female"/>
    <n v="100000"/>
    <x v="1"/>
    <x v="1"/>
    <s v="Professional"/>
    <s v="Yes"/>
    <x v="3"/>
    <x v="3"/>
    <x v="2"/>
    <n v="45"/>
    <s v="No"/>
    <x v="0"/>
    <n v="3"/>
    <s v="$100k+"/>
    <n v="4"/>
    <x v="1"/>
    <n v="2"/>
    <n v="3"/>
    <n v="0"/>
  </r>
  <r>
    <n v="11538"/>
    <x v="1"/>
    <s v="Female"/>
    <n v="60000"/>
    <x v="5"/>
    <x v="4"/>
    <s v="Skilled Manual"/>
    <s v="No"/>
    <x v="0"/>
    <x v="0"/>
    <x v="2"/>
    <n v="47"/>
    <s v="Yes"/>
    <x v="0"/>
    <n v="3"/>
    <s v="$40k-60k"/>
    <n v="2"/>
    <x v="0"/>
    <n v="1"/>
    <n v="5"/>
    <n v="1"/>
  </r>
  <r>
    <n v="16245"/>
    <x v="1"/>
    <s v="Female"/>
    <n v="80000"/>
    <x v="5"/>
    <x v="4"/>
    <s v="Skilled Manual"/>
    <s v="Yes"/>
    <x v="0"/>
    <x v="3"/>
    <x v="2"/>
    <n v="47"/>
    <s v="No"/>
    <x v="0"/>
    <n v="3"/>
    <s v="$70k-90k"/>
    <n v="3"/>
    <x v="0"/>
    <n v="2"/>
    <n v="5"/>
    <n v="0"/>
  </r>
  <r>
    <n v="17858"/>
    <x v="0"/>
    <s v="Male"/>
    <n v="40000"/>
    <x v="5"/>
    <x v="2"/>
    <s v="Skilled Manual"/>
    <s v="Yes"/>
    <x v="2"/>
    <x v="1"/>
    <x v="2"/>
    <n v="44"/>
    <s v="Yes"/>
    <x v="0"/>
    <n v="3"/>
    <s v="$40k-60k"/>
    <n v="2"/>
    <x v="1"/>
    <n v="3"/>
    <n v="2"/>
    <n v="1"/>
  </r>
  <r>
    <n v="25347"/>
    <x v="1"/>
    <s v="Female"/>
    <n v="20000"/>
    <x v="1"/>
    <x v="3"/>
    <s v="Clerical"/>
    <s v="No"/>
    <x v="2"/>
    <x v="0"/>
    <x v="2"/>
    <n v="49"/>
    <s v="No"/>
    <x v="0"/>
    <n v="3"/>
    <s v="$10k-30k"/>
    <n v="1"/>
    <x v="1"/>
    <n v="1"/>
    <n v="1"/>
    <n v="0"/>
  </r>
  <r>
    <n v="15814"/>
    <x v="1"/>
    <s v="Female"/>
    <n v="40000"/>
    <x v="3"/>
    <x v="2"/>
    <s v="Skilled Manual"/>
    <s v="Yes"/>
    <x v="1"/>
    <x v="2"/>
    <x v="2"/>
    <n v="30"/>
    <s v="No"/>
    <x v="4"/>
    <n v="1"/>
    <s v="$40k-60k"/>
    <n v="2"/>
    <x v="0"/>
    <n v="4"/>
    <n v="2"/>
    <n v="0"/>
  </r>
  <r>
    <n v="11259"/>
    <x v="0"/>
    <s v="Female"/>
    <n v="100000"/>
    <x v="5"/>
    <x v="1"/>
    <s v="Professional"/>
    <s v="Yes"/>
    <x v="3"/>
    <x v="1"/>
    <x v="2"/>
    <n v="41"/>
    <s v="Yes"/>
    <x v="0"/>
    <n v="3"/>
    <s v="$100k+"/>
    <n v="4"/>
    <x v="1"/>
    <n v="3"/>
    <n v="3"/>
    <n v="1"/>
  </r>
  <r>
    <n v="11200"/>
    <x v="0"/>
    <s v="Male"/>
    <n v="70000"/>
    <x v="5"/>
    <x v="0"/>
    <s v="Management"/>
    <s v="Yes"/>
    <x v="1"/>
    <x v="3"/>
    <x v="2"/>
    <n v="58"/>
    <s v="No"/>
    <x v="1"/>
    <n v="4"/>
    <s v="$70k-90k"/>
    <n v="3"/>
    <x v="0"/>
    <n v="2"/>
    <n v="4"/>
    <n v="0"/>
  </r>
  <r>
    <n v="25101"/>
    <x v="0"/>
    <s v="Male"/>
    <n v="60000"/>
    <x v="2"/>
    <x v="0"/>
    <s v="Professional"/>
    <s v="Yes"/>
    <x v="1"/>
    <x v="1"/>
    <x v="2"/>
    <n v="47"/>
    <s v="No"/>
    <x v="0"/>
    <n v="3"/>
    <s v="$40k-60k"/>
    <n v="2"/>
    <x v="0"/>
    <n v="3"/>
    <n v="4"/>
    <n v="0"/>
  </r>
  <r>
    <n v="21801"/>
    <x v="0"/>
    <s v="Female"/>
    <n v="70000"/>
    <x v="5"/>
    <x v="1"/>
    <s v="Professional"/>
    <s v="Yes"/>
    <x v="1"/>
    <x v="3"/>
    <x v="2"/>
    <n v="55"/>
    <s v="No"/>
    <x v="1"/>
    <n v="4"/>
    <s v="$70k-90k"/>
    <n v="3"/>
    <x v="0"/>
    <n v="2"/>
    <n v="3"/>
    <n v="0"/>
  </r>
  <r>
    <n v="25943"/>
    <x v="1"/>
    <s v="Female"/>
    <n v="70000"/>
    <x v="3"/>
    <x v="1"/>
    <s v="Skilled Manual"/>
    <s v="No"/>
    <x v="2"/>
    <x v="0"/>
    <x v="2"/>
    <n v="27"/>
    <s v="Yes"/>
    <x v="4"/>
    <n v="1"/>
    <s v="$70k-90k"/>
    <n v="3"/>
    <x v="1"/>
    <n v="1"/>
    <n v="3"/>
    <n v="1"/>
  </r>
  <r>
    <n v="22127"/>
    <x v="0"/>
    <s v="Male"/>
    <n v="60000"/>
    <x v="1"/>
    <x v="4"/>
    <s v="Management"/>
    <s v="Yes"/>
    <x v="2"/>
    <x v="3"/>
    <x v="2"/>
    <n v="67"/>
    <s v="No"/>
    <x v="3"/>
    <n v="5"/>
    <s v="$40k-60k"/>
    <n v="2"/>
    <x v="1"/>
    <n v="2"/>
    <n v="5"/>
    <n v="0"/>
  </r>
  <r>
    <n v="20414"/>
    <x v="0"/>
    <s v="Female"/>
    <n v="60000"/>
    <x v="3"/>
    <x v="1"/>
    <s v="Skilled Manual"/>
    <s v="Yes"/>
    <x v="2"/>
    <x v="2"/>
    <x v="2"/>
    <n v="29"/>
    <s v="No"/>
    <x v="4"/>
    <n v="1"/>
    <s v="$40k-60k"/>
    <n v="2"/>
    <x v="1"/>
    <n v="4"/>
    <n v="3"/>
    <n v="0"/>
  </r>
  <r>
    <n v="23672"/>
    <x v="0"/>
    <s v="Female"/>
    <n v="60000"/>
    <x v="1"/>
    <x v="4"/>
    <s v="Management"/>
    <s v="Yes"/>
    <x v="2"/>
    <x v="3"/>
    <x v="2"/>
    <n v="67"/>
    <s v="No"/>
    <x v="3"/>
    <n v="5"/>
    <s v="$40k-60k"/>
    <n v="2"/>
    <x v="1"/>
    <n v="2"/>
    <n v="5"/>
    <n v="0"/>
  </r>
  <r>
    <n v="29255"/>
    <x v="1"/>
    <s v="Male"/>
    <n v="80000"/>
    <x v="1"/>
    <x v="1"/>
    <s v="Professional"/>
    <s v="No"/>
    <x v="1"/>
    <x v="3"/>
    <x v="2"/>
    <n v="51"/>
    <s v="Yes"/>
    <x v="1"/>
    <n v="4"/>
    <s v="$70k-90k"/>
    <n v="3"/>
    <x v="0"/>
    <n v="2"/>
    <n v="3"/>
    <n v="1"/>
  </r>
  <r>
    <n v="28815"/>
    <x v="0"/>
    <s v="Female"/>
    <n v="50000"/>
    <x v="0"/>
    <x v="4"/>
    <s v="Skilled Manual"/>
    <s v="Yes"/>
    <x v="0"/>
    <x v="0"/>
    <x v="2"/>
    <n v="35"/>
    <s v="No"/>
    <x v="2"/>
    <n v="2"/>
    <s v="$40k-60k"/>
    <n v="2"/>
    <x v="0"/>
    <n v="1"/>
    <n v="5"/>
    <n v="0"/>
  </r>
  <r>
    <n v="27753"/>
    <x v="0"/>
    <s v="Male"/>
    <n v="40000"/>
    <x v="3"/>
    <x v="2"/>
    <s v="Skilled Manual"/>
    <s v="No"/>
    <x v="2"/>
    <x v="3"/>
    <x v="2"/>
    <n v="30"/>
    <s v="No"/>
    <x v="4"/>
    <n v="1"/>
    <s v="$40k-60k"/>
    <n v="2"/>
    <x v="1"/>
    <n v="2"/>
    <n v="2"/>
    <n v="0"/>
  </r>
  <r>
    <n v="27643"/>
    <x v="1"/>
    <s v="Male"/>
    <n v="70000"/>
    <x v="2"/>
    <x v="1"/>
    <s v="Professional"/>
    <s v="Yes"/>
    <x v="4"/>
    <x v="1"/>
    <x v="2"/>
    <n v="44"/>
    <s v="No"/>
    <x v="0"/>
    <n v="3"/>
    <s v="$70k-90k"/>
    <n v="3"/>
    <x v="1"/>
    <n v="3"/>
    <n v="3"/>
    <n v="0"/>
  </r>
  <r>
    <n v="13754"/>
    <x v="1"/>
    <s v="Female"/>
    <n v="80000"/>
    <x v="5"/>
    <x v="4"/>
    <s v="Skilled Manual"/>
    <s v="Yes"/>
    <x v="0"/>
    <x v="3"/>
    <x v="2"/>
    <n v="48"/>
    <s v="No"/>
    <x v="0"/>
    <n v="3"/>
    <s v="$70k-90k"/>
    <n v="3"/>
    <x v="0"/>
    <n v="2"/>
    <n v="5"/>
    <n v="0"/>
  </r>
  <r>
    <n v="22088"/>
    <x v="0"/>
    <s v="Female"/>
    <n v="130000"/>
    <x v="0"/>
    <x v="0"/>
    <s v="Management"/>
    <s v="Yes"/>
    <x v="2"/>
    <x v="0"/>
    <x v="2"/>
    <n v="45"/>
    <s v="Yes"/>
    <x v="0"/>
    <n v="3"/>
    <s v="$100k+"/>
    <n v="4"/>
    <x v="1"/>
    <n v="1"/>
    <n v="4"/>
    <n v="1"/>
  </r>
  <r>
    <n v="27388"/>
    <x v="0"/>
    <s v="Male"/>
    <n v="60000"/>
    <x v="1"/>
    <x v="0"/>
    <s v="Management"/>
    <s v="No"/>
    <x v="2"/>
    <x v="3"/>
    <x v="2"/>
    <n v="66"/>
    <s v="No"/>
    <x v="3"/>
    <n v="5"/>
    <s v="$40k-60k"/>
    <n v="2"/>
    <x v="1"/>
    <n v="2"/>
    <n v="4"/>
    <n v="0"/>
  </r>
  <r>
    <n v="24745"/>
    <x v="1"/>
    <s v="Female"/>
    <n v="30000"/>
    <x v="4"/>
    <x v="2"/>
    <s v="Skilled Manual"/>
    <s v="No"/>
    <x v="2"/>
    <x v="0"/>
    <x v="2"/>
    <n v="49"/>
    <s v="No"/>
    <x v="0"/>
    <n v="3"/>
    <s v="$10k-30k"/>
    <n v="1"/>
    <x v="1"/>
    <n v="1"/>
    <n v="2"/>
    <n v="0"/>
  </r>
  <r>
    <n v="29237"/>
    <x v="1"/>
    <s v="Female"/>
    <n v="120000"/>
    <x v="5"/>
    <x v="1"/>
    <s v="Professional"/>
    <s v="Yes"/>
    <x v="4"/>
    <x v="2"/>
    <x v="2"/>
    <n v="43"/>
    <s v="Yes"/>
    <x v="0"/>
    <n v="3"/>
    <s v="$100k+"/>
    <n v="4"/>
    <x v="1"/>
    <n v="4"/>
    <n v="3"/>
    <n v="1"/>
  </r>
  <r>
    <n v="15272"/>
    <x v="1"/>
    <s v="Male"/>
    <n v="40000"/>
    <x v="3"/>
    <x v="2"/>
    <s v="Skilled Manual"/>
    <s v="No"/>
    <x v="2"/>
    <x v="3"/>
    <x v="2"/>
    <n v="30"/>
    <s v="No"/>
    <x v="4"/>
    <n v="1"/>
    <s v="$40k-60k"/>
    <n v="2"/>
    <x v="1"/>
    <n v="2"/>
    <n v="2"/>
    <n v="0"/>
  </r>
  <r>
    <n v="18949"/>
    <x v="1"/>
    <s v="Male"/>
    <n v="70000"/>
    <x v="3"/>
    <x v="4"/>
    <s v="Management"/>
    <s v="Yes"/>
    <x v="2"/>
    <x v="2"/>
    <x v="2"/>
    <n v="74"/>
    <s v="Yes"/>
    <x v="3"/>
    <n v="5"/>
    <s v="$70k-90k"/>
    <n v="3"/>
    <x v="1"/>
    <n v="4"/>
    <n v="5"/>
    <n v="1"/>
  </r>
  <r>
    <n v="14507"/>
    <x v="0"/>
    <s v="Male"/>
    <n v="100000"/>
    <x v="4"/>
    <x v="4"/>
    <s v="Management"/>
    <s v="Yes"/>
    <x v="4"/>
    <x v="3"/>
    <x v="2"/>
    <n v="65"/>
    <s v="No"/>
    <x v="3"/>
    <n v="5"/>
    <s v="$100k+"/>
    <n v="4"/>
    <x v="1"/>
    <n v="2"/>
    <n v="5"/>
    <n v="0"/>
  </r>
  <r>
    <n v="25886"/>
    <x v="0"/>
    <s v="Female"/>
    <n v="60000"/>
    <x v="4"/>
    <x v="1"/>
    <s v="Professional"/>
    <s v="Yes"/>
    <x v="2"/>
    <x v="1"/>
    <x v="2"/>
    <n v="56"/>
    <s v="Yes"/>
    <x v="1"/>
    <n v="4"/>
    <s v="$40k-60k"/>
    <n v="2"/>
    <x v="1"/>
    <n v="3"/>
    <n v="3"/>
    <n v="1"/>
  </r>
  <r>
    <n v="21441"/>
    <x v="0"/>
    <s v="Male"/>
    <n v="50000"/>
    <x v="5"/>
    <x v="0"/>
    <s v="Management"/>
    <s v="Yes"/>
    <x v="2"/>
    <x v="4"/>
    <x v="2"/>
    <n v="64"/>
    <s v="No"/>
    <x v="3"/>
    <n v="5"/>
    <s v="$40k-60k"/>
    <n v="2"/>
    <x v="1"/>
    <n v="5"/>
    <n v="4"/>
    <n v="0"/>
  </r>
  <r>
    <n v="21741"/>
    <x v="0"/>
    <s v="Female"/>
    <n v="70000"/>
    <x v="1"/>
    <x v="1"/>
    <s v="Professional"/>
    <s v="Yes"/>
    <x v="2"/>
    <x v="2"/>
    <x v="2"/>
    <n v="50"/>
    <s v="Yes"/>
    <x v="0"/>
    <n v="3"/>
    <s v="$70k-90k"/>
    <n v="3"/>
    <x v="1"/>
    <n v="4"/>
    <n v="3"/>
    <n v="1"/>
  </r>
  <r>
    <n v="14572"/>
    <x v="0"/>
    <s v="Female"/>
    <n v="70000"/>
    <x v="1"/>
    <x v="4"/>
    <s v="Professional"/>
    <s v="Yes"/>
    <x v="0"/>
    <x v="1"/>
    <x v="2"/>
    <n v="35"/>
    <s v="Yes"/>
    <x v="2"/>
    <n v="2"/>
    <s v="$70k-90k"/>
    <n v="3"/>
    <x v="0"/>
    <n v="3"/>
    <n v="5"/>
    <n v="1"/>
  </r>
  <r>
    <n v="23368"/>
    <x v="0"/>
    <s v="Female"/>
    <n v="60000"/>
    <x v="2"/>
    <x v="0"/>
    <s v="Skilled Manual"/>
    <s v="Yes"/>
    <x v="4"/>
    <x v="4"/>
    <x v="2"/>
    <n v="41"/>
    <s v="No"/>
    <x v="0"/>
    <n v="3"/>
    <s v="$40k-60k"/>
    <n v="2"/>
    <x v="1"/>
    <n v="5"/>
    <n v="4"/>
    <n v="0"/>
  </r>
  <r>
    <n v="16217"/>
    <x v="1"/>
    <s v="Female"/>
    <n v="60000"/>
    <x v="3"/>
    <x v="4"/>
    <s v="Skilled Manual"/>
    <s v="Yes"/>
    <x v="0"/>
    <x v="0"/>
    <x v="2"/>
    <n v="39"/>
    <s v="No"/>
    <x v="2"/>
    <n v="2"/>
    <s v="$40k-60k"/>
    <n v="2"/>
    <x v="0"/>
    <n v="1"/>
    <n v="5"/>
    <n v="0"/>
  </r>
  <r>
    <n v="16247"/>
    <x v="1"/>
    <s v="Female"/>
    <n v="60000"/>
    <x v="5"/>
    <x v="4"/>
    <s v="Skilled Manual"/>
    <s v="No"/>
    <x v="0"/>
    <x v="3"/>
    <x v="2"/>
    <n v="47"/>
    <s v="No"/>
    <x v="0"/>
    <n v="3"/>
    <s v="$40k-60k"/>
    <n v="2"/>
    <x v="0"/>
    <n v="2"/>
    <n v="5"/>
    <n v="0"/>
  </r>
  <r>
    <n v="22010"/>
    <x v="1"/>
    <s v="Male"/>
    <n v="40000"/>
    <x v="3"/>
    <x v="2"/>
    <s v="Skilled Manual"/>
    <s v="Yes"/>
    <x v="2"/>
    <x v="2"/>
    <x v="2"/>
    <n v="31"/>
    <s v="No"/>
    <x v="2"/>
    <n v="2"/>
    <s v="$40k-60k"/>
    <n v="2"/>
    <x v="1"/>
    <n v="4"/>
    <n v="2"/>
    <n v="0"/>
  </r>
  <r>
    <n v="25872"/>
    <x v="1"/>
    <s v="Female"/>
    <n v="70000"/>
    <x v="4"/>
    <x v="0"/>
    <s v="Management"/>
    <s v="No"/>
    <x v="1"/>
    <x v="1"/>
    <x v="2"/>
    <n v="58"/>
    <s v="Yes"/>
    <x v="1"/>
    <n v="4"/>
    <s v="$70k-90k"/>
    <n v="3"/>
    <x v="0"/>
    <n v="3"/>
    <n v="4"/>
    <n v="1"/>
  </r>
  <r>
    <n v="19164"/>
    <x v="1"/>
    <s v="Female"/>
    <n v="70000"/>
    <x v="3"/>
    <x v="0"/>
    <s v="Professional"/>
    <s v="No"/>
    <x v="1"/>
    <x v="1"/>
    <x v="2"/>
    <n v="38"/>
    <s v="Yes"/>
    <x v="2"/>
    <n v="2"/>
    <s v="$70k-90k"/>
    <n v="3"/>
    <x v="0"/>
    <n v="3"/>
    <n v="4"/>
    <n v="1"/>
  </r>
  <r>
    <n v="18435"/>
    <x v="1"/>
    <s v="Female"/>
    <n v="70000"/>
    <x v="2"/>
    <x v="4"/>
    <s v="Management"/>
    <s v="Yes"/>
    <x v="2"/>
    <x v="4"/>
    <x v="2"/>
    <n v="67"/>
    <s v="Yes"/>
    <x v="3"/>
    <n v="5"/>
    <s v="$70k-90k"/>
    <n v="3"/>
    <x v="1"/>
    <n v="5"/>
    <n v="5"/>
    <n v="1"/>
  </r>
  <r>
    <n v="14284"/>
    <x v="1"/>
    <s v="Male"/>
    <n v="60000"/>
    <x v="3"/>
    <x v="1"/>
    <s v="Professional"/>
    <s v="No"/>
    <x v="2"/>
    <x v="3"/>
    <x v="2"/>
    <n v="32"/>
    <s v="Yes"/>
    <x v="2"/>
    <n v="2"/>
    <s v="$40k-60k"/>
    <n v="2"/>
    <x v="1"/>
    <n v="2"/>
    <n v="3"/>
    <n v="1"/>
  </r>
  <r>
    <n v="11287"/>
    <x v="0"/>
    <s v="Male"/>
    <n v="70000"/>
    <x v="2"/>
    <x v="1"/>
    <s v="Professional"/>
    <s v="No"/>
    <x v="4"/>
    <x v="2"/>
    <x v="2"/>
    <n v="45"/>
    <s v="No"/>
    <x v="0"/>
    <n v="3"/>
    <s v="$70k-90k"/>
    <n v="3"/>
    <x v="1"/>
    <n v="4"/>
    <n v="3"/>
    <n v="0"/>
  </r>
  <r>
    <n v="13066"/>
    <x v="1"/>
    <s v="Male"/>
    <n v="30000"/>
    <x v="3"/>
    <x v="2"/>
    <s v="Skilled Manual"/>
    <s v="No"/>
    <x v="2"/>
    <x v="3"/>
    <x v="2"/>
    <n v="31"/>
    <s v="Yes"/>
    <x v="2"/>
    <n v="2"/>
    <s v="$10k-30k"/>
    <n v="1"/>
    <x v="1"/>
    <n v="2"/>
    <n v="2"/>
    <n v="1"/>
  </r>
  <r>
    <n v="29106"/>
    <x v="1"/>
    <s v="Male"/>
    <n v="40000"/>
    <x v="3"/>
    <x v="2"/>
    <s v="Skilled Manual"/>
    <s v="No"/>
    <x v="2"/>
    <x v="3"/>
    <x v="2"/>
    <n v="31"/>
    <s v="Yes"/>
    <x v="2"/>
    <n v="2"/>
    <s v="$40k-60k"/>
    <n v="2"/>
    <x v="1"/>
    <n v="2"/>
    <n v="2"/>
    <n v="1"/>
  </r>
  <r>
    <n v="26236"/>
    <x v="0"/>
    <s v="Female"/>
    <n v="40000"/>
    <x v="1"/>
    <x v="1"/>
    <s v="Clerical"/>
    <s v="Yes"/>
    <x v="1"/>
    <x v="0"/>
    <x v="2"/>
    <n v="31"/>
    <s v="No"/>
    <x v="2"/>
    <n v="2"/>
    <s v="$40k-60k"/>
    <n v="2"/>
    <x v="0"/>
    <n v="1"/>
    <n v="3"/>
    <n v="0"/>
  </r>
  <r>
    <n v="17531"/>
    <x v="0"/>
    <s v="Male"/>
    <n v="60000"/>
    <x v="4"/>
    <x v="2"/>
    <s v="Professional"/>
    <s v="No"/>
    <x v="2"/>
    <x v="2"/>
    <x v="2"/>
    <n v="50"/>
    <s v="No"/>
    <x v="0"/>
    <n v="3"/>
    <s v="$40k-60k"/>
    <n v="2"/>
    <x v="1"/>
    <n v="4"/>
    <n v="2"/>
    <n v="0"/>
  </r>
  <r>
    <n v="12964"/>
    <x v="0"/>
    <s v="Male"/>
    <n v="70000"/>
    <x v="0"/>
    <x v="1"/>
    <s v="Skilled Manual"/>
    <s v="Yes"/>
    <x v="1"/>
    <x v="0"/>
    <x v="2"/>
    <n v="44"/>
    <s v="No"/>
    <x v="0"/>
    <n v="3"/>
    <s v="$70k-90k"/>
    <n v="3"/>
    <x v="0"/>
    <n v="1"/>
    <n v="3"/>
    <n v="0"/>
  </r>
  <r>
    <n v="19133"/>
    <x v="1"/>
    <s v="Male"/>
    <n v="50000"/>
    <x v="4"/>
    <x v="0"/>
    <s v="Skilled Manual"/>
    <s v="Yes"/>
    <x v="1"/>
    <x v="1"/>
    <x v="2"/>
    <n v="38"/>
    <s v="Yes"/>
    <x v="2"/>
    <n v="2"/>
    <s v="$40k-60k"/>
    <n v="2"/>
    <x v="0"/>
    <n v="3"/>
    <n v="4"/>
    <n v="1"/>
  </r>
  <r>
    <n v="24643"/>
    <x v="1"/>
    <s v="Female"/>
    <n v="60000"/>
    <x v="5"/>
    <x v="0"/>
    <s v="Management"/>
    <s v="Yes"/>
    <x v="2"/>
    <x v="4"/>
    <x v="2"/>
    <n v="63"/>
    <s v="No"/>
    <x v="3"/>
    <n v="5"/>
    <s v="$40k-60k"/>
    <n v="2"/>
    <x v="1"/>
    <n v="5"/>
    <n v="4"/>
    <n v="0"/>
  </r>
  <r>
    <n v="21599"/>
    <x v="0"/>
    <s v="Female"/>
    <n v="60000"/>
    <x v="0"/>
    <x v="4"/>
    <s v="Professional"/>
    <s v="Yes"/>
    <x v="0"/>
    <x v="1"/>
    <x v="2"/>
    <n v="36"/>
    <s v="Yes"/>
    <x v="2"/>
    <n v="2"/>
    <s v="$40k-60k"/>
    <n v="2"/>
    <x v="0"/>
    <n v="3"/>
    <n v="5"/>
    <n v="1"/>
  </r>
  <r>
    <n v="22976"/>
    <x v="1"/>
    <s v="Male"/>
    <n v="40000"/>
    <x v="3"/>
    <x v="2"/>
    <s v="Skilled Manual"/>
    <s v="No"/>
    <x v="2"/>
    <x v="0"/>
    <x v="2"/>
    <n v="28"/>
    <s v="Yes"/>
    <x v="4"/>
    <n v="1"/>
    <s v="$40k-60k"/>
    <n v="2"/>
    <x v="1"/>
    <n v="1"/>
    <n v="2"/>
    <n v="1"/>
  </r>
  <r>
    <n v="27637"/>
    <x v="1"/>
    <s v="Female"/>
    <n v="100000"/>
    <x v="0"/>
    <x v="1"/>
    <s v="Professional"/>
    <s v="No"/>
    <x v="4"/>
    <x v="3"/>
    <x v="2"/>
    <n v="44"/>
    <s v="No"/>
    <x v="0"/>
    <n v="3"/>
    <s v="$100k+"/>
    <n v="4"/>
    <x v="1"/>
    <n v="2"/>
    <n v="3"/>
    <n v="0"/>
  </r>
  <r>
    <n v="11890"/>
    <x v="0"/>
    <s v="Female"/>
    <n v="70000"/>
    <x v="2"/>
    <x v="4"/>
    <s v="Professional"/>
    <s v="Yes"/>
    <x v="1"/>
    <x v="0"/>
    <x v="2"/>
    <n v="47"/>
    <s v="No"/>
    <x v="0"/>
    <n v="3"/>
    <s v="$70k-90k"/>
    <n v="3"/>
    <x v="0"/>
    <n v="1"/>
    <n v="5"/>
    <n v="0"/>
  </r>
  <r>
    <n v="28580"/>
    <x v="0"/>
    <s v="Female"/>
    <n v="80000"/>
    <x v="3"/>
    <x v="4"/>
    <s v="Skilled Manual"/>
    <s v="Yes"/>
    <x v="0"/>
    <x v="3"/>
    <x v="2"/>
    <n v="40"/>
    <s v="Yes"/>
    <x v="2"/>
    <n v="2"/>
    <s v="$70k-90k"/>
    <n v="3"/>
    <x v="0"/>
    <n v="2"/>
    <n v="5"/>
    <n v="1"/>
  </r>
  <r>
    <n v="14443"/>
    <x v="0"/>
    <s v="Male"/>
    <n v="130000"/>
    <x v="0"/>
    <x v="4"/>
    <s v="Management"/>
    <s v="Yes"/>
    <x v="3"/>
    <x v="0"/>
    <x v="2"/>
    <n v="40"/>
    <s v="No"/>
    <x v="2"/>
    <n v="2"/>
    <s v="$100k+"/>
    <n v="4"/>
    <x v="1"/>
    <n v="1"/>
    <n v="5"/>
    <n v="0"/>
  </r>
  <r>
    <n v="17864"/>
    <x v="0"/>
    <s v="Female"/>
    <n v="60000"/>
    <x v="0"/>
    <x v="1"/>
    <s v="Skilled Manual"/>
    <s v="Yes"/>
    <x v="1"/>
    <x v="1"/>
    <x v="2"/>
    <n v="46"/>
    <s v="Yes"/>
    <x v="0"/>
    <n v="3"/>
    <s v="$40k-60k"/>
    <n v="2"/>
    <x v="0"/>
    <n v="3"/>
    <n v="3"/>
    <n v="1"/>
  </r>
  <r>
    <n v="20505"/>
    <x v="0"/>
    <s v="Female"/>
    <n v="40000"/>
    <x v="2"/>
    <x v="2"/>
    <s v="Professional"/>
    <s v="No"/>
    <x v="2"/>
    <x v="4"/>
    <x v="2"/>
    <n v="61"/>
    <s v="No"/>
    <x v="3"/>
    <n v="5"/>
    <s v="$40k-60k"/>
    <n v="2"/>
    <x v="1"/>
    <n v="5"/>
    <n v="2"/>
    <n v="0"/>
  </r>
  <r>
    <n v="14592"/>
    <x v="0"/>
    <s v="Female"/>
    <n v="60000"/>
    <x v="3"/>
    <x v="4"/>
    <s v="Professional"/>
    <s v="Yes"/>
    <x v="0"/>
    <x v="0"/>
    <x v="2"/>
    <n v="40"/>
    <s v="No"/>
    <x v="2"/>
    <n v="2"/>
    <s v="$40k-60k"/>
    <n v="2"/>
    <x v="0"/>
    <n v="1"/>
    <n v="5"/>
    <n v="0"/>
  </r>
  <r>
    <n v="22227"/>
    <x v="0"/>
    <s v="Female"/>
    <n v="60000"/>
    <x v="4"/>
    <x v="2"/>
    <s v="Professional"/>
    <s v="Yes"/>
    <x v="2"/>
    <x v="2"/>
    <x v="2"/>
    <n v="50"/>
    <s v="No"/>
    <x v="0"/>
    <n v="3"/>
    <s v="$40k-60k"/>
    <n v="2"/>
    <x v="1"/>
    <n v="4"/>
    <n v="2"/>
    <n v="0"/>
  </r>
  <r>
    <n v="21471"/>
    <x v="0"/>
    <s v="Male"/>
    <n v="70000"/>
    <x v="4"/>
    <x v="1"/>
    <s v="Professional"/>
    <s v="Yes"/>
    <x v="1"/>
    <x v="4"/>
    <x v="2"/>
    <n v="59"/>
    <s v="No"/>
    <x v="1"/>
    <n v="4"/>
    <s v="$70k-90k"/>
    <n v="3"/>
    <x v="0"/>
    <n v="5"/>
    <n v="3"/>
    <n v="0"/>
  </r>
  <r>
    <n v="22252"/>
    <x v="1"/>
    <s v="Female"/>
    <n v="60000"/>
    <x v="0"/>
    <x v="4"/>
    <s v="Professional"/>
    <s v="Yes"/>
    <x v="0"/>
    <x v="1"/>
    <x v="2"/>
    <n v="36"/>
    <s v="Yes"/>
    <x v="2"/>
    <n v="2"/>
    <s v="$40k-60k"/>
    <n v="2"/>
    <x v="0"/>
    <n v="3"/>
    <n v="5"/>
    <n v="1"/>
  </r>
  <r>
    <n v="21260"/>
    <x v="1"/>
    <s v="Female"/>
    <n v="40000"/>
    <x v="3"/>
    <x v="2"/>
    <s v="Skilled Manual"/>
    <s v="Yes"/>
    <x v="2"/>
    <x v="2"/>
    <x v="2"/>
    <n v="30"/>
    <s v="No"/>
    <x v="4"/>
    <n v="1"/>
    <s v="$40k-60k"/>
    <n v="2"/>
    <x v="1"/>
    <n v="4"/>
    <n v="2"/>
    <n v="0"/>
  </r>
  <r>
    <n v="11817"/>
    <x v="1"/>
    <s v="Female"/>
    <n v="70000"/>
    <x v="5"/>
    <x v="4"/>
    <s v="Professional"/>
    <s v="Yes"/>
    <x v="0"/>
    <x v="1"/>
    <x v="2"/>
    <n v="35"/>
    <s v="Yes"/>
    <x v="2"/>
    <n v="2"/>
    <s v="$70k-90k"/>
    <n v="3"/>
    <x v="0"/>
    <n v="3"/>
    <n v="5"/>
    <n v="1"/>
  </r>
  <r>
    <n v="19223"/>
    <x v="0"/>
    <s v="Female"/>
    <n v="30000"/>
    <x v="4"/>
    <x v="2"/>
    <s v="Skilled Manual"/>
    <s v="Yes"/>
    <x v="2"/>
    <x v="3"/>
    <x v="2"/>
    <n v="48"/>
    <s v="No"/>
    <x v="0"/>
    <n v="3"/>
    <s v="$10k-30k"/>
    <n v="1"/>
    <x v="1"/>
    <n v="2"/>
    <n v="2"/>
    <n v="0"/>
  </r>
  <r>
    <n v="18517"/>
    <x v="0"/>
    <s v="Male"/>
    <n v="100000"/>
    <x v="1"/>
    <x v="0"/>
    <s v="Management"/>
    <s v="Yes"/>
    <x v="3"/>
    <x v="0"/>
    <x v="2"/>
    <n v="41"/>
    <s v="No"/>
    <x v="0"/>
    <n v="3"/>
    <s v="$100k+"/>
    <n v="4"/>
    <x v="1"/>
    <n v="1"/>
    <n v="4"/>
    <n v="0"/>
  </r>
  <r>
    <n v="21717"/>
    <x v="0"/>
    <s v="Male"/>
    <n v="40000"/>
    <x v="4"/>
    <x v="1"/>
    <s v="Clerical"/>
    <s v="Yes"/>
    <x v="1"/>
    <x v="0"/>
    <x v="2"/>
    <n v="47"/>
    <s v="No"/>
    <x v="0"/>
    <n v="3"/>
    <s v="$40k-60k"/>
    <n v="2"/>
    <x v="0"/>
    <n v="1"/>
    <n v="3"/>
    <n v="0"/>
  </r>
  <r>
    <n v="13760"/>
    <x v="0"/>
    <s v="Male"/>
    <n v="60000"/>
    <x v="5"/>
    <x v="4"/>
    <s v="Skilled Manual"/>
    <s v="No"/>
    <x v="0"/>
    <x v="0"/>
    <x v="2"/>
    <n v="47"/>
    <s v="No"/>
    <x v="0"/>
    <n v="3"/>
    <s v="$40k-60k"/>
    <n v="2"/>
    <x v="0"/>
    <n v="1"/>
    <n v="5"/>
    <n v="0"/>
  </r>
  <r>
    <n v="18145"/>
    <x v="0"/>
    <s v="Male"/>
    <n v="80000"/>
    <x v="2"/>
    <x v="0"/>
    <s v="Management"/>
    <s v="No"/>
    <x v="2"/>
    <x v="1"/>
    <x v="0"/>
    <n v="62"/>
    <s v="No"/>
    <x v="3"/>
    <n v="5"/>
    <s v="$70k-90k"/>
    <n v="3"/>
    <x v="1"/>
    <n v="3"/>
    <n v="4"/>
    <n v="0"/>
  </r>
  <r>
    <n v="21770"/>
    <x v="0"/>
    <s v="Male"/>
    <n v="60000"/>
    <x v="5"/>
    <x v="0"/>
    <s v="Management"/>
    <s v="Yes"/>
    <x v="2"/>
    <x v="4"/>
    <x v="2"/>
    <n v="60"/>
    <s v="No"/>
    <x v="1"/>
    <n v="4"/>
    <s v="$40k-60k"/>
    <n v="2"/>
    <x v="1"/>
    <n v="5"/>
    <n v="4"/>
    <n v="0"/>
  </r>
  <r>
    <n v="11165"/>
    <x v="0"/>
    <s v="Female"/>
    <n v="60000"/>
    <x v="3"/>
    <x v="1"/>
    <s v="Skilled Manual"/>
    <s v="No"/>
    <x v="1"/>
    <x v="3"/>
    <x v="2"/>
    <n v="33"/>
    <s v="No"/>
    <x v="2"/>
    <n v="2"/>
    <s v="$40k-60k"/>
    <n v="2"/>
    <x v="0"/>
    <n v="2"/>
    <n v="3"/>
    <n v="0"/>
  </r>
  <r>
    <n v="16377"/>
    <x v="1"/>
    <s v="Female"/>
    <n v="80000"/>
    <x v="5"/>
    <x v="4"/>
    <s v="Skilled Manual"/>
    <s v="No"/>
    <x v="0"/>
    <x v="0"/>
    <x v="2"/>
    <n v="47"/>
    <s v="No"/>
    <x v="0"/>
    <n v="3"/>
    <s v="$70k-90k"/>
    <n v="3"/>
    <x v="0"/>
    <n v="1"/>
    <n v="5"/>
    <n v="0"/>
  </r>
  <r>
    <n v="26248"/>
    <x v="0"/>
    <s v="Male"/>
    <n v="20000"/>
    <x v="1"/>
    <x v="3"/>
    <s v="Clerical"/>
    <s v="No"/>
    <x v="2"/>
    <x v="0"/>
    <x v="2"/>
    <n v="52"/>
    <s v="No"/>
    <x v="1"/>
    <n v="4"/>
    <s v="$10k-30k"/>
    <n v="1"/>
    <x v="1"/>
    <n v="1"/>
    <n v="1"/>
    <n v="0"/>
  </r>
  <r>
    <n v="23461"/>
    <x v="0"/>
    <s v="Female"/>
    <n v="90000"/>
    <x v="2"/>
    <x v="1"/>
    <s v="Professional"/>
    <s v="Yes"/>
    <x v="4"/>
    <x v="1"/>
    <x v="2"/>
    <n v="40"/>
    <s v="No"/>
    <x v="2"/>
    <n v="2"/>
    <s v="$70k-90k"/>
    <n v="3"/>
    <x v="1"/>
    <n v="3"/>
    <n v="3"/>
    <n v="0"/>
  </r>
  <r>
    <n v="29133"/>
    <x v="1"/>
    <s v="Female"/>
    <n v="60000"/>
    <x v="5"/>
    <x v="0"/>
    <s v="Skilled Manual"/>
    <s v="No"/>
    <x v="2"/>
    <x v="0"/>
    <x v="2"/>
    <n v="42"/>
    <s v="No"/>
    <x v="0"/>
    <n v="3"/>
    <s v="$40k-60k"/>
    <n v="2"/>
    <x v="1"/>
    <n v="1"/>
    <n v="4"/>
    <n v="0"/>
  </r>
  <r>
    <n v="27673"/>
    <x v="1"/>
    <s v="Female"/>
    <n v="60000"/>
    <x v="1"/>
    <x v="4"/>
    <s v="Management"/>
    <s v="Yes"/>
    <x v="2"/>
    <x v="2"/>
    <x v="2"/>
    <n v="53"/>
    <s v="Yes"/>
    <x v="1"/>
    <n v="4"/>
    <s v="$40k-60k"/>
    <n v="2"/>
    <x v="1"/>
    <n v="4"/>
    <n v="5"/>
    <n v="1"/>
  </r>
  <r>
    <n v="12774"/>
    <x v="0"/>
    <s v="Female"/>
    <n v="40000"/>
    <x v="0"/>
    <x v="1"/>
    <s v="Clerical"/>
    <s v="Yes"/>
    <x v="1"/>
    <x v="3"/>
    <x v="2"/>
    <n v="51"/>
    <s v="Yes"/>
    <x v="1"/>
    <n v="4"/>
    <s v="$40k-60k"/>
    <n v="2"/>
    <x v="0"/>
    <n v="2"/>
    <n v="3"/>
    <n v="1"/>
  </r>
  <r>
    <n v="18910"/>
    <x v="1"/>
    <s v="Male"/>
    <n v="30000"/>
    <x v="3"/>
    <x v="1"/>
    <s v="Skilled Manual"/>
    <s v="Yes"/>
    <x v="2"/>
    <x v="2"/>
    <x v="2"/>
    <n v="30"/>
    <s v="No"/>
    <x v="4"/>
    <n v="1"/>
    <s v="$10k-30k"/>
    <n v="1"/>
    <x v="1"/>
    <n v="4"/>
    <n v="3"/>
    <n v="0"/>
  </r>
  <r>
    <n v="11699"/>
    <x v="1"/>
    <s v="Male"/>
    <n v="60000"/>
    <x v="3"/>
    <x v="0"/>
    <s v="Skilled Manual"/>
    <s v="No"/>
    <x v="2"/>
    <x v="0"/>
    <x v="2"/>
    <n v="30"/>
    <s v="No"/>
    <x v="4"/>
    <n v="1"/>
    <s v="$40k-60k"/>
    <n v="2"/>
    <x v="1"/>
    <n v="1"/>
    <n v="4"/>
    <n v="0"/>
  </r>
  <r>
    <n v="16725"/>
    <x v="0"/>
    <s v="Male"/>
    <n v="30000"/>
    <x v="3"/>
    <x v="2"/>
    <s v="Skilled Manual"/>
    <s v="Yes"/>
    <x v="2"/>
    <x v="2"/>
    <x v="2"/>
    <n v="26"/>
    <s v="No"/>
    <x v="4"/>
    <n v="1"/>
    <s v="$10k-30k"/>
    <n v="1"/>
    <x v="1"/>
    <n v="4"/>
    <n v="2"/>
    <n v="0"/>
  </r>
  <r>
    <n v="28269"/>
    <x v="1"/>
    <s v="Female"/>
    <n v="130000"/>
    <x v="0"/>
    <x v="0"/>
    <s v="Management"/>
    <s v="No"/>
    <x v="1"/>
    <x v="1"/>
    <x v="2"/>
    <n v="45"/>
    <s v="No"/>
    <x v="0"/>
    <n v="3"/>
    <s v="$100k+"/>
    <n v="4"/>
    <x v="0"/>
    <n v="3"/>
    <n v="4"/>
    <n v="0"/>
  </r>
  <r>
    <n v="23144"/>
    <x v="0"/>
    <s v="Male"/>
    <n v="50000"/>
    <x v="0"/>
    <x v="0"/>
    <s v="Skilled Manual"/>
    <s v="Yes"/>
    <x v="0"/>
    <x v="0"/>
    <x v="2"/>
    <n v="34"/>
    <s v="Yes"/>
    <x v="2"/>
    <n v="2"/>
    <s v="$40k-60k"/>
    <n v="2"/>
    <x v="0"/>
    <n v="1"/>
    <n v="4"/>
    <n v="1"/>
  </r>
  <r>
    <n v="23376"/>
    <x v="0"/>
    <s v="Male"/>
    <n v="70000"/>
    <x v="0"/>
    <x v="0"/>
    <s v="Professional"/>
    <s v="Yes"/>
    <x v="1"/>
    <x v="1"/>
    <x v="2"/>
    <n v="44"/>
    <s v="Yes"/>
    <x v="0"/>
    <n v="3"/>
    <s v="$70k-90k"/>
    <n v="3"/>
    <x v="0"/>
    <n v="3"/>
    <n v="4"/>
    <n v="1"/>
  </r>
  <r>
    <n v="25970"/>
    <x v="1"/>
    <s v="Female"/>
    <n v="60000"/>
    <x v="5"/>
    <x v="0"/>
    <s v="Skilled Manual"/>
    <s v="No"/>
    <x v="2"/>
    <x v="0"/>
    <x v="2"/>
    <n v="41"/>
    <s v="Yes"/>
    <x v="0"/>
    <n v="3"/>
    <s v="$40k-60k"/>
    <n v="2"/>
    <x v="1"/>
    <n v="1"/>
    <n v="4"/>
    <n v="1"/>
  </r>
  <r>
    <n v="28068"/>
    <x v="1"/>
    <s v="Female"/>
    <n v="80000"/>
    <x v="1"/>
    <x v="4"/>
    <s v="Professional"/>
    <s v="No"/>
    <x v="0"/>
    <x v="0"/>
    <x v="2"/>
    <n v="36"/>
    <s v="Yes"/>
    <x v="2"/>
    <n v="2"/>
    <s v="$70k-90k"/>
    <n v="3"/>
    <x v="0"/>
    <n v="1"/>
    <n v="5"/>
    <n v="1"/>
  </r>
  <r>
    <n v="18390"/>
    <x v="0"/>
    <s v="Male"/>
    <n v="80000"/>
    <x v="2"/>
    <x v="1"/>
    <s v="Professional"/>
    <s v="Yes"/>
    <x v="2"/>
    <x v="0"/>
    <x v="2"/>
    <n v="44"/>
    <s v="No"/>
    <x v="0"/>
    <n v="3"/>
    <s v="$70k-90k"/>
    <n v="3"/>
    <x v="1"/>
    <n v="1"/>
    <n v="3"/>
    <n v="0"/>
  </r>
  <r>
    <n v="29112"/>
    <x v="1"/>
    <s v="Male"/>
    <n v="60000"/>
    <x v="3"/>
    <x v="1"/>
    <s v="Professional"/>
    <s v="No"/>
    <x v="2"/>
    <x v="3"/>
    <x v="2"/>
    <n v="30"/>
    <s v="No"/>
    <x v="4"/>
    <n v="1"/>
    <s v="$40k-60k"/>
    <n v="2"/>
    <x v="1"/>
    <n v="2"/>
    <n v="3"/>
    <n v="0"/>
  </r>
  <r>
    <n v="14090"/>
    <x v="0"/>
    <s v="Female"/>
    <n v="30000"/>
    <x v="3"/>
    <x v="3"/>
    <s v="Clerical"/>
    <s v="No"/>
    <x v="2"/>
    <x v="0"/>
    <x v="2"/>
    <n v="28"/>
    <s v="No"/>
    <x v="4"/>
    <n v="1"/>
    <s v="$10k-30k"/>
    <n v="1"/>
    <x v="1"/>
    <n v="1"/>
    <n v="1"/>
    <n v="0"/>
  </r>
  <r>
    <n v="27040"/>
    <x v="0"/>
    <s v="Male"/>
    <n v="20000"/>
    <x v="4"/>
    <x v="3"/>
    <s v="Clerical"/>
    <s v="Yes"/>
    <x v="2"/>
    <x v="3"/>
    <x v="2"/>
    <n v="49"/>
    <s v="No"/>
    <x v="0"/>
    <n v="3"/>
    <s v="$10k-30k"/>
    <n v="1"/>
    <x v="1"/>
    <n v="2"/>
    <n v="1"/>
    <n v="0"/>
  </r>
  <r>
    <n v="23479"/>
    <x v="1"/>
    <s v="Male"/>
    <n v="90000"/>
    <x v="3"/>
    <x v="1"/>
    <s v="Professional"/>
    <s v="No"/>
    <x v="2"/>
    <x v="0"/>
    <x v="2"/>
    <n v="43"/>
    <s v="Yes"/>
    <x v="0"/>
    <n v="3"/>
    <s v="$70k-90k"/>
    <n v="3"/>
    <x v="1"/>
    <n v="1"/>
    <n v="3"/>
    <n v="1"/>
  </r>
  <r>
    <n v="16795"/>
    <x v="0"/>
    <s v="Female"/>
    <n v="70000"/>
    <x v="5"/>
    <x v="0"/>
    <s v="Management"/>
    <s v="Yes"/>
    <x v="1"/>
    <x v="3"/>
    <x v="2"/>
    <n v="59"/>
    <s v="No"/>
    <x v="1"/>
    <n v="4"/>
    <s v="$70k-90k"/>
    <n v="3"/>
    <x v="0"/>
    <n v="2"/>
    <n v="4"/>
    <n v="0"/>
  </r>
  <r>
    <n v="22014"/>
    <x v="1"/>
    <s v="Male"/>
    <n v="30000"/>
    <x v="3"/>
    <x v="2"/>
    <s v="Skilled Manual"/>
    <s v="Yes"/>
    <x v="2"/>
    <x v="2"/>
    <x v="2"/>
    <n v="26"/>
    <s v="No"/>
    <x v="4"/>
    <n v="1"/>
    <s v="$10k-30k"/>
    <n v="1"/>
    <x v="1"/>
    <n v="4"/>
    <n v="2"/>
    <n v="0"/>
  </r>
  <r>
    <n v="13314"/>
    <x v="0"/>
    <s v="Male"/>
    <n v="120000"/>
    <x v="0"/>
    <x v="2"/>
    <s v="Professional"/>
    <s v="Yes"/>
    <x v="3"/>
    <x v="2"/>
    <x v="2"/>
    <n v="46"/>
    <s v="Yes"/>
    <x v="0"/>
    <n v="3"/>
    <s v="$100k+"/>
    <n v="4"/>
    <x v="1"/>
    <n v="4"/>
    <n v="2"/>
    <n v="1"/>
  </r>
  <r>
    <n v="11619"/>
    <x v="1"/>
    <s v="Female"/>
    <n v="50000"/>
    <x v="3"/>
    <x v="4"/>
    <s v="Skilled Manual"/>
    <s v="Yes"/>
    <x v="0"/>
    <x v="3"/>
    <x v="2"/>
    <n v="33"/>
    <s v="No"/>
    <x v="2"/>
    <n v="2"/>
    <s v="$40k-60k"/>
    <n v="2"/>
    <x v="0"/>
    <n v="2"/>
    <n v="5"/>
    <n v="0"/>
  </r>
  <r>
    <n v="29132"/>
    <x v="1"/>
    <s v="Female"/>
    <n v="40000"/>
    <x v="3"/>
    <x v="0"/>
    <s v="Professional"/>
    <s v="Yes"/>
    <x v="1"/>
    <x v="1"/>
    <x v="2"/>
    <n v="42"/>
    <s v="Yes"/>
    <x v="0"/>
    <n v="3"/>
    <s v="$40k-60k"/>
    <n v="2"/>
    <x v="0"/>
    <n v="3"/>
    <n v="4"/>
    <n v="1"/>
  </r>
  <r>
    <n v="11199"/>
    <x v="0"/>
    <s v="Female"/>
    <n v="70000"/>
    <x v="5"/>
    <x v="0"/>
    <s v="Management"/>
    <s v="Yes"/>
    <x v="1"/>
    <x v="4"/>
    <x v="2"/>
    <n v="59"/>
    <s v="No"/>
    <x v="1"/>
    <n v="4"/>
    <s v="$70k-90k"/>
    <n v="3"/>
    <x v="0"/>
    <n v="5"/>
    <n v="4"/>
    <n v="0"/>
  </r>
  <r>
    <n v="20296"/>
    <x v="1"/>
    <s v="Female"/>
    <n v="60000"/>
    <x v="3"/>
    <x v="1"/>
    <s v="Skilled Manual"/>
    <s v="No"/>
    <x v="1"/>
    <x v="3"/>
    <x v="2"/>
    <n v="33"/>
    <s v="Yes"/>
    <x v="2"/>
    <n v="2"/>
    <s v="$40k-60k"/>
    <n v="2"/>
    <x v="0"/>
    <n v="2"/>
    <n v="3"/>
    <n v="1"/>
  </r>
  <r>
    <n v="17546"/>
    <x v="0"/>
    <s v="Female"/>
    <n v="70000"/>
    <x v="0"/>
    <x v="1"/>
    <s v="Skilled Manual"/>
    <s v="Yes"/>
    <x v="1"/>
    <x v="0"/>
    <x v="2"/>
    <n v="44"/>
    <s v="Yes"/>
    <x v="0"/>
    <n v="3"/>
    <s v="$70k-90k"/>
    <n v="3"/>
    <x v="0"/>
    <n v="1"/>
    <n v="3"/>
    <n v="1"/>
  </r>
  <r>
    <n v="18069"/>
    <x v="0"/>
    <s v="Male"/>
    <n v="70000"/>
    <x v="2"/>
    <x v="0"/>
    <s v="Management"/>
    <s v="Yes"/>
    <x v="3"/>
    <x v="4"/>
    <x v="2"/>
    <n v="60"/>
    <s v="No"/>
    <x v="1"/>
    <n v="4"/>
    <s v="$70k-90k"/>
    <n v="3"/>
    <x v="1"/>
    <n v="5"/>
    <n v="4"/>
    <n v="0"/>
  </r>
  <r>
    <n v="23712"/>
    <x v="1"/>
    <s v="Female"/>
    <n v="70000"/>
    <x v="4"/>
    <x v="0"/>
    <s v="Management"/>
    <s v="Yes"/>
    <x v="1"/>
    <x v="4"/>
    <x v="2"/>
    <n v="59"/>
    <s v="No"/>
    <x v="1"/>
    <n v="4"/>
    <s v="$70k-90k"/>
    <n v="3"/>
    <x v="0"/>
    <n v="5"/>
    <n v="4"/>
    <n v="0"/>
  </r>
  <r>
    <n v="23358"/>
    <x v="0"/>
    <s v="Male"/>
    <n v="60000"/>
    <x v="3"/>
    <x v="2"/>
    <s v="Professional"/>
    <s v="Yes"/>
    <x v="2"/>
    <x v="2"/>
    <x v="2"/>
    <n v="32"/>
    <s v="Yes"/>
    <x v="2"/>
    <n v="2"/>
    <s v="$40k-60k"/>
    <n v="2"/>
    <x v="1"/>
    <n v="4"/>
    <n v="2"/>
    <n v="1"/>
  </r>
  <r>
    <n v="20518"/>
    <x v="0"/>
    <s v="Female"/>
    <n v="70000"/>
    <x v="4"/>
    <x v="1"/>
    <s v="Professional"/>
    <s v="Yes"/>
    <x v="1"/>
    <x v="4"/>
    <x v="2"/>
    <n v="58"/>
    <s v="No"/>
    <x v="1"/>
    <n v="4"/>
    <s v="$70k-90k"/>
    <n v="3"/>
    <x v="0"/>
    <n v="5"/>
    <n v="3"/>
    <n v="0"/>
  </r>
  <r>
    <n v="28026"/>
    <x v="0"/>
    <s v="Female"/>
    <n v="40000"/>
    <x v="4"/>
    <x v="2"/>
    <s v="Professional"/>
    <s v="No"/>
    <x v="2"/>
    <x v="1"/>
    <x v="2"/>
    <n v="59"/>
    <s v="No"/>
    <x v="1"/>
    <n v="4"/>
    <s v="$40k-60k"/>
    <n v="2"/>
    <x v="1"/>
    <n v="3"/>
    <n v="2"/>
    <n v="0"/>
  </r>
  <r>
    <n v="11669"/>
    <x v="1"/>
    <s v="Female"/>
    <n v="70000"/>
    <x v="4"/>
    <x v="0"/>
    <s v="Skilled Manual"/>
    <s v="Yes"/>
    <x v="1"/>
    <x v="1"/>
    <x v="2"/>
    <n v="38"/>
    <s v="No"/>
    <x v="2"/>
    <n v="2"/>
    <s v="$70k-90k"/>
    <n v="3"/>
    <x v="0"/>
    <n v="3"/>
    <n v="4"/>
    <n v="0"/>
  </r>
  <r>
    <n v="16020"/>
    <x v="0"/>
    <s v="Male"/>
    <n v="40000"/>
    <x v="3"/>
    <x v="2"/>
    <s v="Skilled Manual"/>
    <s v="Yes"/>
    <x v="2"/>
    <x v="2"/>
    <x v="2"/>
    <n v="28"/>
    <s v="Yes"/>
    <x v="4"/>
    <n v="1"/>
    <s v="$40k-60k"/>
    <n v="2"/>
    <x v="1"/>
    <n v="4"/>
    <n v="2"/>
    <n v="1"/>
  </r>
  <r>
    <n v="27090"/>
    <x v="0"/>
    <s v="Female"/>
    <n v="60000"/>
    <x v="0"/>
    <x v="4"/>
    <s v="Professional"/>
    <s v="Yes"/>
    <x v="0"/>
    <x v="1"/>
    <x v="2"/>
    <n v="37"/>
    <s v="Yes"/>
    <x v="2"/>
    <n v="2"/>
    <s v="$40k-60k"/>
    <n v="2"/>
    <x v="0"/>
    <n v="3"/>
    <n v="5"/>
    <n v="1"/>
  </r>
  <r>
    <n v="27198"/>
    <x v="1"/>
    <s v="Female"/>
    <n v="80000"/>
    <x v="3"/>
    <x v="4"/>
    <s v="Skilled Manual"/>
    <s v="No"/>
    <x v="0"/>
    <x v="0"/>
    <x v="2"/>
    <n v="40"/>
    <s v="No"/>
    <x v="2"/>
    <n v="2"/>
    <s v="$70k-90k"/>
    <n v="3"/>
    <x v="0"/>
    <n v="1"/>
    <n v="5"/>
    <n v="0"/>
  </r>
  <r>
    <n v="19661"/>
    <x v="1"/>
    <s v="Male"/>
    <n v="90000"/>
    <x v="5"/>
    <x v="0"/>
    <s v="Management"/>
    <s v="Yes"/>
    <x v="1"/>
    <x v="3"/>
    <x v="2"/>
    <n v="38"/>
    <s v="Yes"/>
    <x v="2"/>
    <n v="2"/>
    <s v="$70k-90k"/>
    <n v="3"/>
    <x v="0"/>
    <n v="2"/>
    <n v="4"/>
    <n v="1"/>
  </r>
  <r>
    <n v="26327"/>
    <x v="0"/>
    <s v="Male"/>
    <n v="70000"/>
    <x v="5"/>
    <x v="4"/>
    <s v="Professional"/>
    <s v="Yes"/>
    <x v="0"/>
    <x v="1"/>
    <x v="2"/>
    <n v="36"/>
    <s v="Yes"/>
    <x v="2"/>
    <n v="2"/>
    <s v="$70k-90k"/>
    <n v="3"/>
    <x v="0"/>
    <n v="3"/>
    <n v="5"/>
    <n v="1"/>
  </r>
  <r>
    <n v="26341"/>
    <x v="0"/>
    <s v="Female"/>
    <n v="70000"/>
    <x v="2"/>
    <x v="4"/>
    <s v="Professional"/>
    <s v="Yes"/>
    <x v="2"/>
    <x v="0"/>
    <x v="2"/>
    <n v="37"/>
    <s v="No"/>
    <x v="2"/>
    <n v="2"/>
    <s v="$70k-90k"/>
    <n v="3"/>
    <x v="1"/>
    <n v="1"/>
    <n v="5"/>
    <n v="0"/>
  </r>
  <r>
    <n v="24958"/>
    <x v="1"/>
    <s v="Female"/>
    <n v="40000"/>
    <x v="2"/>
    <x v="2"/>
    <s v="Professional"/>
    <s v="No"/>
    <x v="4"/>
    <x v="1"/>
    <x v="2"/>
    <n v="60"/>
    <s v="Yes"/>
    <x v="1"/>
    <n v="4"/>
    <s v="$40k-60k"/>
    <n v="2"/>
    <x v="1"/>
    <n v="3"/>
    <n v="2"/>
    <n v="1"/>
  </r>
  <r>
    <n v="13287"/>
    <x v="1"/>
    <s v="Male"/>
    <n v="110000"/>
    <x v="5"/>
    <x v="0"/>
    <s v="Management"/>
    <s v="Yes"/>
    <x v="3"/>
    <x v="2"/>
    <x v="2"/>
    <n v="42"/>
    <s v="Yes"/>
    <x v="0"/>
    <n v="3"/>
    <s v="$100k+"/>
    <n v="4"/>
    <x v="1"/>
    <n v="4"/>
    <n v="4"/>
    <n v="1"/>
  </r>
  <r>
    <n v="14493"/>
    <x v="1"/>
    <s v="Female"/>
    <n v="70000"/>
    <x v="1"/>
    <x v="4"/>
    <s v="Management"/>
    <s v="No"/>
    <x v="2"/>
    <x v="3"/>
    <x v="2"/>
    <n v="53"/>
    <s v="No"/>
    <x v="1"/>
    <n v="4"/>
    <s v="$70k-90k"/>
    <n v="3"/>
    <x v="1"/>
    <n v="2"/>
    <n v="5"/>
    <n v="0"/>
  </r>
  <r>
    <n v="26678"/>
    <x v="1"/>
    <s v="Female"/>
    <n v="80000"/>
    <x v="4"/>
    <x v="3"/>
    <s v="Skilled Manual"/>
    <s v="Yes"/>
    <x v="2"/>
    <x v="2"/>
    <x v="2"/>
    <n v="49"/>
    <s v="No"/>
    <x v="0"/>
    <n v="3"/>
    <s v="$70k-90k"/>
    <n v="3"/>
    <x v="1"/>
    <n v="4"/>
    <n v="1"/>
    <n v="0"/>
  </r>
  <r>
    <n v="23275"/>
    <x v="0"/>
    <s v="Male"/>
    <n v="30000"/>
    <x v="4"/>
    <x v="2"/>
    <s v="Skilled Manual"/>
    <s v="Yes"/>
    <x v="2"/>
    <x v="3"/>
    <x v="2"/>
    <n v="49"/>
    <s v="No"/>
    <x v="0"/>
    <n v="3"/>
    <s v="$10k-30k"/>
    <n v="1"/>
    <x v="1"/>
    <n v="2"/>
    <n v="2"/>
    <n v="0"/>
  </r>
  <r>
    <n v="11270"/>
    <x v="0"/>
    <s v="Male"/>
    <n v="130000"/>
    <x v="4"/>
    <x v="4"/>
    <s v="Management"/>
    <s v="Yes"/>
    <x v="4"/>
    <x v="0"/>
    <x v="2"/>
    <n v="42"/>
    <s v="Yes"/>
    <x v="0"/>
    <n v="3"/>
    <s v="$100k+"/>
    <n v="4"/>
    <x v="1"/>
    <n v="1"/>
    <n v="5"/>
    <n v="1"/>
  </r>
  <r>
    <n v="20084"/>
    <x v="0"/>
    <s v="Male"/>
    <n v="20000"/>
    <x v="4"/>
    <x v="2"/>
    <s v="Manual"/>
    <s v="No"/>
    <x v="2"/>
    <x v="0"/>
    <x v="2"/>
    <n v="53"/>
    <s v="No"/>
    <x v="1"/>
    <n v="4"/>
    <s v="$10k-30k"/>
    <n v="1"/>
    <x v="1"/>
    <n v="1"/>
    <n v="2"/>
    <n v="0"/>
  </r>
  <r>
    <n v="16144"/>
    <x v="0"/>
    <s v="Male"/>
    <n v="70000"/>
    <x v="0"/>
    <x v="4"/>
    <s v="Professional"/>
    <s v="Yes"/>
    <x v="1"/>
    <x v="0"/>
    <x v="2"/>
    <n v="46"/>
    <s v="Yes"/>
    <x v="0"/>
    <n v="3"/>
    <s v="$70k-90k"/>
    <n v="3"/>
    <x v="0"/>
    <n v="1"/>
    <n v="5"/>
    <n v="1"/>
  </r>
  <r>
    <n v="27731"/>
    <x v="0"/>
    <s v="Male"/>
    <n v="40000"/>
    <x v="3"/>
    <x v="2"/>
    <s v="Skilled Manual"/>
    <s v="Yes"/>
    <x v="2"/>
    <x v="2"/>
    <x v="2"/>
    <n v="27"/>
    <s v="No"/>
    <x v="4"/>
    <n v="1"/>
    <s v="$40k-60k"/>
    <n v="2"/>
    <x v="1"/>
    <n v="4"/>
    <n v="2"/>
    <n v="0"/>
  </r>
  <r>
    <n v="11886"/>
    <x v="0"/>
    <s v="Female"/>
    <n v="60000"/>
    <x v="1"/>
    <x v="0"/>
    <s v="Professional"/>
    <s v="Yes"/>
    <x v="1"/>
    <x v="0"/>
    <x v="2"/>
    <n v="48"/>
    <s v="Yes"/>
    <x v="0"/>
    <n v="3"/>
    <s v="$40k-60k"/>
    <n v="2"/>
    <x v="0"/>
    <n v="1"/>
    <n v="4"/>
    <n v="1"/>
  </r>
  <r>
    <n v="24324"/>
    <x v="1"/>
    <s v="Female"/>
    <n v="60000"/>
    <x v="5"/>
    <x v="0"/>
    <s v="Skilled Manual"/>
    <s v="Yes"/>
    <x v="2"/>
    <x v="1"/>
    <x v="2"/>
    <n v="41"/>
    <s v="Yes"/>
    <x v="0"/>
    <n v="3"/>
    <s v="$40k-60k"/>
    <n v="2"/>
    <x v="1"/>
    <n v="3"/>
    <n v="4"/>
    <n v="1"/>
  </r>
  <r>
    <n v="22220"/>
    <x v="0"/>
    <s v="Male"/>
    <n v="60000"/>
    <x v="4"/>
    <x v="2"/>
    <s v="Professional"/>
    <s v="No"/>
    <x v="2"/>
    <x v="3"/>
    <x v="2"/>
    <n v="49"/>
    <s v="Yes"/>
    <x v="0"/>
    <n v="3"/>
    <s v="$40k-60k"/>
    <n v="2"/>
    <x v="1"/>
    <n v="2"/>
    <n v="2"/>
    <n v="1"/>
  </r>
  <r>
    <n v="26625"/>
    <x v="1"/>
    <s v="Female"/>
    <n v="60000"/>
    <x v="3"/>
    <x v="4"/>
    <s v="Professional"/>
    <s v="Yes"/>
    <x v="1"/>
    <x v="1"/>
    <x v="2"/>
    <n v="38"/>
    <s v="Yes"/>
    <x v="2"/>
    <n v="2"/>
    <s v="$40k-60k"/>
    <n v="2"/>
    <x v="0"/>
    <n v="3"/>
    <n v="5"/>
    <n v="1"/>
  </r>
  <r>
    <n v="23027"/>
    <x v="1"/>
    <s v="Male"/>
    <n v="130000"/>
    <x v="0"/>
    <x v="0"/>
    <s v="Management"/>
    <s v="No"/>
    <x v="3"/>
    <x v="0"/>
    <x v="2"/>
    <n v="44"/>
    <s v="No"/>
    <x v="0"/>
    <n v="3"/>
    <s v="$100k+"/>
    <n v="4"/>
    <x v="1"/>
    <n v="1"/>
    <n v="4"/>
    <n v="0"/>
  </r>
  <r>
    <n v="16867"/>
    <x v="1"/>
    <s v="Female"/>
    <n v="130000"/>
    <x v="0"/>
    <x v="0"/>
    <s v="Management"/>
    <s v="No"/>
    <x v="4"/>
    <x v="0"/>
    <x v="2"/>
    <n v="45"/>
    <s v="Yes"/>
    <x v="0"/>
    <n v="3"/>
    <s v="$100k+"/>
    <n v="4"/>
    <x v="1"/>
    <n v="1"/>
    <n v="4"/>
    <n v="1"/>
  </r>
  <r>
    <n v="14514"/>
    <x v="1"/>
    <s v="Female"/>
    <n v="30000"/>
    <x v="3"/>
    <x v="1"/>
    <s v="Skilled Manual"/>
    <s v="Yes"/>
    <x v="1"/>
    <x v="2"/>
    <x v="2"/>
    <n v="26"/>
    <s v="No"/>
    <x v="4"/>
    <n v="1"/>
    <s v="$10k-30k"/>
    <n v="1"/>
    <x v="0"/>
    <n v="4"/>
    <n v="3"/>
    <n v="0"/>
  </r>
  <r>
    <n v="19634"/>
    <x v="0"/>
    <s v="Male"/>
    <n v="40000"/>
    <x v="3"/>
    <x v="2"/>
    <s v="Skilled Manual"/>
    <s v="Yes"/>
    <x v="1"/>
    <x v="2"/>
    <x v="2"/>
    <n v="31"/>
    <s v="No"/>
    <x v="2"/>
    <n v="2"/>
    <s v="$40k-60k"/>
    <n v="2"/>
    <x v="0"/>
    <n v="4"/>
    <n v="2"/>
    <n v="0"/>
  </r>
  <r>
    <n v="18504"/>
    <x v="0"/>
    <s v="Male"/>
    <n v="70000"/>
    <x v="4"/>
    <x v="3"/>
    <s v="Skilled Manual"/>
    <s v="No"/>
    <x v="2"/>
    <x v="3"/>
    <x v="2"/>
    <n v="49"/>
    <s v="No"/>
    <x v="0"/>
    <n v="3"/>
    <s v="$70k-90k"/>
    <n v="3"/>
    <x v="1"/>
    <n v="2"/>
    <n v="1"/>
    <n v="0"/>
  </r>
  <r>
    <n v="28799"/>
    <x v="1"/>
    <s v="Female"/>
    <n v="40000"/>
    <x v="4"/>
    <x v="1"/>
    <s v="Clerical"/>
    <s v="No"/>
    <x v="1"/>
    <x v="3"/>
    <x v="2"/>
    <n v="47"/>
    <s v="Yes"/>
    <x v="0"/>
    <n v="3"/>
    <s v="$40k-60k"/>
    <n v="2"/>
    <x v="0"/>
    <n v="2"/>
    <n v="3"/>
    <n v="1"/>
  </r>
  <r>
    <n v="11225"/>
    <x v="0"/>
    <s v="Female"/>
    <n v="60000"/>
    <x v="4"/>
    <x v="1"/>
    <s v="Professional"/>
    <s v="Yes"/>
    <x v="1"/>
    <x v="4"/>
    <x v="2"/>
    <n v="55"/>
    <s v="No"/>
    <x v="1"/>
    <n v="4"/>
    <s v="$40k-60k"/>
    <n v="2"/>
    <x v="0"/>
    <n v="5"/>
    <n v="3"/>
    <n v="0"/>
  </r>
  <r>
    <n v="17657"/>
    <x v="0"/>
    <s v="Male"/>
    <n v="40000"/>
    <x v="5"/>
    <x v="1"/>
    <s v="Clerical"/>
    <s v="No"/>
    <x v="0"/>
    <x v="0"/>
    <x v="2"/>
    <n v="30"/>
    <s v="No"/>
    <x v="4"/>
    <n v="1"/>
    <s v="$40k-60k"/>
    <n v="2"/>
    <x v="0"/>
    <n v="1"/>
    <n v="3"/>
    <n v="0"/>
  </r>
  <r>
    <n v="14913"/>
    <x v="0"/>
    <s v="Female"/>
    <n v="40000"/>
    <x v="0"/>
    <x v="1"/>
    <s v="Clerical"/>
    <s v="Yes"/>
    <x v="1"/>
    <x v="3"/>
    <x v="2"/>
    <n v="48"/>
    <s v="Yes"/>
    <x v="0"/>
    <n v="3"/>
    <s v="$40k-60k"/>
    <n v="2"/>
    <x v="0"/>
    <n v="2"/>
    <n v="3"/>
    <n v="1"/>
  </r>
  <r>
    <n v="14077"/>
    <x v="1"/>
    <s v="Male"/>
    <n v="30000"/>
    <x v="3"/>
    <x v="2"/>
    <s v="Skilled Manual"/>
    <s v="Yes"/>
    <x v="2"/>
    <x v="2"/>
    <x v="2"/>
    <n v="30"/>
    <s v="No"/>
    <x v="4"/>
    <n v="1"/>
    <s v="$10k-30k"/>
    <n v="1"/>
    <x v="1"/>
    <n v="4"/>
    <n v="2"/>
    <n v="0"/>
  </r>
  <r>
    <n v="13296"/>
    <x v="0"/>
    <s v="Male"/>
    <n v="110000"/>
    <x v="0"/>
    <x v="0"/>
    <s v="Management"/>
    <s v="Yes"/>
    <x v="4"/>
    <x v="2"/>
    <x v="2"/>
    <n v="45"/>
    <s v="No"/>
    <x v="0"/>
    <n v="3"/>
    <s v="$100k+"/>
    <n v="4"/>
    <x v="1"/>
    <n v="4"/>
    <n v="4"/>
    <n v="0"/>
  </r>
  <r>
    <n v="20535"/>
    <x v="0"/>
    <s v="Female"/>
    <n v="70000"/>
    <x v="5"/>
    <x v="1"/>
    <s v="Professional"/>
    <s v="Yes"/>
    <x v="1"/>
    <x v="4"/>
    <x v="2"/>
    <n v="56"/>
    <s v="No"/>
    <x v="1"/>
    <n v="4"/>
    <s v="$70k-90k"/>
    <n v="3"/>
    <x v="0"/>
    <n v="5"/>
    <n v="3"/>
    <n v="0"/>
  </r>
  <r>
    <n v="12452"/>
    <x v="0"/>
    <s v="Male"/>
    <n v="60000"/>
    <x v="5"/>
    <x v="4"/>
    <s v="Skilled Manual"/>
    <s v="Yes"/>
    <x v="0"/>
    <x v="3"/>
    <x v="2"/>
    <n v="47"/>
    <s v="Yes"/>
    <x v="0"/>
    <n v="3"/>
    <s v="$40k-60k"/>
    <n v="2"/>
    <x v="0"/>
    <n v="2"/>
    <n v="5"/>
    <n v="1"/>
  </r>
  <r>
    <n v="28043"/>
    <x v="0"/>
    <s v="Female"/>
    <n v="60000"/>
    <x v="4"/>
    <x v="0"/>
    <s v="Management"/>
    <s v="Yes"/>
    <x v="0"/>
    <x v="4"/>
    <x v="2"/>
    <n v="56"/>
    <s v="No"/>
    <x v="1"/>
    <n v="4"/>
    <s v="$40k-60k"/>
    <n v="2"/>
    <x v="0"/>
    <n v="5"/>
    <n v="4"/>
    <n v="0"/>
  </r>
  <r>
    <n v="12957"/>
    <x v="1"/>
    <s v="Female"/>
    <n v="70000"/>
    <x v="0"/>
    <x v="0"/>
    <s v="Professional"/>
    <s v="No"/>
    <x v="1"/>
    <x v="0"/>
    <x v="2"/>
    <n v="44"/>
    <s v="No"/>
    <x v="0"/>
    <n v="3"/>
    <s v="$70k-90k"/>
    <n v="3"/>
    <x v="0"/>
    <n v="1"/>
    <n v="4"/>
    <n v="0"/>
  </r>
  <r>
    <n v="15412"/>
    <x v="0"/>
    <s v="Male"/>
    <n v="130000"/>
    <x v="4"/>
    <x v="4"/>
    <s v="Management"/>
    <s v="Yes"/>
    <x v="4"/>
    <x v="1"/>
    <x v="2"/>
    <n v="69"/>
    <s v="No"/>
    <x v="3"/>
    <n v="5"/>
    <s v="$100k+"/>
    <n v="4"/>
    <x v="1"/>
    <n v="3"/>
    <n v="5"/>
    <n v="0"/>
  </r>
  <r>
    <n v="20514"/>
    <x v="0"/>
    <s v="Female"/>
    <n v="70000"/>
    <x v="4"/>
    <x v="1"/>
    <s v="Professional"/>
    <s v="Yes"/>
    <x v="1"/>
    <x v="1"/>
    <x v="2"/>
    <n v="59"/>
    <s v="No"/>
    <x v="1"/>
    <n v="4"/>
    <s v="$70k-90k"/>
    <n v="3"/>
    <x v="0"/>
    <n v="3"/>
    <n v="3"/>
    <n v="0"/>
  </r>
  <r>
    <n v="20758"/>
    <x v="0"/>
    <s v="Male"/>
    <n v="30000"/>
    <x v="4"/>
    <x v="2"/>
    <s v="Skilled Manual"/>
    <s v="Yes"/>
    <x v="2"/>
    <x v="3"/>
    <x v="2"/>
    <n v="50"/>
    <s v="No"/>
    <x v="0"/>
    <n v="3"/>
    <s v="$10k-30k"/>
    <n v="1"/>
    <x v="1"/>
    <n v="2"/>
    <n v="2"/>
    <n v="0"/>
  </r>
  <r>
    <n v="11801"/>
    <x v="0"/>
    <s v="Male"/>
    <n v="60000"/>
    <x v="0"/>
    <x v="4"/>
    <s v="Professional"/>
    <s v="Yes"/>
    <x v="0"/>
    <x v="1"/>
    <x v="2"/>
    <n v="36"/>
    <s v="No"/>
    <x v="2"/>
    <n v="2"/>
    <s v="$40k-60k"/>
    <n v="2"/>
    <x v="0"/>
    <n v="3"/>
    <n v="5"/>
    <n v="0"/>
  </r>
  <r>
    <n v="22211"/>
    <x v="0"/>
    <s v="Male"/>
    <n v="60000"/>
    <x v="3"/>
    <x v="1"/>
    <s v="Professional"/>
    <s v="Yes"/>
    <x v="2"/>
    <x v="2"/>
    <x v="2"/>
    <n v="32"/>
    <s v="No"/>
    <x v="2"/>
    <n v="2"/>
    <s v="$40k-60k"/>
    <n v="2"/>
    <x v="1"/>
    <n v="4"/>
    <n v="3"/>
    <n v="0"/>
  </r>
  <r>
    <n v="28087"/>
    <x v="1"/>
    <s v="Female"/>
    <n v="40000"/>
    <x v="3"/>
    <x v="1"/>
    <s v="Skilled Manual"/>
    <s v="No"/>
    <x v="1"/>
    <x v="3"/>
    <x v="2"/>
    <n v="27"/>
    <s v="No"/>
    <x v="4"/>
    <n v="1"/>
    <s v="$40k-60k"/>
    <n v="2"/>
    <x v="0"/>
    <n v="2"/>
    <n v="3"/>
    <n v="0"/>
  </r>
  <r>
    <n v="23668"/>
    <x v="0"/>
    <s v="Female"/>
    <n v="40000"/>
    <x v="5"/>
    <x v="2"/>
    <s v="Professional"/>
    <s v="Yes"/>
    <x v="2"/>
    <x v="2"/>
    <x v="2"/>
    <n v="59"/>
    <s v="Yes"/>
    <x v="1"/>
    <n v="4"/>
    <s v="$40k-60k"/>
    <n v="2"/>
    <x v="1"/>
    <n v="4"/>
    <n v="2"/>
    <n v="1"/>
  </r>
  <r>
    <n v="27441"/>
    <x v="0"/>
    <s v="Male"/>
    <n v="60000"/>
    <x v="1"/>
    <x v="2"/>
    <s v="Professional"/>
    <s v="No"/>
    <x v="2"/>
    <x v="1"/>
    <x v="2"/>
    <n v="53"/>
    <s v="No"/>
    <x v="1"/>
    <n v="4"/>
    <s v="$40k-60k"/>
    <n v="2"/>
    <x v="1"/>
    <n v="3"/>
    <n v="2"/>
    <n v="0"/>
  </r>
  <r>
    <n v="27261"/>
    <x v="0"/>
    <s v="Male"/>
    <n v="40000"/>
    <x v="0"/>
    <x v="0"/>
    <s v="Skilled Manual"/>
    <s v="No"/>
    <x v="1"/>
    <x v="0"/>
    <x v="2"/>
    <n v="36"/>
    <s v="Yes"/>
    <x v="2"/>
    <n v="2"/>
    <s v="$40k-60k"/>
    <n v="2"/>
    <x v="0"/>
    <n v="1"/>
    <n v="4"/>
    <n v="1"/>
  </r>
  <r>
    <n v="18649"/>
    <x v="1"/>
    <s v="Male"/>
    <n v="30000"/>
    <x v="0"/>
    <x v="2"/>
    <s v="Clerical"/>
    <s v="Yes"/>
    <x v="2"/>
    <x v="3"/>
    <x v="2"/>
    <n v="51"/>
    <s v="Yes"/>
    <x v="1"/>
    <n v="4"/>
    <s v="$10k-30k"/>
    <n v="1"/>
    <x v="1"/>
    <n v="2"/>
    <n v="2"/>
    <n v="1"/>
  </r>
  <r>
    <n v="21714"/>
    <x v="1"/>
    <s v="Female"/>
    <n v="80000"/>
    <x v="2"/>
    <x v="4"/>
    <s v="Skilled Manual"/>
    <s v="No"/>
    <x v="0"/>
    <x v="0"/>
    <x v="2"/>
    <n v="47"/>
    <s v="No"/>
    <x v="0"/>
    <n v="3"/>
    <s v="$70k-90k"/>
    <n v="3"/>
    <x v="0"/>
    <n v="1"/>
    <n v="5"/>
    <n v="0"/>
  </r>
  <r>
    <n v="23217"/>
    <x v="1"/>
    <s v="Female"/>
    <n v="60000"/>
    <x v="1"/>
    <x v="4"/>
    <s v="Professional"/>
    <s v="Yes"/>
    <x v="0"/>
    <x v="1"/>
    <x v="2"/>
    <n v="43"/>
    <s v="Yes"/>
    <x v="0"/>
    <n v="3"/>
    <s v="$40k-60k"/>
    <n v="2"/>
    <x v="0"/>
    <n v="3"/>
    <n v="5"/>
    <n v="1"/>
  </r>
  <r>
    <n v="23797"/>
    <x v="1"/>
    <s v="Male"/>
    <n v="20000"/>
    <x v="1"/>
    <x v="3"/>
    <s v="Clerical"/>
    <s v="No"/>
    <x v="2"/>
    <x v="0"/>
    <x v="2"/>
    <n v="50"/>
    <s v="No"/>
    <x v="0"/>
    <n v="3"/>
    <s v="$10k-30k"/>
    <n v="1"/>
    <x v="1"/>
    <n v="1"/>
    <n v="1"/>
    <n v="0"/>
  </r>
  <r>
    <n v="13216"/>
    <x v="0"/>
    <s v="Female"/>
    <n v="60000"/>
    <x v="2"/>
    <x v="0"/>
    <s v="Management"/>
    <s v="Yes"/>
    <x v="4"/>
    <x v="4"/>
    <x v="2"/>
    <n v="59"/>
    <s v="No"/>
    <x v="1"/>
    <n v="4"/>
    <s v="$40k-60k"/>
    <n v="2"/>
    <x v="1"/>
    <n v="5"/>
    <n v="4"/>
    <n v="0"/>
  </r>
  <r>
    <n v="20657"/>
    <x v="1"/>
    <s v="Male"/>
    <n v="50000"/>
    <x v="4"/>
    <x v="0"/>
    <s v="Skilled Manual"/>
    <s v="Yes"/>
    <x v="0"/>
    <x v="1"/>
    <x v="2"/>
    <n v="37"/>
    <s v="Yes"/>
    <x v="2"/>
    <n v="2"/>
    <s v="$40k-60k"/>
    <n v="2"/>
    <x v="0"/>
    <n v="3"/>
    <n v="4"/>
    <n v="1"/>
  </r>
  <r>
    <n v="12882"/>
    <x v="0"/>
    <s v="Male"/>
    <n v="50000"/>
    <x v="0"/>
    <x v="4"/>
    <s v="Skilled Manual"/>
    <s v="Yes"/>
    <x v="0"/>
    <x v="0"/>
    <x v="2"/>
    <n v="33"/>
    <s v="Yes"/>
    <x v="2"/>
    <n v="2"/>
    <s v="$40k-60k"/>
    <n v="2"/>
    <x v="0"/>
    <n v="1"/>
    <n v="5"/>
    <n v="1"/>
  </r>
  <r>
    <n v="25908"/>
    <x v="0"/>
    <s v="Female"/>
    <n v="60000"/>
    <x v="3"/>
    <x v="1"/>
    <s v="Skilled Manual"/>
    <s v="No"/>
    <x v="1"/>
    <x v="3"/>
    <x v="2"/>
    <n v="27"/>
    <s v="No"/>
    <x v="4"/>
    <n v="1"/>
    <s v="$40k-60k"/>
    <n v="2"/>
    <x v="0"/>
    <n v="2"/>
    <n v="3"/>
    <n v="0"/>
  </r>
  <r>
    <n v="16753"/>
    <x v="1"/>
    <s v="Female"/>
    <n v="70000"/>
    <x v="3"/>
    <x v="1"/>
    <s v="Skilled Manual"/>
    <s v="Yes"/>
    <x v="2"/>
    <x v="2"/>
    <x v="2"/>
    <n v="34"/>
    <s v="Yes"/>
    <x v="2"/>
    <n v="2"/>
    <s v="$70k-90k"/>
    <n v="3"/>
    <x v="1"/>
    <n v="4"/>
    <n v="3"/>
    <n v="1"/>
  </r>
  <r>
    <n v="14608"/>
    <x v="0"/>
    <s v="Male"/>
    <n v="50000"/>
    <x v="5"/>
    <x v="0"/>
    <s v="Skilled Manual"/>
    <s v="Yes"/>
    <x v="4"/>
    <x v="4"/>
    <x v="2"/>
    <n v="42"/>
    <s v="No"/>
    <x v="0"/>
    <n v="3"/>
    <s v="$40k-60k"/>
    <n v="2"/>
    <x v="1"/>
    <n v="5"/>
    <n v="4"/>
    <n v="0"/>
  </r>
  <r>
    <n v="24979"/>
    <x v="0"/>
    <s v="Female"/>
    <n v="60000"/>
    <x v="4"/>
    <x v="1"/>
    <s v="Professional"/>
    <s v="Yes"/>
    <x v="2"/>
    <x v="1"/>
    <x v="2"/>
    <n v="57"/>
    <s v="Yes"/>
    <x v="1"/>
    <n v="4"/>
    <s v="$40k-60k"/>
    <n v="2"/>
    <x v="1"/>
    <n v="3"/>
    <n v="3"/>
    <n v="1"/>
  </r>
  <r>
    <n v="13313"/>
    <x v="0"/>
    <s v="Female"/>
    <n v="120000"/>
    <x v="0"/>
    <x v="2"/>
    <s v="Professional"/>
    <s v="No"/>
    <x v="3"/>
    <x v="1"/>
    <x v="2"/>
    <n v="45"/>
    <s v="No"/>
    <x v="0"/>
    <n v="3"/>
    <s v="$100k+"/>
    <n v="4"/>
    <x v="1"/>
    <n v="3"/>
    <n v="2"/>
    <n v="0"/>
  </r>
  <r>
    <n v="18952"/>
    <x v="0"/>
    <s v="Female"/>
    <n v="100000"/>
    <x v="5"/>
    <x v="0"/>
    <s v="Management"/>
    <s v="Yes"/>
    <x v="3"/>
    <x v="0"/>
    <x v="2"/>
    <n v="40"/>
    <s v="No"/>
    <x v="2"/>
    <n v="2"/>
    <s v="$100k+"/>
    <n v="4"/>
    <x v="1"/>
    <n v="1"/>
    <n v="4"/>
    <n v="0"/>
  </r>
  <r>
    <n v="17699"/>
    <x v="0"/>
    <s v="Male"/>
    <n v="60000"/>
    <x v="0"/>
    <x v="4"/>
    <s v="Skilled Manual"/>
    <s v="No"/>
    <x v="0"/>
    <x v="0"/>
    <x v="2"/>
    <n v="55"/>
    <s v="No"/>
    <x v="1"/>
    <n v="4"/>
    <s v="$40k-60k"/>
    <n v="2"/>
    <x v="0"/>
    <n v="1"/>
    <n v="5"/>
    <n v="0"/>
  </r>
  <r>
    <n v="14657"/>
    <x v="0"/>
    <s v="Male"/>
    <n v="80000"/>
    <x v="0"/>
    <x v="1"/>
    <s v="Skilled Manual"/>
    <s v="No"/>
    <x v="1"/>
    <x v="0"/>
    <x v="2"/>
    <n v="47"/>
    <s v="Yes"/>
    <x v="0"/>
    <n v="3"/>
    <s v="$70k-90k"/>
    <n v="3"/>
    <x v="0"/>
    <n v="1"/>
    <n v="3"/>
    <n v="1"/>
  </r>
  <r>
    <n v="11540"/>
    <x v="1"/>
    <s v="Male"/>
    <n v="60000"/>
    <x v="5"/>
    <x v="4"/>
    <s v="Skilled Manual"/>
    <s v="Yes"/>
    <x v="0"/>
    <x v="3"/>
    <x v="2"/>
    <n v="47"/>
    <s v="Yes"/>
    <x v="0"/>
    <n v="3"/>
    <s v="$40k-60k"/>
    <n v="2"/>
    <x v="0"/>
    <n v="2"/>
    <n v="5"/>
    <n v="1"/>
  </r>
  <r>
    <n v="11783"/>
    <x v="0"/>
    <s v="Female"/>
    <n v="60000"/>
    <x v="0"/>
    <x v="4"/>
    <s v="Skilled Manual"/>
    <s v="Yes"/>
    <x v="0"/>
    <x v="0"/>
    <x v="2"/>
    <n v="34"/>
    <s v="No"/>
    <x v="2"/>
    <n v="2"/>
    <s v="$40k-60k"/>
    <n v="2"/>
    <x v="0"/>
    <n v="1"/>
    <n v="5"/>
    <n v="0"/>
  </r>
  <r>
    <n v="14602"/>
    <x v="0"/>
    <s v="Female"/>
    <n v="80000"/>
    <x v="1"/>
    <x v="4"/>
    <s v="Professional"/>
    <s v="Yes"/>
    <x v="0"/>
    <x v="0"/>
    <x v="2"/>
    <n v="36"/>
    <s v="Yes"/>
    <x v="2"/>
    <n v="2"/>
    <s v="$70k-90k"/>
    <n v="3"/>
    <x v="0"/>
    <n v="1"/>
    <n v="5"/>
    <n v="1"/>
  </r>
  <r>
    <n v="29030"/>
    <x v="0"/>
    <s v="Male"/>
    <n v="70000"/>
    <x v="4"/>
    <x v="3"/>
    <s v="Skilled Manual"/>
    <s v="Yes"/>
    <x v="2"/>
    <x v="4"/>
    <x v="2"/>
    <n v="54"/>
    <s v="No"/>
    <x v="1"/>
    <n v="4"/>
    <s v="$70k-90k"/>
    <n v="3"/>
    <x v="1"/>
    <n v="5"/>
    <n v="1"/>
    <n v="0"/>
  </r>
  <r>
    <n v="26490"/>
    <x v="1"/>
    <s v="Male"/>
    <n v="70000"/>
    <x v="4"/>
    <x v="0"/>
    <s v="Management"/>
    <s v="No"/>
    <x v="1"/>
    <x v="1"/>
    <x v="2"/>
    <n v="59"/>
    <s v="Yes"/>
    <x v="1"/>
    <n v="4"/>
    <s v="$70k-90k"/>
    <n v="3"/>
    <x v="0"/>
    <n v="3"/>
    <n v="4"/>
    <n v="1"/>
  </r>
  <r>
    <n v="13151"/>
    <x v="1"/>
    <s v="Male"/>
    <n v="40000"/>
    <x v="3"/>
    <x v="2"/>
    <s v="Skilled Manual"/>
    <s v="Yes"/>
    <x v="2"/>
    <x v="2"/>
    <x v="2"/>
    <n v="27"/>
    <s v="No"/>
    <x v="4"/>
    <n v="1"/>
    <s v="$40k-60k"/>
    <n v="2"/>
    <x v="1"/>
    <n v="4"/>
    <n v="2"/>
    <n v="0"/>
  </r>
  <r>
    <n v="17260"/>
    <x v="0"/>
    <s v="Male"/>
    <n v="90000"/>
    <x v="2"/>
    <x v="1"/>
    <s v="Professional"/>
    <s v="Yes"/>
    <x v="4"/>
    <x v="0"/>
    <x v="2"/>
    <n v="41"/>
    <s v="No"/>
    <x v="0"/>
    <n v="3"/>
    <s v="$70k-90k"/>
    <n v="3"/>
    <x v="1"/>
    <n v="1"/>
    <n v="3"/>
    <n v="0"/>
  </r>
  <r>
    <n v="15372"/>
    <x v="0"/>
    <s v="Male"/>
    <n v="80000"/>
    <x v="1"/>
    <x v="1"/>
    <s v="Professional"/>
    <s v="No"/>
    <x v="2"/>
    <x v="1"/>
    <x v="2"/>
    <n v="50"/>
    <s v="Yes"/>
    <x v="0"/>
    <n v="3"/>
    <s v="$70k-90k"/>
    <n v="3"/>
    <x v="1"/>
    <n v="3"/>
    <n v="3"/>
    <n v="1"/>
  </r>
  <r>
    <n v="18105"/>
    <x v="0"/>
    <s v="Female"/>
    <n v="60000"/>
    <x v="4"/>
    <x v="1"/>
    <s v="Professional"/>
    <s v="Yes"/>
    <x v="1"/>
    <x v="4"/>
    <x v="2"/>
    <n v="55"/>
    <s v="No"/>
    <x v="1"/>
    <n v="4"/>
    <s v="$40k-60k"/>
    <n v="2"/>
    <x v="0"/>
    <n v="5"/>
    <n v="3"/>
    <n v="0"/>
  </r>
  <r>
    <n v="19660"/>
    <x v="0"/>
    <s v="Male"/>
    <n v="80000"/>
    <x v="5"/>
    <x v="0"/>
    <s v="Management"/>
    <s v="Yes"/>
    <x v="0"/>
    <x v="0"/>
    <x v="2"/>
    <n v="43"/>
    <s v="No"/>
    <x v="0"/>
    <n v="3"/>
    <s v="$70k-90k"/>
    <n v="3"/>
    <x v="0"/>
    <n v="1"/>
    <n v="4"/>
    <n v="0"/>
  </r>
  <r>
    <n v="16112"/>
    <x v="1"/>
    <s v="Male"/>
    <n v="70000"/>
    <x v="5"/>
    <x v="0"/>
    <s v="Professional"/>
    <s v="Yes"/>
    <x v="2"/>
    <x v="1"/>
    <x v="2"/>
    <n v="43"/>
    <s v="Yes"/>
    <x v="0"/>
    <n v="3"/>
    <s v="$70k-90k"/>
    <n v="3"/>
    <x v="1"/>
    <n v="3"/>
    <n v="4"/>
    <n v="1"/>
  </r>
  <r>
    <n v="20698"/>
    <x v="0"/>
    <s v="Male"/>
    <n v="60000"/>
    <x v="5"/>
    <x v="0"/>
    <s v="Skilled Manual"/>
    <s v="Yes"/>
    <x v="4"/>
    <x v="2"/>
    <x v="2"/>
    <n v="42"/>
    <s v="No"/>
    <x v="0"/>
    <n v="3"/>
    <s v="$40k-60k"/>
    <n v="2"/>
    <x v="1"/>
    <n v="4"/>
    <n v="4"/>
    <n v="0"/>
  </r>
  <r>
    <n v="20076"/>
    <x v="1"/>
    <s v="Female"/>
    <n v="10000"/>
    <x v="4"/>
    <x v="2"/>
    <s v="Manual"/>
    <s v="Yes"/>
    <x v="2"/>
    <x v="3"/>
    <x v="2"/>
    <n v="53"/>
    <s v="Yes"/>
    <x v="1"/>
    <n v="4"/>
    <s v="$10k-30k"/>
    <n v="1"/>
    <x v="1"/>
    <n v="2"/>
    <n v="2"/>
    <n v="1"/>
  </r>
  <r>
    <n v="24496"/>
    <x v="1"/>
    <s v="Female"/>
    <n v="40000"/>
    <x v="3"/>
    <x v="2"/>
    <s v="Skilled Manual"/>
    <s v="No"/>
    <x v="2"/>
    <x v="0"/>
    <x v="2"/>
    <n v="28"/>
    <s v="Yes"/>
    <x v="4"/>
    <n v="1"/>
    <s v="$40k-60k"/>
    <n v="2"/>
    <x v="1"/>
    <n v="1"/>
    <n v="2"/>
    <n v="1"/>
  </r>
  <r>
    <n v="15468"/>
    <x v="0"/>
    <s v="Female"/>
    <n v="50000"/>
    <x v="0"/>
    <x v="0"/>
    <s v="Skilled Manual"/>
    <s v="Yes"/>
    <x v="1"/>
    <x v="0"/>
    <x v="2"/>
    <n v="35"/>
    <s v="No"/>
    <x v="2"/>
    <n v="2"/>
    <s v="$40k-60k"/>
    <n v="2"/>
    <x v="0"/>
    <n v="1"/>
    <n v="4"/>
    <n v="0"/>
  </r>
  <r>
    <n v="28031"/>
    <x v="1"/>
    <s v="Female"/>
    <n v="70000"/>
    <x v="4"/>
    <x v="0"/>
    <s v="Management"/>
    <s v="No"/>
    <x v="1"/>
    <x v="1"/>
    <x v="2"/>
    <n v="59"/>
    <s v="Yes"/>
    <x v="1"/>
    <n v="4"/>
    <s v="$70k-90k"/>
    <n v="3"/>
    <x v="0"/>
    <n v="3"/>
    <n v="4"/>
    <n v="1"/>
  </r>
  <r>
    <n v="26270"/>
    <x v="1"/>
    <s v="Female"/>
    <n v="20000"/>
    <x v="4"/>
    <x v="3"/>
    <s v="Clerical"/>
    <s v="Yes"/>
    <x v="2"/>
    <x v="3"/>
    <x v="2"/>
    <n v="49"/>
    <s v="No"/>
    <x v="0"/>
    <n v="3"/>
    <s v="$10k-30k"/>
    <n v="1"/>
    <x v="1"/>
    <n v="2"/>
    <n v="1"/>
    <n v="0"/>
  </r>
  <r>
    <n v="22221"/>
    <x v="0"/>
    <s v="Male"/>
    <n v="60000"/>
    <x v="4"/>
    <x v="2"/>
    <s v="Professional"/>
    <s v="No"/>
    <x v="2"/>
    <x v="3"/>
    <x v="2"/>
    <n v="48"/>
    <s v="Yes"/>
    <x v="0"/>
    <n v="3"/>
    <s v="$40k-60k"/>
    <n v="2"/>
    <x v="1"/>
    <n v="2"/>
    <n v="2"/>
    <n v="1"/>
  </r>
  <r>
    <n v="28228"/>
    <x v="1"/>
    <s v="Female"/>
    <n v="80000"/>
    <x v="4"/>
    <x v="3"/>
    <s v="Skilled Manual"/>
    <s v="No"/>
    <x v="2"/>
    <x v="3"/>
    <x v="2"/>
    <n v="50"/>
    <s v="No"/>
    <x v="0"/>
    <n v="3"/>
    <s v="$70k-90k"/>
    <n v="3"/>
    <x v="1"/>
    <n v="2"/>
    <n v="1"/>
    <n v="0"/>
  </r>
  <r>
    <n v="18363"/>
    <x v="0"/>
    <s v="Male"/>
    <n v="40000"/>
    <x v="3"/>
    <x v="2"/>
    <s v="Skilled Manual"/>
    <s v="Yes"/>
    <x v="2"/>
    <x v="2"/>
    <x v="2"/>
    <n v="28"/>
    <s v="Yes"/>
    <x v="4"/>
    <n v="1"/>
    <s v="$40k-60k"/>
    <n v="2"/>
    <x v="1"/>
    <n v="4"/>
    <n v="2"/>
    <n v="1"/>
  </r>
  <r>
    <n v="23256"/>
    <x v="1"/>
    <s v="Male"/>
    <n v="30000"/>
    <x v="0"/>
    <x v="2"/>
    <s v="Clerical"/>
    <s v="No"/>
    <x v="1"/>
    <x v="2"/>
    <x v="2"/>
    <n v="52"/>
    <s v="No"/>
    <x v="1"/>
    <n v="4"/>
    <s v="$10k-30k"/>
    <n v="1"/>
    <x v="0"/>
    <n v="4"/>
    <n v="2"/>
    <n v="0"/>
  </r>
  <r>
    <n v="12768"/>
    <x v="0"/>
    <s v="Male"/>
    <n v="30000"/>
    <x v="0"/>
    <x v="2"/>
    <s v="Clerical"/>
    <s v="Yes"/>
    <x v="1"/>
    <x v="1"/>
    <x v="2"/>
    <n v="52"/>
    <s v="Yes"/>
    <x v="1"/>
    <n v="4"/>
    <s v="$10k-30k"/>
    <n v="1"/>
    <x v="0"/>
    <n v="3"/>
    <n v="2"/>
    <n v="1"/>
  </r>
  <r>
    <n v="20361"/>
    <x v="0"/>
    <s v="Male"/>
    <n v="50000"/>
    <x v="4"/>
    <x v="4"/>
    <s v="Management"/>
    <s v="Yes"/>
    <x v="2"/>
    <x v="2"/>
    <x v="2"/>
    <n v="69"/>
    <s v="No"/>
    <x v="3"/>
    <n v="5"/>
    <s v="$40k-60k"/>
    <n v="2"/>
    <x v="1"/>
    <n v="4"/>
    <n v="5"/>
    <n v="0"/>
  </r>
  <r>
    <n v="21306"/>
    <x v="1"/>
    <s v="Male"/>
    <n v="60000"/>
    <x v="4"/>
    <x v="2"/>
    <s v="Professional"/>
    <s v="Yes"/>
    <x v="2"/>
    <x v="2"/>
    <x v="2"/>
    <n v="51"/>
    <s v="No"/>
    <x v="1"/>
    <n v="4"/>
    <s v="$40k-60k"/>
    <n v="2"/>
    <x v="1"/>
    <n v="4"/>
    <n v="2"/>
    <n v="0"/>
  </r>
  <r>
    <n v="13382"/>
    <x v="0"/>
    <s v="Male"/>
    <n v="70000"/>
    <x v="2"/>
    <x v="1"/>
    <s v="Professional"/>
    <s v="Yes"/>
    <x v="2"/>
    <x v="3"/>
    <x v="2"/>
    <n v="57"/>
    <s v="Yes"/>
    <x v="1"/>
    <n v="4"/>
    <s v="$70k-90k"/>
    <n v="3"/>
    <x v="1"/>
    <n v="2"/>
    <n v="3"/>
    <n v="1"/>
  </r>
  <r>
    <n v="20310"/>
    <x v="1"/>
    <s v="Male"/>
    <n v="60000"/>
    <x v="3"/>
    <x v="1"/>
    <s v="Skilled Manual"/>
    <s v="Yes"/>
    <x v="1"/>
    <x v="2"/>
    <x v="2"/>
    <n v="27"/>
    <s v="Yes"/>
    <x v="4"/>
    <n v="1"/>
    <s v="$40k-60k"/>
    <n v="2"/>
    <x v="0"/>
    <n v="4"/>
    <n v="3"/>
    <n v="1"/>
  </r>
  <r>
    <n v="22971"/>
    <x v="1"/>
    <s v="Female"/>
    <n v="30000"/>
    <x v="3"/>
    <x v="2"/>
    <s v="Skilled Manual"/>
    <s v="No"/>
    <x v="2"/>
    <x v="0"/>
    <x v="2"/>
    <n v="25"/>
    <s v="Yes"/>
    <x v="4"/>
    <n v="1"/>
    <s v="$10k-30k"/>
    <n v="1"/>
    <x v="1"/>
    <n v="1"/>
    <n v="2"/>
    <n v="1"/>
  </r>
  <r>
    <n v="15287"/>
    <x v="1"/>
    <s v="Female"/>
    <n v="50000"/>
    <x v="0"/>
    <x v="4"/>
    <s v="Skilled Manual"/>
    <s v="Yes"/>
    <x v="0"/>
    <x v="3"/>
    <x v="2"/>
    <n v="33"/>
    <s v="Yes"/>
    <x v="2"/>
    <n v="2"/>
    <s v="$40k-60k"/>
    <n v="2"/>
    <x v="0"/>
    <n v="2"/>
    <n v="5"/>
    <n v="1"/>
  </r>
  <r>
    <n v="15532"/>
    <x v="1"/>
    <s v="Male"/>
    <n v="60000"/>
    <x v="5"/>
    <x v="0"/>
    <s v="Professional"/>
    <s v="Yes"/>
    <x v="2"/>
    <x v="1"/>
    <x v="2"/>
    <n v="43"/>
    <s v="Yes"/>
    <x v="0"/>
    <n v="3"/>
    <s v="$40k-60k"/>
    <n v="2"/>
    <x v="1"/>
    <n v="3"/>
    <n v="4"/>
    <n v="1"/>
  </r>
  <r>
    <n v="11255"/>
    <x v="0"/>
    <s v="Male"/>
    <n v="70000"/>
    <x v="5"/>
    <x v="4"/>
    <s v="Management"/>
    <s v="Yes"/>
    <x v="2"/>
    <x v="2"/>
    <x v="2"/>
    <n v="73"/>
    <s v="No"/>
    <x v="3"/>
    <n v="5"/>
    <s v="$70k-90k"/>
    <n v="3"/>
    <x v="1"/>
    <n v="4"/>
    <n v="5"/>
    <n v="0"/>
  </r>
  <r>
    <n v="28090"/>
    <x v="0"/>
    <s v="Male"/>
    <n v="40000"/>
    <x v="3"/>
    <x v="1"/>
    <s v="Skilled Manual"/>
    <s v="Yes"/>
    <x v="1"/>
    <x v="2"/>
    <x v="2"/>
    <n v="27"/>
    <s v="No"/>
    <x v="4"/>
    <n v="1"/>
    <s v="$40k-60k"/>
    <n v="2"/>
    <x v="0"/>
    <n v="4"/>
    <n v="3"/>
    <n v="0"/>
  </r>
  <r>
    <n v="15255"/>
    <x v="0"/>
    <s v="Male"/>
    <n v="40000"/>
    <x v="3"/>
    <x v="2"/>
    <s v="Skilled Manual"/>
    <s v="Yes"/>
    <x v="2"/>
    <x v="2"/>
    <x v="2"/>
    <n v="28"/>
    <s v="Yes"/>
    <x v="4"/>
    <n v="1"/>
    <s v="$40k-60k"/>
    <n v="2"/>
    <x v="1"/>
    <n v="4"/>
    <n v="2"/>
    <n v="1"/>
  </r>
  <r>
    <n v="13154"/>
    <x v="0"/>
    <s v="Male"/>
    <n v="40000"/>
    <x v="3"/>
    <x v="2"/>
    <s v="Skilled Manual"/>
    <s v="No"/>
    <x v="2"/>
    <x v="0"/>
    <x v="2"/>
    <n v="27"/>
    <s v="Yes"/>
    <x v="4"/>
    <n v="1"/>
    <s v="$40k-60k"/>
    <n v="2"/>
    <x v="1"/>
    <n v="1"/>
    <n v="2"/>
    <n v="1"/>
  </r>
  <r>
    <n v="26778"/>
    <x v="1"/>
    <s v="Female"/>
    <n v="40000"/>
    <x v="3"/>
    <x v="2"/>
    <s v="Skilled Manual"/>
    <s v="Yes"/>
    <x v="2"/>
    <x v="2"/>
    <x v="2"/>
    <n v="31"/>
    <s v="No"/>
    <x v="2"/>
    <n v="2"/>
    <s v="$40k-60k"/>
    <n v="2"/>
    <x v="1"/>
    <n v="4"/>
    <n v="2"/>
    <n v="0"/>
  </r>
  <r>
    <n v="23248"/>
    <x v="0"/>
    <s v="Female"/>
    <n v="10000"/>
    <x v="4"/>
    <x v="2"/>
    <s v="Manual"/>
    <s v="Yes"/>
    <x v="2"/>
    <x v="3"/>
    <x v="2"/>
    <n v="53"/>
    <s v="No"/>
    <x v="1"/>
    <n v="4"/>
    <s v="$10k-30k"/>
    <n v="1"/>
    <x v="1"/>
    <n v="2"/>
    <n v="2"/>
    <n v="0"/>
  </r>
  <r>
    <n v="21417"/>
    <x v="1"/>
    <s v="Female"/>
    <n v="60000"/>
    <x v="3"/>
    <x v="1"/>
    <s v="Professional"/>
    <s v="No"/>
    <x v="2"/>
    <x v="3"/>
    <x v="2"/>
    <n v="32"/>
    <s v="Yes"/>
    <x v="2"/>
    <n v="2"/>
    <s v="$40k-60k"/>
    <n v="2"/>
    <x v="1"/>
    <n v="2"/>
    <n v="3"/>
    <n v="1"/>
  </r>
  <r>
    <n v="17668"/>
    <x v="1"/>
    <s v="Male"/>
    <n v="30000"/>
    <x v="4"/>
    <x v="2"/>
    <s v="Skilled Manual"/>
    <s v="Yes"/>
    <x v="2"/>
    <x v="3"/>
    <x v="2"/>
    <n v="50"/>
    <s v="Yes"/>
    <x v="0"/>
    <n v="3"/>
    <s v="$10k-30k"/>
    <n v="1"/>
    <x v="1"/>
    <n v="2"/>
    <n v="2"/>
    <n v="1"/>
  </r>
  <r>
    <n v="27994"/>
    <x v="0"/>
    <s v="Female"/>
    <n v="40000"/>
    <x v="5"/>
    <x v="2"/>
    <s v="Professional"/>
    <s v="Yes"/>
    <x v="2"/>
    <x v="2"/>
    <x v="2"/>
    <n v="69"/>
    <s v="No"/>
    <x v="3"/>
    <n v="5"/>
    <s v="$40k-60k"/>
    <n v="2"/>
    <x v="1"/>
    <n v="4"/>
    <n v="2"/>
    <n v="0"/>
  </r>
  <r>
    <n v="20376"/>
    <x v="1"/>
    <s v="Female"/>
    <n v="70000"/>
    <x v="1"/>
    <x v="4"/>
    <s v="Management"/>
    <s v="Yes"/>
    <x v="2"/>
    <x v="2"/>
    <x v="2"/>
    <n v="52"/>
    <s v="Yes"/>
    <x v="1"/>
    <n v="4"/>
    <s v="$70k-90k"/>
    <n v="3"/>
    <x v="1"/>
    <n v="4"/>
    <n v="5"/>
    <n v="1"/>
  </r>
  <r>
    <n v="25954"/>
    <x v="0"/>
    <s v="Male"/>
    <n v="60000"/>
    <x v="3"/>
    <x v="1"/>
    <s v="Skilled Manual"/>
    <s v="No"/>
    <x v="2"/>
    <x v="3"/>
    <x v="2"/>
    <n v="31"/>
    <s v="No"/>
    <x v="2"/>
    <n v="2"/>
    <s v="$40k-60k"/>
    <n v="2"/>
    <x v="1"/>
    <n v="2"/>
    <n v="3"/>
    <n v="0"/>
  </r>
  <r>
    <n v="15749"/>
    <x v="1"/>
    <s v="Female"/>
    <n v="70000"/>
    <x v="5"/>
    <x v="0"/>
    <s v="Management"/>
    <s v="Yes"/>
    <x v="2"/>
    <x v="4"/>
    <x v="2"/>
    <n v="61"/>
    <s v="No"/>
    <x v="3"/>
    <n v="5"/>
    <s v="$70k-90k"/>
    <n v="3"/>
    <x v="1"/>
    <n v="5"/>
    <n v="4"/>
    <n v="0"/>
  </r>
  <r>
    <n v="25899"/>
    <x v="0"/>
    <s v="Female"/>
    <n v="70000"/>
    <x v="4"/>
    <x v="2"/>
    <s v="Professional"/>
    <s v="Yes"/>
    <x v="2"/>
    <x v="4"/>
    <x v="2"/>
    <n v="53"/>
    <s v="No"/>
    <x v="1"/>
    <n v="4"/>
    <s v="$70k-90k"/>
    <n v="3"/>
    <x v="1"/>
    <n v="5"/>
    <n v="2"/>
    <n v="0"/>
  </r>
  <r>
    <n v="13351"/>
    <x v="1"/>
    <s v="Female"/>
    <n v="70000"/>
    <x v="5"/>
    <x v="0"/>
    <s v="Management"/>
    <s v="Yes"/>
    <x v="2"/>
    <x v="3"/>
    <x v="2"/>
    <n v="62"/>
    <s v="Yes"/>
    <x v="3"/>
    <n v="5"/>
    <s v="$70k-90k"/>
    <n v="3"/>
    <x v="1"/>
    <n v="2"/>
    <n v="4"/>
    <n v="1"/>
  </r>
  <r>
    <n v="23333"/>
    <x v="0"/>
    <s v="Male"/>
    <n v="40000"/>
    <x v="3"/>
    <x v="1"/>
    <s v="Skilled Manual"/>
    <s v="No"/>
    <x v="2"/>
    <x v="3"/>
    <x v="2"/>
    <n v="30"/>
    <s v="No"/>
    <x v="4"/>
    <n v="1"/>
    <s v="$40k-60k"/>
    <n v="2"/>
    <x v="1"/>
    <n v="2"/>
    <n v="3"/>
    <n v="0"/>
  </r>
  <r>
    <n v="21660"/>
    <x v="0"/>
    <s v="Female"/>
    <n v="60000"/>
    <x v="1"/>
    <x v="4"/>
    <s v="Professional"/>
    <s v="Yes"/>
    <x v="0"/>
    <x v="1"/>
    <x v="2"/>
    <n v="43"/>
    <s v="Yes"/>
    <x v="0"/>
    <n v="3"/>
    <s v="$40k-60k"/>
    <n v="2"/>
    <x v="0"/>
    <n v="3"/>
    <n v="5"/>
    <n v="1"/>
  </r>
  <r>
    <n v="17012"/>
    <x v="0"/>
    <s v="Female"/>
    <n v="60000"/>
    <x v="1"/>
    <x v="4"/>
    <s v="Professional"/>
    <s v="Yes"/>
    <x v="0"/>
    <x v="1"/>
    <x v="2"/>
    <n v="42"/>
    <s v="Yes"/>
    <x v="0"/>
    <n v="3"/>
    <s v="$40k-60k"/>
    <n v="2"/>
    <x v="0"/>
    <n v="3"/>
    <n v="5"/>
    <n v="1"/>
  </r>
  <r>
    <n v="24514"/>
    <x v="0"/>
    <s v="Male"/>
    <n v="40000"/>
    <x v="3"/>
    <x v="1"/>
    <s v="Skilled Manual"/>
    <s v="Yes"/>
    <x v="1"/>
    <x v="2"/>
    <x v="2"/>
    <n v="30"/>
    <s v="No"/>
    <x v="4"/>
    <n v="1"/>
    <s v="$40k-60k"/>
    <n v="2"/>
    <x v="0"/>
    <n v="4"/>
    <n v="3"/>
    <n v="0"/>
  </r>
  <r>
    <n v="27505"/>
    <x v="1"/>
    <s v="Female"/>
    <n v="40000"/>
    <x v="3"/>
    <x v="2"/>
    <s v="Skilled Manual"/>
    <s v="Yes"/>
    <x v="2"/>
    <x v="2"/>
    <x v="2"/>
    <n v="30"/>
    <s v="No"/>
    <x v="4"/>
    <n v="1"/>
    <s v="$40k-60k"/>
    <n v="2"/>
    <x v="1"/>
    <n v="4"/>
    <n v="2"/>
    <n v="0"/>
  </r>
  <r>
    <n v="29243"/>
    <x v="1"/>
    <s v="Male"/>
    <n v="110000"/>
    <x v="0"/>
    <x v="0"/>
    <s v="Management"/>
    <s v="Yes"/>
    <x v="1"/>
    <x v="2"/>
    <x v="2"/>
    <n v="43"/>
    <s v="No"/>
    <x v="0"/>
    <n v="3"/>
    <s v="$100k+"/>
    <n v="4"/>
    <x v="0"/>
    <n v="4"/>
    <n v="4"/>
    <n v="0"/>
  </r>
  <r>
    <n v="26582"/>
    <x v="0"/>
    <s v="Male"/>
    <n v="60000"/>
    <x v="3"/>
    <x v="1"/>
    <s v="Skilled Manual"/>
    <s v="Yes"/>
    <x v="2"/>
    <x v="2"/>
    <x v="2"/>
    <n v="33"/>
    <s v="Yes"/>
    <x v="2"/>
    <n v="2"/>
    <s v="$40k-60k"/>
    <n v="2"/>
    <x v="1"/>
    <n v="4"/>
    <n v="3"/>
    <n v="1"/>
  </r>
  <r>
    <n v="14271"/>
    <x v="0"/>
    <s v="Male"/>
    <n v="30000"/>
    <x v="3"/>
    <x v="2"/>
    <s v="Skilled Manual"/>
    <s v="Yes"/>
    <x v="2"/>
    <x v="2"/>
    <x v="2"/>
    <n v="32"/>
    <s v="No"/>
    <x v="2"/>
    <n v="2"/>
    <s v="$10k-30k"/>
    <n v="1"/>
    <x v="1"/>
    <n v="4"/>
    <n v="2"/>
    <n v="0"/>
  </r>
  <r>
    <n v="23041"/>
    <x v="1"/>
    <s v="Female"/>
    <n v="70000"/>
    <x v="5"/>
    <x v="2"/>
    <s v="Professional"/>
    <s v="Yes"/>
    <x v="0"/>
    <x v="2"/>
    <x v="2"/>
    <n v="50"/>
    <s v="Yes"/>
    <x v="0"/>
    <n v="3"/>
    <s v="$70k-90k"/>
    <n v="3"/>
    <x v="0"/>
    <n v="4"/>
    <n v="2"/>
    <n v="1"/>
  </r>
  <r>
    <n v="29048"/>
    <x v="1"/>
    <s v="Male"/>
    <n v="110000"/>
    <x v="4"/>
    <x v="0"/>
    <s v="Management"/>
    <s v="No"/>
    <x v="4"/>
    <x v="0"/>
    <x v="2"/>
    <n v="37"/>
    <s v="Yes"/>
    <x v="2"/>
    <n v="2"/>
    <s v="$100k+"/>
    <n v="4"/>
    <x v="1"/>
    <n v="1"/>
    <n v="4"/>
    <n v="1"/>
  </r>
  <r>
    <n v="24433"/>
    <x v="0"/>
    <s v="Male"/>
    <n v="70000"/>
    <x v="1"/>
    <x v="2"/>
    <s v="Professional"/>
    <s v="No"/>
    <x v="1"/>
    <x v="3"/>
    <x v="2"/>
    <n v="52"/>
    <s v="Yes"/>
    <x v="1"/>
    <n v="4"/>
    <s v="$70k-90k"/>
    <n v="3"/>
    <x v="0"/>
    <n v="2"/>
    <n v="2"/>
    <n v="1"/>
  </r>
  <r>
    <n v="15501"/>
    <x v="0"/>
    <s v="Male"/>
    <n v="70000"/>
    <x v="5"/>
    <x v="4"/>
    <s v="Professional"/>
    <s v="Yes"/>
    <x v="0"/>
    <x v="1"/>
    <x v="2"/>
    <n v="36"/>
    <s v="Yes"/>
    <x v="2"/>
    <n v="2"/>
    <s v="$70k-90k"/>
    <n v="3"/>
    <x v="0"/>
    <n v="3"/>
    <n v="5"/>
    <n v="1"/>
  </r>
  <r>
    <n v="13911"/>
    <x v="1"/>
    <s v="Female"/>
    <n v="80000"/>
    <x v="1"/>
    <x v="0"/>
    <s v="Skilled Manual"/>
    <s v="Yes"/>
    <x v="2"/>
    <x v="1"/>
    <x v="2"/>
    <n v="41"/>
    <s v="Yes"/>
    <x v="0"/>
    <n v="3"/>
    <s v="$70k-90k"/>
    <n v="3"/>
    <x v="1"/>
    <n v="3"/>
    <n v="4"/>
    <n v="1"/>
  </r>
  <r>
    <n v="20421"/>
    <x v="1"/>
    <s v="Female"/>
    <n v="40000"/>
    <x v="3"/>
    <x v="3"/>
    <s v="Clerical"/>
    <s v="Yes"/>
    <x v="2"/>
    <x v="2"/>
    <x v="2"/>
    <n v="26"/>
    <s v="No"/>
    <x v="4"/>
    <n v="1"/>
    <s v="$40k-60k"/>
    <n v="2"/>
    <x v="1"/>
    <n v="4"/>
    <n v="1"/>
    <n v="0"/>
  </r>
  <r>
    <n v="16009"/>
    <x v="1"/>
    <s v="Male"/>
    <n v="170000"/>
    <x v="0"/>
    <x v="4"/>
    <s v="Management"/>
    <s v="No"/>
    <x v="3"/>
    <x v="0"/>
    <x v="2"/>
    <n v="66"/>
    <s v="No"/>
    <x v="3"/>
    <n v="5"/>
    <s v="$100k+"/>
    <n v="4"/>
    <x v="1"/>
    <n v="1"/>
    <n v="5"/>
    <n v="0"/>
  </r>
  <r>
    <n v="18411"/>
    <x v="0"/>
    <s v="Male"/>
    <n v="60000"/>
    <x v="4"/>
    <x v="2"/>
    <s v="Professional"/>
    <s v="No"/>
    <x v="2"/>
    <x v="2"/>
    <x v="2"/>
    <n v="51"/>
    <s v="No"/>
    <x v="1"/>
    <n v="4"/>
    <s v="$40k-60k"/>
    <n v="2"/>
    <x v="1"/>
    <n v="4"/>
    <n v="2"/>
    <n v="0"/>
  </r>
  <r>
    <n v="19163"/>
    <x v="0"/>
    <s v="Female"/>
    <n v="70000"/>
    <x v="5"/>
    <x v="0"/>
    <s v="Professional"/>
    <s v="Yes"/>
    <x v="2"/>
    <x v="0"/>
    <x v="2"/>
    <n v="43"/>
    <s v="Yes"/>
    <x v="0"/>
    <n v="3"/>
    <s v="$70k-90k"/>
    <n v="3"/>
    <x v="1"/>
    <n v="1"/>
    <n v="4"/>
    <n v="1"/>
  </r>
  <r>
    <n v="18572"/>
    <x v="0"/>
    <s v="Female"/>
    <n v="60000"/>
    <x v="3"/>
    <x v="4"/>
    <s v="Professional"/>
    <s v="Yes"/>
    <x v="0"/>
    <x v="0"/>
    <x v="2"/>
    <n v="39"/>
    <s v="No"/>
    <x v="2"/>
    <n v="2"/>
    <s v="$40k-60k"/>
    <n v="2"/>
    <x v="0"/>
    <n v="1"/>
    <n v="5"/>
    <n v="0"/>
  </r>
  <r>
    <n v="27540"/>
    <x v="1"/>
    <s v="Female"/>
    <n v="70000"/>
    <x v="3"/>
    <x v="0"/>
    <s v="Professional"/>
    <s v="No"/>
    <x v="1"/>
    <x v="0"/>
    <x v="2"/>
    <n v="37"/>
    <s v="Yes"/>
    <x v="2"/>
    <n v="2"/>
    <s v="$70k-90k"/>
    <n v="3"/>
    <x v="0"/>
    <n v="1"/>
    <n v="4"/>
    <n v="1"/>
  </r>
  <r>
    <n v="19889"/>
    <x v="1"/>
    <s v="Female"/>
    <n v="70000"/>
    <x v="4"/>
    <x v="3"/>
    <s v="Skilled Manual"/>
    <s v="No"/>
    <x v="2"/>
    <x v="1"/>
    <x v="2"/>
    <n v="54"/>
    <s v="Yes"/>
    <x v="1"/>
    <n v="4"/>
    <s v="$70k-90k"/>
    <n v="3"/>
    <x v="1"/>
    <n v="3"/>
    <n v="1"/>
    <n v="1"/>
  </r>
  <r>
    <n v="12922"/>
    <x v="1"/>
    <s v="Female"/>
    <n v="60000"/>
    <x v="1"/>
    <x v="0"/>
    <s v="Skilled Manual"/>
    <s v="Yes"/>
    <x v="0"/>
    <x v="1"/>
    <x v="2"/>
    <n v="40"/>
    <s v="Yes"/>
    <x v="2"/>
    <n v="2"/>
    <s v="$40k-60k"/>
    <n v="2"/>
    <x v="0"/>
    <n v="3"/>
    <n v="4"/>
    <n v="1"/>
  </r>
  <r>
    <n v="18891"/>
    <x v="0"/>
    <s v="Female"/>
    <n v="40000"/>
    <x v="3"/>
    <x v="1"/>
    <s v="Skilled Manual"/>
    <s v="Yes"/>
    <x v="2"/>
    <x v="2"/>
    <x v="2"/>
    <n v="28"/>
    <s v="No"/>
    <x v="4"/>
    <n v="1"/>
    <s v="$40k-60k"/>
    <n v="2"/>
    <x v="1"/>
    <n v="4"/>
    <n v="3"/>
    <n v="0"/>
  </r>
  <r>
    <n v="16773"/>
    <x v="0"/>
    <s v="Male"/>
    <n v="60000"/>
    <x v="0"/>
    <x v="4"/>
    <s v="Skilled Manual"/>
    <s v="Yes"/>
    <x v="0"/>
    <x v="0"/>
    <x v="2"/>
    <n v="33"/>
    <s v="No"/>
    <x v="2"/>
    <n v="2"/>
    <s v="$40k-60k"/>
    <n v="2"/>
    <x v="0"/>
    <n v="1"/>
    <n v="5"/>
    <n v="0"/>
  </r>
  <r>
    <n v="19143"/>
    <x v="1"/>
    <s v="Female"/>
    <n v="80000"/>
    <x v="1"/>
    <x v="0"/>
    <s v="Skilled Manual"/>
    <s v="Yes"/>
    <x v="2"/>
    <x v="1"/>
    <x v="2"/>
    <n v="41"/>
    <s v="Yes"/>
    <x v="0"/>
    <n v="3"/>
    <s v="$70k-90k"/>
    <n v="3"/>
    <x v="1"/>
    <n v="3"/>
    <n v="4"/>
    <n v="1"/>
  </r>
  <r>
    <n v="23882"/>
    <x v="1"/>
    <s v="Female"/>
    <n v="80000"/>
    <x v="1"/>
    <x v="4"/>
    <s v="Professional"/>
    <s v="Yes"/>
    <x v="0"/>
    <x v="0"/>
    <x v="2"/>
    <n v="37"/>
    <s v="Yes"/>
    <x v="2"/>
    <n v="2"/>
    <s v="$70k-90k"/>
    <n v="3"/>
    <x v="0"/>
    <n v="1"/>
    <n v="5"/>
    <n v="1"/>
  </r>
  <r>
    <n v="11233"/>
    <x v="0"/>
    <s v="Male"/>
    <n v="70000"/>
    <x v="5"/>
    <x v="1"/>
    <s v="Professional"/>
    <s v="Yes"/>
    <x v="2"/>
    <x v="4"/>
    <x v="2"/>
    <n v="53"/>
    <s v="No"/>
    <x v="1"/>
    <n v="4"/>
    <s v="$70k-90k"/>
    <n v="3"/>
    <x v="1"/>
    <n v="5"/>
    <n v="3"/>
    <n v="0"/>
  </r>
  <r>
    <n v="12056"/>
    <x v="0"/>
    <s v="Male"/>
    <n v="120000"/>
    <x v="4"/>
    <x v="4"/>
    <s v="Management"/>
    <s v="Yes"/>
    <x v="4"/>
    <x v="2"/>
    <x v="2"/>
    <n v="64"/>
    <s v="No"/>
    <x v="3"/>
    <n v="5"/>
    <s v="$100k+"/>
    <n v="4"/>
    <x v="1"/>
    <n v="4"/>
    <n v="5"/>
    <n v="0"/>
  </r>
  <r>
    <n v="15555"/>
    <x v="0"/>
    <s v="Female"/>
    <n v="60000"/>
    <x v="0"/>
    <x v="1"/>
    <s v="Skilled Manual"/>
    <s v="Yes"/>
    <x v="1"/>
    <x v="1"/>
    <x v="2"/>
    <n v="45"/>
    <s v="Yes"/>
    <x v="0"/>
    <n v="3"/>
    <s v="$40k-60k"/>
    <n v="2"/>
    <x v="0"/>
    <n v="3"/>
    <n v="3"/>
    <n v="1"/>
  </r>
  <r>
    <n v="18423"/>
    <x v="1"/>
    <s v="Male"/>
    <n v="80000"/>
    <x v="4"/>
    <x v="3"/>
    <s v="Skilled Manual"/>
    <s v="No"/>
    <x v="2"/>
    <x v="3"/>
    <x v="2"/>
    <n v="52"/>
    <s v="No"/>
    <x v="1"/>
    <n v="4"/>
    <s v="$70k-90k"/>
    <n v="3"/>
    <x v="1"/>
    <n v="2"/>
    <n v="1"/>
    <n v="0"/>
  </r>
  <r>
    <n v="22743"/>
    <x v="0"/>
    <s v="Female"/>
    <n v="40000"/>
    <x v="2"/>
    <x v="2"/>
    <s v="Professional"/>
    <s v="Yes"/>
    <x v="2"/>
    <x v="4"/>
    <x v="2"/>
    <n v="60"/>
    <s v="No"/>
    <x v="1"/>
    <n v="4"/>
    <s v="$40k-60k"/>
    <n v="2"/>
    <x v="1"/>
    <n v="5"/>
    <n v="2"/>
    <n v="0"/>
  </r>
  <r>
    <n v="25343"/>
    <x v="1"/>
    <s v="Female"/>
    <n v="20000"/>
    <x v="1"/>
    <x v="3"/>
    <s v="Clerical"/>
    <s v="Yes"/>
    <x v="2"/>
    <x v="3"/>
    <x v="2"/>
    <n v="50"/>
    <s v="No"/>
    <x v="0"/>
    <n v="3"/>
    <s v="$10k-30k"/>
    <n v="1"/>
    <x v="1"/>
    <n v="2"/>
    <n v="1"/>
    <n v="0"/>
  </r>
  <r>
    <n v="13390"/>
    <x v="0"/>
    <s v="Female"/>
    <n v="70000"/>
    <x v="5"/>
    <x v="1"/>
    <s v="Professional"/>
    <s v="No"/>
    <x v="1"/>
    <x v="3"/>
    <x v="2"/>
    <n v="56"/>
    <s v="No"/>
    <x v="1"/>
    <n v="4"/>
    <s v="$70k-90k"/>
    <n v="3"/>
    <x v="0"/>
    <n v="2"/>
    <n v="3"/>
    <n v="0"/>
  </r>
  <r>
    <n v="17482"/>
    <x v="1"/>
    <s v="Female"/>
    <n v="40000"/>
    <x v="3"/>
    <x v="3"/>
    <s v="Clerical"/>
    <s v="Yes"/>
    <x v="2"/>
    <x v="2"/>
    <x v="2"/>
    <n v="29"/>
    <s v="No"/>
    <x v="4"/>
    <n v="1"/>
    <s v="$40k-60k"/>
    <n v="2"/>
    <x v="1"/>
    <n v="4"/>
    <n v="1"/>
    <n v="0"/>
  </r>
  <r>
    <n v="13176"/>
    <x v="1"/>
    <s v="Male"/>
    <n v="130000"/>
    <x v="3"/>
    <x v="4"/>
    <s v="Management"/>
    <s v="No"/>
    <x v="2"/>
    <x v="0"/>
    <x v="2"/>
    <n v="38"/>
    <s v="Yes"/>
    <x v="2"/>
    <n v="2"/>
    <s v="$100k+"/>
    <n v="4"/>
    <x v="1"/>
    <n v="1"/>
    <n v="5"/>
    <n v="1"/>
  </r>
  <r>
    <n v="20504"/>
    <x v="0"/>
    <s v="Female"/>
    <n v="40000"/>
    <x v="2"/>
    <x v="2"/>
    <s v="Professional"/>
    <s v="No"/>
    <x v="2"/>
    <x v="1"/>
    <x v="2"/>
    <n v="60"/>
    <s v="No"/>
    <x v="1"/>
    <n v="4"/>
    <s v="$40k-60k"/>
    <n v="2"/>
    <x v="1"/>
    <n v="3"/>
    <n v="2"/>
    <n v="0"/>
  </r>
  <r>
    <n v="12205"/>
    <x v="1"/>
    <s v="Female"/>
    <n v="130000"/>
    <x v="4"/>
    <x v="0"/>
    <s v="Management"/>
    <s v="No"/>
    <x v="3"/>
    <x v="0"/>
    <x v="2"/>
    <n v="67"/>
    <s v="No"/>
    <x v="3"/>
    <n v="5"/>
    <s v="$100k+"/>
    <n v="4"/>
    <x v="1"/>
    <n v="1"/>
    <n v="4"/>
    <n v="0"/>
  </r>
  <r>
    <n v="16751"/>
    <x v="0"/>
    <s v="Male"/>
    <n v="60000"/>
    <x v="3"/>
    <x v="1"/>
    <s v="Skilled Manual"/>
    <s v="Yes"/>
    <x v="1"/>
    <x v="2"/>
    <x v="2"/>
    <n v="32"/>
    <s v="Yes"/>
    <x v="2"/>
    <n v="2"/>
    <s v="$40k-60k"/>
    <n v="2"/>
    <x v="0"/>
    <n v="4"/>
    <n v="3"/>
    <n v="1"/>
  </r>
  <r>
    <n v="21613"/>
    <x v="1"/>
    <s v="Male"/>
    <n v="50000"/>
    <x v="4"/>
    <x v="0"/>
    <s v="Skilled Manual"/>
    <s v="No"/>
    <x v="1"/>
    <x v="0"/>
    <x v="2"/>
    <n v="39"/>
    <s v="Yes"/>
    <x v="2"/>
    <n v="2"/>
    <s v="$40k-60k"/>
    <n v="2"/>
    <x v="0"/>
    <n v="1"/>
    <n v="4"/>
    <n v="1"/>
  </r>
  <r>
    <n v="24801"/>
    <x v="1"/>
    <s v="Male"/>
    <n v="60000"/>
    <x v="0"/>
    <x v="4"/>
    <s v="Professional"/>
    <s v="Yes"/>
    <x v="0"/>
    <x v="1"/>
    <x v="2"/>
    <n v="35"/>
    <s v="Yes"/>
    <x v="2"/>
    <n v="2"/>
    <s v="$40k-60k"/>
    <n v="2"/>
    <x v="0"/>
    <n v="3"/>
    <n v="5"/>
    <n v="1"/>
  </r>
  <r>
    <n v="17519"/>
    <x v="0"/>
    <s v="Female"/>
    <n v="60000"/>
    <x v="3"/>
    <x v="1"/>
    <s v="Professional"/>
    <s v="Yes"/>
    <x v="2"/>
    <x v="2"/>
    <x v="2"/>
    <n v="32"/>
    <s v="No"/>
    <x v="2"/>
    <n v="2"/>
    <s v="$40k-60k"/>
    <n v="2"/>
    <x v="1"/>
    <n v="4"/>
    <n v="3"/>
    <n v="0"/>
  </r>
  <r>
    <n v="18347"/>
    <x v="1"/>
    <s v="Female"/>
    <n v="30000"/>
    <x v="3"/>
    <x v="1"/>
    <s v="Skilled Manual"/>
    <s v="No"/>
    <x v="1"/>
    <x v="3"/>
    <x v="2"/>
    <n v="31"/>
    <s v="No"/>
    <x v="2"/>
    <n v="2"/>
    <s v="$10k-30k"/>
    <n v="1"/>
    <x v="0"/>
    <n v="2"/>
    <n v="3"/>
    <n v="0"/>
  </r>
  <r>
    <n v="29052"/>
    <x v="1"/>
    <s v="Male"/>
    <n v="40000"/>
    <x v="3"/>
    <x v="1"/>
    <s v="Skilled Manual"/>
    <s v="Yes"/>
    <x v="1"/>
    <x v="2"/>
    <x v="2"/>
    <n v="27"/>
    <s v="No"/>
    <x v="4"/>
    <n v="1"/>
    <s v="$40k-60k"/>
    <n v="2"/>
    <x v="0"/>
    <n v="4"/>
    <n v="3"/>
    <n v="0"/>
  </r>
  <r>
    <n v="11745"/>
    <x v="0"/>
    <s v="Female"/>
    <n v="60000"/>
    <x v="0"/>
    <x v="0"/>
    <s v="Professional"/>
    <s v="Yes"/>
    <x v="1"/>
    <x v="0"/>
    <x v="2"/>
    <n v="47"/>
    <s v="Yes"/>
    <x v="0"/>
    <n v="3"/>
    <s v="$40k-60k"/>
    <n v="2"/>
    <x v="0"/>
    <n v="1"/>
    <n v="4"/>
    <n v="1"/>
  </r>
  <r>
    <n v="19147"/>
    <x v="0"/>
    <s v="Male"/>
    <n v="40000"/>
    <x v="3"/>
    <x v="0"/>
    <s v="Professional"/>
    <s v="No"/>
    <x v="1"/>
    <x v="0"/>
    <x v="2"/>
    <n v="42"/>
    <s v="No"/>
    <x v="0"/>
    <n v="3"/>
    <s v="$40k-60k"/>
    <n v="2"/>
    <x v="0"/>
    <n v="1"/>
    <n v="4"/>
    <n v="0"/>
  </r>
  <r>
    <n v="19217"/>
    <x v="0"/>
    <s v="Male"/>
    <n v="30000"/>
    <x v="4"/>
    <x v="2"/>
    <s v="Skilled Manual"/>
    <s v="Yes"/>
    <x v="2"/>
    <x v="3"/>
    <x v="2"/>
    <n v="49"/>
    <s v="No"/>
    <x v="0"/>
    <n v="3"/>
    <s v="$10k-30k"/>
    <n v="1"/>
    <x v="1"/>
    <n v="2"/>
    <n v="2"/>
    <n v="0"/>
  </r>
  <r>
    <n v="15839"/>
    <x v="1"/>
    <s v="Male"/>
    <n v="30000"/>
    <x v="3"/>
    <x v="1"/>
    <s v="Skilled Manual"/>
    <s v="Yes"/>
    <x v="1"/>
    <x v="2"/>
    <x v="2"/>
    <n v="32"/>
    <s v="No"/>
    <x v="2"/>
    <n v="2"/>
    <s v="$10k-30k"/>
    <n v="1"/>
    <x v="0"/>
    <n v="4"/>
    <n v="3"/>
    <n v="0"/>
  </r>
  <r>
    <n v="13714"/>
    <x v="0"/>
    <s v="Female"/>
    <n v="20000"/>
    <x v="4"/>
    <x v="2"/>
    <s v="Manual"/>
    <s v="No"/>
    <x v="2"/>
    <x v="3"/>
    <x v="2"/>
    <n v="53"/>
    <s v="Yes"/>
    <x v="1"/>
    <n v="4"/>
    <s v="$10k-30k"/>
    <n v="1"/>
    <x v="1"/>
    <n v="2"/>
    <n v="2"/>
    <n v="1"/>
  </r>
  <r>
    <n v="22330"/>
    <x v="0"/>
    <s v="Male"/>
    <n v="50000"/>
    <x v="3"/>
    <x v="4"/>
    <s v="Skilled Manual"/>
    <s v="Yes"/>
    <x v="0"/>
    <x v="3"/>
    <x v="2"/>
    <n v="32"/>
    <s v="Yes"/>
    <x v="2"/>
    <n v="2"/>
    <s v="$40k-60k"/>
    <n v="2"/>
    <x v="0"/>
    <n v="2"/>
    <n v="5"/>
    <n v="1"/>
  </r>
  <r>
    <n v="18783"/>
    <x v="1"/>
    <s v="Male"/>
    <n v="80000"/>
    <x v="3"/>
    <x v="0"/>
    <s v="Management"/>
    <s v="No"/>
    <x v="1"/>
    <x v="0"/>
    <x v="2"/>
    <n v="38"/>
    <s v="Yes"/>
    <x v="2"/>
    <n v="2"/>
    <s v="$70k-90k"/>
    <n v="3"/>
    <x v="0"/>
    <n v="1"/>
    <n v="4"/>
    <n v="1"/>
  </r>
  <r>
    <n v="25041"/>
    <x v="1"/>
    <s v="Male"/>
    <n v="40000"/>
    <x v="3"/>
    <x v="2"/>
    <s v="Skilled Manual"/>
    <s v="Yes"/>
    <x v="2"/>
    <x v="2"/>
    <x v="2"/>
    <n v="31"/>
    <s v="No"/>
    <x v="2"/>
    <n v="2"/>
    <s v="$40k-60k"/>
    <n v="2"/>
    <x v="1"/>
    <n v="4"/>
    <n v="2"/>
    <n v="0"/>
  </r>
  <r>
    <n v="22046"/>
    <x v="1"/>
    <s v="Female"/>
    <n v="80000"/>
    <x v="3"/>
    <x v="0"/>
    <s v="Management"/>
    <s v="No"/>
    <x v="1"/>
    <x v="0"/>
    <x v="2"/>
    <n v="38"/>
    <s v="Yes"/>
    <x v="2"/>
    <n v="2"/>
    <s v="$70k-90k"/>
    <n v="3"/>
    <x v="0"/>
    <n v="1"/>
    <n v="4"/>
    <n v="1"/>
  </r>
  <r>
    <n v="28052"/>
    <x v="0"/>
    <s v="Male"/>
    <n v="60000"/>
    <x v="4"/>
    <x v="2"/>
    <s v="Professional"/>
    <s v="Yes"/>
    <x v="2"/>
    <x v="4"/>
    <x v="2"/>
    <n v="55"/>
    <s v="No"/>
    <x v="1"/>
    <n v="4"/>
    <s v="$40k-60k"/>
    <n v="2"/>
    <x v="1"/>
    <n v="5"/>
    <n v="2"/>
    <n v="0"/>
  </r>
  <r>
    <n v="26693"/>
    <x v="0"/>
    <s v="Male"/>
    <n v="70000"/>
    <x v="1"/>
    <x v="1"/>
    <s v="Professional"/>
    <s v="Yes"/>
    <x v="1"/>
    <x v="2"/>
    <x v="2"/>
    <n v="49"/>
    <s v="No"/>
    <x v="0"/>
    <n v="3"/>
    <s v="$70k-90k"/>
    <n v="3"/>
    <x v="0"/>
    <n v="4"/>
    <n v="3"/>
    <n v="0"/>
  </r>
  <r>
    <n v="24955"/>
    <x v="1"/>
    <s v="Male"/>
    <n v="30000"/>
    <x v="2"/>
    <x v="3"/>
    <s v="Skilled Manual"/>
    <s v="Yes"/>
    <x v="4"/>
    <x v="4"/>
    <x v="2"/>
    <n v="60"/>
    <s v="Yes"/>
    <x v="1"/>
    <n v="4"/>
    <s v="$10k-30k"/>
    <n v="1"/>
    <x v="1"/>
    <n v="5"/>
    <n v="1"/>
    <n v="1"/>
  </r>
  <r>
    <n v="26065"/>
    <x v="1"/>
    <s v="Female"/>
    <n v="110000"/>
    <x v="1"/>
    <x v="0"/>
    <s v="Management"/>
    <s v="No"/>
    <x v="3"/>
    <x v="3"/>
    <x v="2"/>
    <n v="42"/>
    <s v="No"/>
    <x v="0"/>
    <n v="3"/>
    <s v="$100k+"/>
    <n v="4"/>
    <x v="1"/>
    <n v="2"/>
    <n v="4"/>
    <n v="0"/>
  </r>
  <r>
    <n v="13942"/>
    <x v="0"/>
    <s v="Male"/>
    <n v="60000"/>
    <x v="0"/>
    <x v="1"/>
    <s v="Skilled Manual"/>
    <s v="Yes"/>
    <x v="1"/>
    <x v="0"/>
    <x v="2"/>
    <n v="46"/>
    <s v="No"/>
    <x v="0"/>
    <n v="3"/>
    <s v="$40k-60k"/>
    <n v="2"/>
    <x v="0"/>
    <n v="1"/>
    <n v="3"/>
    <n v="0"/>
  </r>
  <r>
    <n v="11219"/>
    <x v="0"/>
    <s v="Male"/>
    <n v="60000"/>
    <x v="4"/>
    <x v="2"/>
    <s v="Professional"/>
    <s v="Yes"/>
    <x v="2"/>
    <x v="4"/>
    <x v="2"/>
    <n v="55"/>
    <s v="No"/>
    <x v="1"/>
    <n v="4"/>
    <s v="$40k-60k"/>
    <n v="2"/>
    <x v="1"/>
    <n v="5"/>
    <n v="2"/>
    <n v="0"/>
  </r>
  <r>
    <n v="22118"/>
    <x v="1"/>
    <s v="Female"/>
    <n v="70000"/>
    <x v="1"/>
    <x v="4"/>
    <s v="Management"/>
    <s v="Yes"/>
    <x v="2"/>
    <x v="2"/>
    <x v="2"/>
    <n v="53"/>
    <s v="Yes"/>
    <x v="1"/>
    <n v="4"/>
    <s v="$70k-90k"/>
    <n v="3"/>
    <x v="1"/>
    <n v="4"/>
    <n v="5"/>
    <n v="1"/>
  </r>
  <r>
    <n v="23197"/>
    <x v="0"/>
    <s v="Male"/>
    <n v="50000"/>
    <x v="1"/>
    <x v="0"/>
    <s v="Skilled Manual"/>
    <s v="Yes"/>
    <x v="2"/>
    <x v="1"/>
    <x v="2"/>
    <n v="40"/>
    <s v="No"/>
    <x v="2"/>
    <n v="2"/>
    <s v="$40k-60k"/>
    <n v="2"/>
    <x v="1"/>
    <n v="3"/>
    <n v="4"/>
    <n v="0"/>
  </r>
  <r>
    <n v="14883"/>
    <x v="0"/>
    <s v="Female"/>
    <n v="30000"/>
    <x v="0"/>
    <x v="0"/>
    <s v="Skilled Manual"/>
    <s v="Yes"/>
    <x v="1"/>
    <x v="2"/>
    <x v="2"/>
    <n v="53"/>
    <s v="Yes"/>
    <x v="1"/>
    <n v="4"/>
    <s v="$10k-30k"/>
    <n v="1"/>
    <x v="0"/>
    <n v="4"/>
    <n v="4"/>
    <n v="1"/>
  </r>
  <r>
    <n v="27279"/>
    <x v="1"/>
    <s v="Female"/>
    <n v="70000"/>
    <x v="4"/>
    <x v="0"/>
    <s v="Skilled Manual"/>
    <s v="Yes"/>
    <x v="0"/>
    <x v="1"/>
    <x v="2"/>
    <n v="38"/>
    <s v="Yes"/>
    <x v="2"/>
    <n v="2"/>
    <s v="$70k-90k"/>
    <n v="3"/>
    <x v="0"/>
    <n v="3"/>
    <n v="4"/>
    <n v="1"/>
  </r>
  <r>
    <n v="18322"/>
    <x v="1"/>
    <s v="Male"/>
    <n v="30000"/>
    <x v="3"/>
    <x v="3"/>
    <s v="Clerical"/>
    <s v="No"/>
    <x v="2"/>
    <x v="0"/>
    <x v="2"/>
    <n v="26"/>
    <s v="No"/>
    <x v="4"/>
    <n v="1"/>
    <s v="$10k-30k"/>
    <n v="1"/>
    <x v="1"/>
    <n v="1"/>
    <n v="1"/>
    <n v="0"/>
  </r>
  <r>
    <n v="15879"/>
    <x v="0"/>
    <s v="Male"/>
    <n v="70000"/>
    <x v="2"/>
    <x v="0"/>
    <s v="Management"/>
    <s v="Yes"/>
    <x v="2"/>
    <x v="1"/>
    <x v="2"/>
    <n v="61"/>
    <s v="No"/>
    <x v="3"/>
    <n v="5"/>
    <s v="$70k-90k"/>
    <n v="3"/>
    <x v="1"/>
    <n v="3"/>
    <n v="4"/>
    <n v="0"/>
  </r>
  <r>
    <n v="28278"/>
    <x v="0"/>
    <s v="Male"/>
    <n v="50000"/>
    <x v="4"/>
    <x v="4"/>
    <s v="Management"/>
    <s v="Yes"/>
    <x v="2"/>
    <x v="2"/>
    <x v="2"/>
    <n v="71"/>
    <s v="No"/>
    <x v="3"/>
    <n v="5"/>
    <s v="$40k-60k"/>
    <n v="2"/>
    <x v="1"/>
    <n v="4"/>
    <n v="5"/>
    <n v="0"/>
  </r>
  <r>
    <n v="24416"/>
    <x v="0"/>
    <s v="Male"/>
    <n v="90000"/>
    <x v="5"/>
    <x v="2"/>
    <s v="Professional"/>
    <s v="Yes"/>
    <x v="2"/>
    <x v="3"/>
    <x v="2"/>
    <n v="45"/>
    <s v="No"/>
    <x v="0"/>
    <n v="3"/>
    <s v="$70k-90k"/>
    <n v="3"/>
    <x v="1"/>
    <n v="2"/>
    <n v="2"/>
    <n v="0"/>
  </r>
  <r>
    <n v="28066"/>
    <x v="0"/>
    <s v="Male"/>
    <n v="80000"/>
    <x v="4"/>
    <x v="4"/>
    <s v="Professional"/>
    <s v="Yes"/>
    <x v="0"/>
    <x v="0"/>
    <x v="2"/>
    <n v="37"/>
    <s v="Yes"/>
    <x v="2"/>
    <n v="2"/>
    <s v="$70k-90k"/>
    <n v="3"/>
    <x v="0"/>
    <n v="1"/>
    <n v="5"/>
    <n v="1"/>
  </r>
  <r>
    <n v="11275"/>
    <x v="0"/>
    <s v="Female"/>
    <n v="80000"/>
    <x v="5"/>
    <x v="4"/>
    <s v="Management"/>
    <s v="Yes"/>
    <x v="2"/>
    <x v="0"/>
    <x v="2"/>
    <n v="72"/>
    <s v="Yes"/>
    <x v="3"/>
    <n v="5"/>
    <s v="$70k-90k"/>
    <n v="3"/>
    <x v="1"/>
    <n v="1"/>
    <n v="5"/>
    <n v="1"/>
  </r>
  <r>
    <n v="14872"/>
    <x v="0"/>
    <s v="Male"/>
    <n v="30000"/>
    <x v="3"/>
    <x v="4"/>
    <s v="Skilled Manual"/>
    <s v="Yes"/>
    <x v="0"/>
    <x v="0"/>
    <x v="2"/>
    <n v="32"/>
    <s v="No"/>
    <x v="2"/>
    <n v="2"/>
    <s v="$10k-30k"/>
    <n v="1"/>
    <x v="0"/>
    <n v="1"/>
    <n v="5"/>
    <n v="0"/>
  </r>
  <r>
    <n v="16151"/>
    <x v="0"/>
    <s v="Female"/>
    <n v="60000"/>
    <x v="0"/>
    <x v="0"/>
    <s v="Professional"/>
    <s v="Yes"/>
    <x v="1"/>
    <x v="1"/>
    <x v="2"/>
    <n v="48"/>
    <s v="Yes"/>
    <x v="0"/>
    <n v="3"/>
    <s v="$40k-60k"/>
    <n v="2"/>
    <x v="0"/>
    <n v="3"/>
    <n v="4"/>
    <n v="1"/>
  </r>
  <r>
    <n v="19731"/>
    <x v="0"/>
    <s v="Male"/>
    <n v="80000"/>
    <x v="5"/>
    <x v="4"/>
    <s v="Management"/>
    <s v="Yes"/>
    <x v="2"/>
    <x v="2"/>
    <x v="2"/>
    <n v="68"/>
    <s v="No"/>
    <x v="3"/>
    <n v="5"/>
    <s v="$70k-90k"/>
    <n v="3"/>
    <x v="1"/>
    <n v="4"/>
    <n v="5"/>
    <n v="0"/>
  </r>
  <r>
    <n v="23801"/>
    <x v="0"/>
    <s v="Female"/>
    <n v="20000"/>
    <x v="4"/>
    <x v="3"/>
    <s v="Clerical"/>
    <s v="Yes"/>
    <x v="2"/>
    <x v="0"/>
    <x v="2"/>
    <n v="49"/>
    <s v="No"/>
    <x v="0"/>
    <n v="3"/>
    <s v="$10k-30k"/>
    <n v="1"/>
    <x v="1"/>
    <n v="1"/>
    <n v="1"/>
    <n v="0"/>
  </r>
  <r>
    <n v="11807"/>
    <x v="0"/>
    <s v="Male"/>
    <n v="70000"/>
    <x v="1"/>
    <x v="4"/>
    <s v="Professional"/>
    <s v="Yes"/>
    <x v="0"/>
    <x v="1"/>
    <x v="2"/>
    <n v="34"/>
    <s v="No"/>
    <x v="2"/>
    <n v="2"/>
    <s v="$70k-90k"/>
    <n v="3"/>
    <x v="0"/>
    <n v="3"/>
    <n v="5"/>
    <n v="0"/>
  </r>
  <r>
    <n v="11622"/>
    <x v="0"/>
    <s v="Male"/>
    <n v="50000"/>
    <x v="3"/>
    <x v="4"/>
    <s v="Skilled Manual"/>
    <s v="Yes"/>
    <x v="0"/>
    <x v="0"/>
    <x v="2"/>
    <n v="32"/>
    <s v="No"/>
    <x v="2"/>
    <n v="2"/>
    <s v="$40k-60k"/>
    <n v="2"/>
    <x v="0"/>
    <n v="1"/>
    <n v="5"/>
    <n v="0"/>
  </r>
  <r>
    <n v="26597"/>
    <x v="1"/>
    <s v="Female"/>
    <n v="60000"/>
    <x v="5"/>
    <x v="0"/>
    <s v="Skilled Manual"/>
    <s v="No"/>
    <x v="2"/>
    <x v="0"/>
    <x v="2"/>
    <n v="42"/>
    <s v="No"/>
    <x v="0"/>
    <n v="3"/>
    <s v="$40k-60k"/>
    <n v="2"/>
    <x v="1"/>
    <n v="1"/>
    <n v="4"/>
    <n v="0"/>
  </r>
  <r>
    <n v="27074"/>
    <x v="0"/>
    <s v="Female"/>
    <n v="70000"/>
    <x v="0"/>
    <x v="4"/>
    <s v="Skilled Manual"/>
    <s v="Yes"/>
    <x v="0"/>
    <x v="0"/>
    <x v="2"/>
    <n v="35"/>
    <s v="Yes"/>
    <x v="2"/>
    <n v="2"/>
    <s v="$70k-90k"/>
    <n v="3"/>
    <x v="0"/>
    <n v="1"/>
    <n v="5"/>
    <n v="1"/>
  </r>
  <r>
    <n v="19228"/>
    <x v="0"/>
    <s v="Female"/>
    <n v="40000"/>
    <x v="4"/>
    <x v="1"/>
    <s v="Clerical"/>
    <s v="Yes"/>
    <x v="1"/>
    <x v="0"/>
    <x v="2"/>
    <n v="48"/>
    <s v="No"/>
    <x v="0"/>
    <n v="3"/>
    <s v="$40k-60k"/>
    <n v="2"/>
    <x v="0"/>
    <n v="1"/>
    <n v="3"/>
    <n v="0"/>
  </r>
  <r>
    <n v="13415"/>
    <x v="1"/>
    <s v="Male"/>
    <n v="100000"/>
    <x v="0"/>
    <x v="4"/>
    <s v="Management"/>
    <s v="Yes"/>
    <x v="4"/>
    <x v="1"/>
    <x v="2"/>
    <n v="73"/>
    <s v="Yes"/>
    <x v="3"/>
    <n v="5"/>
    <s v="$100k+"/>
    <n v="4"/>
    <x v="1"/>
    <n v="3"/>
    <n v="5"/>
    <n v="1"/>
  </r>
  <r>
    <n v="17000"/>
    <x v="1"/>
    <s v="Female"/>
    <n v="70000"/>
    <x v="5"/>
    <x v="0"/>
    <s v="Skilled Manual"/>
    <s v="Yes"/>
    <x v="2"/>
    <x v="1"/>
    <x v="2"/>
    <n v="43"/>
    <s v="Yes"/>
    <x v="0"/>
    <n v="3"/>
    <s v="$70k-90k"/>
    <n v="3"/>
    <x v="1"/>
    <n v="3"/>
    <n v="4"/>
    <n v="1"/>
  </r>
  <r>
    <n v="14569"/>
    <x v="0"/>
    <s v="Male"/>
    <n v="60000"/>
    <x v="0"/>
    <x v="4"/>
    <s v="Professional"/>
    <s v="Yes"/>
    <x v="0"/>
    <x v="0"/>
    <x v="2"/>
    <n v="35"/>
    <s v="No"/>
    <x v="2"/>
    <n v="2"/>
    <s v="$40k-60k"/>
    <n v="2"/>
    <x v="0"/>
    <n v="1"/>
    <n v="5"/>
    <n v="0"/>
  </r>
  <r>
    <n v="13873"/>
    <x v="0"/>
    <s v="Male"/>
    <n v="70000"/>
    <x v="1"/>
    <x v="4"/>
    <s v="Professional"/>
    <s v="Yes"/>
    <x v="0"/>
    <x v="0"/>
    <x v="2"/>
    <n v="35"/>
    <s v="Yes"/>
    <x v="2"/>
    <n v="2"/>
    <s v="$70k-90k"/>
    <n v="3"/>
    <x v="0"/>
    <n v="1"/>
    <n v="5"/>
    <n v="1"/>
  </r>
  <r>
    <n v="20401"/>
    <x v="0"/>
    <s v="Female"/>
    <n v="50000"/>
    <x v="5"/>
    <x v="0"/>
    <s v="Management"/>
    <s v="Yes"/>
    <x v="2"/>
    <x v="3"/>
    <x v="2"/>
    <n v="64"/>
    <s v="Yes"/>
    <x v="3"/>
    <n v="5"/>
    <s v="$40k-60k"/>
    <n v="2"/>
    <x v="1"/>
    <n v="2"/>
    <n v="4"/>
    <n v="1"/>
  </r>
  <r>
    <n v="21583"/>
    <x v="0"/>
    <s v="Female"/>
    <n v="50000"/>
    <x v="0"/>
    <x v="0"/>
    <s v="Skilled Manual"/>
    <s v="Yes"/>
    <x v="0"/>
    <x v="0"/>
    <x v="2"/>
    <n v="34"/>
    <s v="Yes"/>
    <x v="2"/>
    <n v="2"/>
    <s v="$40k-60k"/>
    <n v="2"/>
    <x v="0"/>
    <n v="1"/>
    <n v="4"/>
    <n v="1"/>
  </r>
  <r>
    <n v="12029"/>
    <x v="0"/>
    <s v="Male"/>
    <n v="30000"/>
    <x v="3"/>
    <x v="3"/>
    <s v="Clerical"/>
    <s v="No"/>
    <x v="2"/>
    <x v="0"/>
    <x v="2"/>
    <n v="28"/>
    <s v="No"/>
    <x v="4"/>
    <n v="1"/>
    <s v="$10k-30k"/>
    <n v="1"/>
    <x v="1"/>
    <n v="1"/>
    <n v="1"/>
    <n v="0"/>
  </r>
  <r>
    <n v="18066"/>
    <x v="1"/>
    <s v="Male"/>
    <n v="70000"/>
    <x v="2"/>
    <x v="0"/>
    <s v="Management"/>
    <s v="Yes"/>
    <x v="4"/>
    <x v="4"/>
    <x v="2"/>
    <n v="60"/>
    <s v="Yes"/>
    <x v="1"/>
    <n v="4"/>
    <s v="$70k-90k"/>
    <n v="3"/>
    <x v="1"/>
    <n v="5"/>
    <n v="4"/>
    <n v="1"/>
  </r>
  <r>
    <n v="28192"/>
    <x v="0"/>
    <s v="Female"/>
    <n v="70000"/>
    <x v="2"/>
    <x v="4"/>
    <s v="Professional"/>
    <s v="Yes"/>
    <x v="4"/>
    <x v="4"/>
    <x v="2"/>
    <n v="46"/>
    <s v="No"/>
    <x v="0"/>
    <n v="3"/>
    <s v="$70k-90k"/>
    <n v="3"/>
    <x v="1"/>
    <n v="5"/>
    <n v="5"/>
    <n v="0"/>
  </r>
  <r>
    <n v="16122"/>
    <x v="0"/>
    <s v="Male"/>
    <n v="40000"/>
    <x v="5"/>
    <x v="2"/>
    <s v="Skilled Manual"/>
    <s v="Yes"/>
    <x v="2"/>
    <x v="0"/>
    <x v="2"/>
    <n v="44"/>
    <s v="Yes"/>
    <x v="0"/>
    <n v="3"/>
    <s v="$40k-60k"/>
    <n v="2"/>
    <x v="1"/>
    <n v="1"/>
    <n v="2"/>
    <n v="1"/>
  </r>
  <r>
    <n v="18607"/>
    <x v="1"/>
    <s v="Female"/>
    <n v="60000"/>
    <x v="5"/>
    <x v="0"/>
    <s v="Skilled Manual"/>
    <s v="Yes"/>
    <x v="2"/>
    <x v="1"/>
    <x v="2"/>
    <n v="42"/>
    <s v="Yes"/>
    <x v="0"/>
    <n v="3"/>
    <s v="$40k-60k"/>
    <n v="2"/>
    <x v="1"/>
    <n v="3"/>
    <n v="4"/>
    <n v="1"/>
  </r>
  <r>
    <n v="28858"/>
    <x v="1"/>
    <s v="Male"/>
    <n v="80000"/>
    <x v="1"/>
    <x v="0"/>
    <s v="Skilled Manual"/>
    <s v="Yes"/>
    <x v="0"/>
    <x v="1"/>
    <x v="2"/>
    <n v="40"/>
    <s v="No"/>
    <x v="2"/>
    <n v="2"/>
    <s v="$70k-90k"/>
    <n v="3"/>
    <x v="0"/>
    <n v="3"/>
    <n v="4"/>
    <n v="0"/>
  </r>
  <r>
    <n v="14432"/>
    <x v="1"/>
    <s v="Male"/>
    <n v="90000"/>
    <x v="5"/>
    <x v="4"/>
    <s v="Management"/>
    <s v="Yes"/>
    <x v="1"/>
    <x v="2"/>
    <x v="2"/>
    <n v="73"/>
    <s v="No"/>
    <x v="3"/>
    <n v="5"/>
    <s v="$70k-90k"/>
    <n v="3"/>
    <x v="0"/>
    <n v="4"/>
    <n v="5"/>
    <n v="0"/>
  </r>
  <r>
    <n v="26305"/>
    <x v="1"/>
    <s v="Female"/>
    <n v="60000"/>
    <x v="4"/>
    <x v="0"/>
    <s v="Skilled Manual"/>
    <s v="No"/>
    <x v="0"/>
    <x v="0"/>
    <x v="2"/>
    <n v="36"/>
    <s v="Yes"/>
    <x v="2"/>
    <n v="2"/>
    <s v="$40k-60k"/>
    <n v="2"/>
    <x v="0"/>
    <n v="1"/>
    <n v="4"/>
    <n v="1"/>
  </r>
  <r>
    <n v="22050"/>
    <x v="1"/>
    <s v="Male"/>
    <n v="90000"/>
    <x v="5"/>
    <x v="0"/>
    <s v="Management"/>
    <s v="Yes"/>
    <x v="1"/>
    <x v="3"/>
    <x v="2"/>
    <n v="38"/>
    <s v="Yes"/>
    <x v="2"/>
    <n v="2"/>
    <s v="$70k-90k"/>
    <n v="3"/>
    <x v="0"/>
    <n v="2"/>
    <n v="4"/>
    <n v="1"/>
  </r>
  <r>
    <n v="25394"/>
    <x v="0"/>
    <s v="Male"/>
    <n v="60000"/>
    <x v="0"/>
    <x v="4"/>
    <s v="Professional"/>
    <s v="Yes"/>
    <x v="0"/>
    <x v="1"/>
    <x v="2"/>
    <n v="34"/>
    <s v="Yes"/>
    <x v="2"/>
    <n v="2"/>
    <s v="$40k-60k"/>
    <n v="2"/>
    <x v="0"/>
    <n v="3"/>
    <n v="5"/>
    <n v="1"/>
  </r>
  <r>
    <n v="19747"/>
    <x v="0"/>
    <s v="Male"/>
    <n v="50000"/>
    <x v="5"/>
    <x v="0"/>
    <s v="Management"/>
    <s v="Yes"/>
    <x v="2"/>
    <x v="4"/>
    <x v="2"/>
    <n v="63"/>
    <s v="No"/>
    <x v="3"/>
    <n v="5"/>
    <s v="$40k-60k"/>
    <n v="2"/>
    <x v="1"/>
    <n v="5"/>
    <n v="4"/>
    <n v="0"/>
  </r>
  <r>
    <n v="23195"/>
    <x v="1"/>
    <s v="Male"/>
    <n v="50000"/>
    <x v="1"/>
    <x v="0"/>
    <s v="Skilled Manual"/>
    <s v="Yes"/>
    <x v="2"/>
    <x v="1"/>
    <x v="2"/>
    <n v="41"/>
    <s v="Yes"/>
    <x v="0"/>
    <n v="3"/>
    <s v="$40k-60k"/>
    <n v="2"/>
    <x v="1"/>
    <n v="3"/>
    <n v="4"/>
    <n v="1"/>
  </r>
  <r>
    <n v="21695"/>
    <x v="0"/>
    <s v="Male"/>
    <n v="60000"/>
    <x v="3"/>
    <x v="4"/>
    <s v="Skilled Manual"/>
    <s v="Yes"/>
    <x v="0"/>
    <x v="3"/>
    <x v="2"/>
    <n v="39"/>
    <s v="Yes"/>
    <x v="2"/>
    <n v="2"/>
    <s v="$40k-60k"/>
    <n v="2"/>
    <x v="0"/>
    <n v="2"/>
    <n v="5"/>
    <n v="1"/>
  </r>
  <r>
    <n v="13934"/>
    <x v="0"/>
    <s v="Male"/>
    <n v="40000"/>
    <x v="5"/>
    <x v="2"/>
    <s v="Skilled Manual"/>
    <s v="Yes"/>
    <x v="2"/>
    <x v="1"/>
    <x v="2"/>
    <n v="46"/>
    <s v="No"/>
    <x v="0"/>
    <n v="3"/>
    <s v="$40k-60k"/>
    <n v="2"/>
    <x v="1"/>
    <n v="3"/>
    <n v="2"/>
    <n v="0"/>
  </r>
  <r>
    <n v="13337"/>
    <x v="0"/>
    <s v="Female"/>
    <n v="80000"/>
    <x v="2"/>
    <x v="0"/>
    <s v="Management"/>
    <s v="Yes"/>
    <x v="2"/>
    <x v="2"/>
    <x v="2"/>
    <n v="64"/>
    <s v="No"/>
    <x v="3"/>
    <n v="5"/>
    <s v="$70k-90k"/>
    <n v="3"/>
    <x v="1"/>
    <n v="4"/>
    <n v="4"/>
    <n v="0"/>
  </r>
  <r>
    <n v="27190"/>
    <x v="0"/>
    <s v="Female"/>
    <n v="40000"/>
    <x v="1"/>
    <x v="1"/>
    <s v="Clerical"/>
    <s v="Yes"/>
    <x v="1"/>
    <x v="3"/>
    <x v="2"/>
    <n v="32"/>
    <s v="No"/>
    <x v="2"/>
    <n v="2"/>
    <s v="$40k-60k"/>
    <n v="2"/>
    <x v="0"/>
    <n v="2"/>
    <n v="3"/>
    <n v="0"/>
  </r>
  <r>
    <n v="28657"/>
    <x v="1"/>
    <s v="Male"/>
    <n v="60000"/>
    <x v="4"/>
    <x v="0"/>
    <s v="Skilled Manual"/>
    <s v="Yes"/>
    <x v="0"/>
    <x v="1"/>
    <x v="2"/>
    <n v="36"/>
    <s v="Yes"/>
    <x v="2"/>
    <n v="2"/>
    <s v="$40k-60k"/>
    <n v="2"/>
    <x v="0"/>
    <n v="3"/>
    <n v="4"/>
    <n v="1"/>
  </r>
  <r>
    <n v="21713"/>
    <x v="1"/>
    <s v="Male"/>
    <n v="80000"/>
    <x v="2"/>
    <x v="4"/>
    <s v="Skilled Manual"/>
    <s v="No"/>
    <x v="0"/>
    <x v="0"/>
    <x v="2"/>
    <n v="47"/>
    <s v="No"/>
    <x v="0"/>
    <n v="3"/>
    <s v="$70k-90k"/>
    <n v="3"/>
    <x v="0"/>
    <n v="1"/>
    <n v="5"/>
    <n v="0"/>
  </r>
  <r>
    <n v="21752"/>
    <x v="0"/>
    <s v="Male"/>
    <n v="60000"/>
    <x v="1"/>
    <x v="4"/>
    <s v="Management"/>
    <s v="Yes"/>
    <x v="2"/>
    <x v="4"/>
    <x v="2"/>
    <n v="64"/>
    <s v="No"/>
    <x v="3"/>
    <n v="5"/>
    <s v="$40k-60k"/>
    <n v="2"/>
    <x v="1"/>
    <n v="5"/>
    <n v="5"/>
    <n v="0"/>
  </r>
  <r>
    <n v="27273"/>
    <x v="1"/>
    <s v="Male"/>
    <n v="70000"/>
    <x v="1"/>
    <x v="4"/>
    <s v="Professional"/>
    <s v="No"/>
    <x v="0"/>
    <x v="0"/>
    <x v="2"/>
    <n v="35"/>
    <s v="Yes"/>
    <x v="2"/>
    <n v="2"/>
    <s v="$70k-90k"/>
    <n v="3"/>
    <x v="0"/>
    <n v="1"/>
    <n v="5"/>
    <n v="1"/>
  </r>
  <r>
    <n v="22719"/>
    <x v="1"/>
    <s v="Male"/>
    <n v="110000"/>
    <x v="1"/>
    <x v="0"/>
    <s v="Management"/>
    <s v="Yes"/>
    <x v="3"/>
    <x v="1"/>
    <x v="2"/>
    <n v="40"/>
    <s v="Yes"/>
    <x v="2"/>
    <n v="2"/>
    <s v="$100k+"/>
    <n v="4"/>
    <x v="1"/>
    <n v="3"/>
    <n v="4"/>
    <n v="1"/>
  </r>
  <r>
    <n v="22042"/>
    <x v="0"/>
    <s v="Female"/>
    <n v="70000"/>
    <x v="3"/>
    <x v="1"/>
    <s v="Skilled Manual"/>
    <s v="Yes"/>
    <x v="2"/>
    <x v="2"/>
    <x v="2"/>
    <n v="34"/>
    <s v="Yes"/>
    <x v="2"/>
    <n v="2"/>
    <s v="$70k-90k"/>
    <n v="3"/>
    <x v="1"/>
    <n v="4"/>
    <n v="3"/>
    <n v="1"/>
  </r>
  <r>
    <n v="21451"/>
    <x v="0"/>
    <s v="Female"/>
    <n v="40000"/>
    <x v="5"/>
    <x v="2"/>
    <s v="Professional"/>
    <s v="Yes"/>
    <x v="2"/>
    <x v="4"/>
    <x v="2"/>
    <n v="61"/>
    <s v="No"/>
    <x v="3"/>
    <n v="5"/>
    <s v="$40k-60k"/>
    <n v="2"/>
    <x v="1"/>
    <n v="5"/>
    <n v="2"/>
    <n v="0"/>
  </r>
  <r>
    <n v="20754"/>
    <x v="0"/>
    <s v="Male"/>
    <n v="30000"/>
    <x v="4"/>
    <x v="2"/>
    <s v="Skilled Manual"/>
    <s v="Yes"/>
    <x v="2"/>
    <x v="3"/>
    <x v="2"/>
    <n v="51"/>
    <s v="No"/>
    <x v="1"/>
    <n v="4"/>
    <s v="$10k-30k"/>
    <n v="1"/>
    <x v="1"/>
    <n v="2"/>
    <n v="2"/>
    <n v="0"/>
  </r>
  <r>
    <n v="12153"/>
    <x v="1"/>
    <s v="Female"/>
    <n v="70000"/>
    <x v="1"/>
    <x v="1"/>
    <s v="Professional"/>
    <s v="Yes"/>
    <x v="1"/>
    <x v="2"/>
    <x v="2"/>
    <n v="49"/>
    <s v="Yes"/>
    <x v="0"/>
    <n v="3"/>
    <s v="$70k-90k"/>
    <n v="3"/>
    <x v="0"/>
    <n v="4"/>
    <n v="3"/>
    <n v="1"/>
  </r>
  <r>
    <n v="16895"/>
    <x v="0"/>
    <s v="Female"/>
    <n v="40000"/>
    <x v="1"/>
    <x v="1"/>
    <s v="Professional"/>
    <s v="No"/>
    <x v="2"/>
    <x v="3"/>
    <x v="2"/>
    <n v="54"/>
    <s v="Yes"/>
    <x v="1"/>
    <n v="4"/>
    <s v="$40k-60k"/>
    <n v="2"/>
    <x v="1"/>
    <n v="2"/>
    <n v="3"/>
    <n v="1"/>
  </r>
  <r>
    <n v="26728"/>
    <x v="1"/>
    <s v="Male"/>
    <n v="70000"/>
    <x v="1"/>
    <x v="4"/>
    <s v="Management"/>
    <s v="No"/>
    <x v="2"/>
    <x v="3"/>
    <x v="2"/>
    <n v="53"/>
    <s v="Yes"/>
    <x v="1"/>
    <n v="4"/>
    <s v="$70k-90k"/>
    <n v="3"/>
    <x v="1"/>
    <n v="2"/>
    <n v="5"/>
    <n v="1"/>
  </r>
  <r>
    <n v="11090"/>
    <x v="1"/>
    <s v="Male"/>
    <n v="90000"/>
    <x v="4"/>
    <x v="1"/>
    <s v="Professional"/>
    <s v="Yes"/>
    <x v="1"/>
    <x v="1"/>
    <x v="2"/>
    <n v="48"/>
    <s v="Yes"/>
    <x v="0"/>
    <n v="3"/>
    <s v="$70k-90k"/>
    <n v="3"/>
    <x v="0"/>
    <n v="3"/>
    <n v="3"/>
    <n v="1"/>
  </r>
  <r>
    <n v="15862"/>
    <x v="1"/>
    <s v="Female"/>
    <n v="50000"/>
    <x v="3"/>
    <x v="4"/>
    <s v="Skilled Manual"/>
    <s v="Yes"/>
    <x v="0"/>
    <x v="3"/>
    <x v="2"/>
    <n v="33"/>
    <s v="Yes"/>
    <x v="2"/>
    <n v="2"/>
    <s v="$40k-60k"/>
    <n v="2"/>
    <x v="0"/>
    <n v="2"/>
    <n v="5"/>
    <n v="1"/>
  </r>
  <r>
    <n v="26495"/>
    <x v="1"/>
    <s v="Female"/>
    <n v="40000"/>
    <x v="4"/>
    <x v="2"/>
    <s v="Professional"/>
    <s v="Yes"/>
    <x v="2"/>
    <x v="4"/>
    <x v="2"/>
    <n v="57"/>
    <s v="No"/>
    <x v="1"/>
    <n v="4"/>
    <s v="$40k-60k"/>
    <n v="2"/>
    <x v="1"/>
    <n v="5"/>
    <n v="2"/>
    <n v="0"/>
  </r>
  <r>
    <n v="11823"/>
    <x v="0"/>
    <s v="Female"/>
    <n v="70000"/>
    <x v="3"/>
    <x v="4"/>
    <s v="Professional"/>
    <s v="Yes"/>
    <x v="0"/>
    <x v="1"/>
    <x v="2"/>
    <n v="39"/>
    <s v="No"/>
    <x v="2"/>
    <n v="2"/>
    <s v="$70k-90k"/>
    <n v="3"/>
    <x v="0"/>
    <n v="3"/>
    <n v="5"/>
    <n v="0"/>
  </r>
  <r>
    <n v="23449"/>
    <x v="0"/>
    <s v="Male"/>
    <n v="60000"/>
    <x v="4"/>
    <x v="2"/>
    <s v="Professional"/>
    <s v="Yes"/>
    <x v="2"/>
    <x v="2"/>
    <x v="2"/>
    <n v="48"/>
    <s v="No"/>
    <x v="0"/>
    <n v="3"/>
    <s v="$40k-60k"/>
    <n v="2"/>
    <x v="1"/>
    <n v="4"/>
    <n v="2"/>
    <n v="0"/>
  </r>
  <r>
    <n v="23459"/>
    <x v="0"/>
    <s v="Male"/>
    <n v="60000"/>
    <x v="4"/>
    <x v="2"/>
    <s v="Professional"/>
    <s v="Yes"/>
    <x v="2"/>
    <x v="2"/>
    <x v="2"/>
    <n v="50"/>
    <s v="No"/>
    <x v="0"/>
    <n v="3"/>
    <s v="$40k-60k"/>
    <n v="2"/>
    <x v="1"/>
    <n v="4"/>
    <n v="2"/>
    <n v="0"/>
  </r>
  <r>
    <n v="19543"/>
    <x v="0"/>
    <s v="Male"/>
    <n v="70000"/>
    <x v="2"/>
    <x v="4"/>
    <s v="Professional"/>
    <s v="No"/>
    <x v="4"/>
    <x v="4"/>
    <x v="2"/>
    <n v="47"/>
    <s v="No"/>
    <x v="0"/>
    <n v="3"/>
    <s v="$70k-90k"/>
    <n v="3"/>
    <x v="1"/>
    <n v="5"/>
    <n v="5"/>
    <n v="0"/>
  </r>
  <r>
    <n v="14914"/>
    <x v="0"/>
    <s v="Female"/>
    <n v="40000"/>
    <x v="0"/>
    <x v="1"/>
    <s v="Clerical"/>
    <s v="Yes"/>
    <x v="1"/>
    <x v="3"/>
    <x v="2"/>
    <n v="49"/>
    <s v="Yes"/>
    <x v="0"/>
    <n v="3"/>
    <s v="$40k-60k"/>
    <n v="2"/>
    <x v="0"/>
    <n v="2"/>
    <n v="3"/>
    <n v="1"/>
  </r>
  <r>
    <n v="12033"/>
    <x v="1"/>
    <s v="Female"/>
    <n v="40000"/>
    <x v="3"/>
    <x v="2"/>
    <s v="Skilled Manual"/>
    <s v="No"/>
    <x v="2"/>
    <x v="0"/>
    <x v="2"/>
    <n v="27"/>
    <s v="Yes"/>
    <x v="4"/>
    <n v="1"/>
    <s v="$40k-60k"/>
    <n v="2"/>
    <x v="1"/>
    <n v="1"/>
    <n v="2"/>
    <n v="1"/>
  </r>
  <r>
    <n v="11941"/>
    <x v="1"/>
    <s v="Male"/>
    <n v="60000"/>
    <x v="3"/>
    <x v="1"/>
    <s v="Skilled Manual"/>
    <s v="Yes"/>
    <x v="0"/>
    <x v="2"/>
    <x v="2"/>
    <n v="29"/>
    <s v="No"/>
    <x v="4"/>
    <n v="1"/>
    <s v="$40k-60k"/>
    <n v="2"/>
    <x v="0"/>
    <n v="4"/>
    <n v="3"/>
    <n v="0"/>
  </r>
  <r>
    <n v="14389"/>
    <x v="0"/>
    <s v="Male"/>
    <n v="60000"/>
    <x v="4"/>
    <x v="0"/>
    <s v="Management"/>
    <s v="Yes"/>
    <x v="0"/>
    <x v="1"/>
    <x v="2"/>
    <n v="59"/>
    <s v="No"/>
    <x v="1"/>
    <n v="4"/>
    <s v="$40k-60k"/>
    <n v="2"/>
    <x v="0"/>
    <n v="3"/>
    <n v="4"/>
    <n v="0"/>
  </r>
  <r>
    <n v="18050"/>
    <x v="0"/>
    <s v="Female"/>
    <n v="60000"/>
    <x v="0"/>
    <x v="1"/>
    <s v="Skilled Manual"/>
    <s v="Yes"/>
    <x v="1"/>
    <x v="0"/>
    <x v="2"/>
    <n v="45"/>
    <s v="Yes"/>
    <x v="0"/>
    <n v="3"/>
    <s v="$40k-60k"/>
    <n v="2"/>
    <x v="0"/>
    <n v="1"/>
    <n v="3"/>
    <n v="1"/>
  </r>
  <r>
    <n v="19856"/>
    <x v="0"/>
    <s v="Female"/>
    <n v="60000"/>
    <x v="5"/>
    <x v="0"/>
    <s v="Management"/>
    <s v="Yes"/>
    <x v="2"/>
    <x v="1"/>
    <x v="2"/>
    <n v="60"/>
    <s v="No"/>
    <x v="1"/>
    <n v="4"/>
    <s v="$40k-60k"/>
    <n v="2"/>
    <x v="1"/>
    <n v="3"/>
    <n v="4"/>
    <n v="0"/>
  </r>
  <r>
    <n v="11663"/>
    <x v="0"/>
    <s v="Male"/>
    <n v="70000"/>
    <x v="5"/>
    <x v="4"/>
    <s v="Professional"/>
    <s v="Yes"/>
    <x v="0"/>
    <x v="0"/>
    <x v="2"/>
    <n v="36"/>
    <s v="Yes"/>
    <x v="2"/>
    <n v="2"/>
    <s v="$70k-90k"/>
    <n v="3"/>
    <x v="0"/>
    <n v="1"/>
    <n v="5"/>
    <n v="1"/>
  </r>
  <r>
    <n v="27740"/>
    <x v="0"/>
    <s v="Female"/>
    <n v="40000"/>
    <x v="3"/>
    <x v="2"/>
    <s v="Skilled Manual"/>
    <s v="Yes"/>
    <x v="2"/>
    <x v="2"/>
    <x v="2"/>
    <n v="27"/>
    <s v="No"/>
    <x v="4"/>
    <n v="1"/>
    <s v="$40k-60k"/>
    <n v="2"/>
    <x v="1"/>
    <n v="4"/>
    <n v="2"/>
    <n v="0"/>
  </r>
  <r>
    <n v="23455"/>
    <x v="1"/>
    <s v="Male"/>
    <n v="80000"/>
    <x v="4"/>
    <x v="3"/>
    <s v="Skilled Manual"/>
    <s v="No"/>
    <x v="2"/>
    <x v="3"/>
    <x v="2"/>
    <n v="50"/>
    <s v="No"/>
    <x v="0"/>
    <n v="3"/>
    <s v="$70k-90k"/>
    <n v="3"/>
    <x v="1"/>
    <n v="2"/>
    <n v="1"/>
    <n v="0"/>
  </r>
  <r>
    <n v="15292"/>
    <x v="1"/>
    <s v="Female"/>
    <n v="60000"/>
    <x v="0"/>
    <x v="4"/>
    <s v="Skilled Manual"/>
    <s v="Yes"/>
    <x v="0"/>
    <x v="3"/>
    <x v="2"/>
    <n v="35"/>
    <s v="No"/>
    <x v="2"/>
    <n v="2"/>
    <s v="$40k-60k"/>
    <n v="2"/>
    <x v="0"/>
    <n v="2"/>
    <n v="5"/>
    <n v="0"/>
  </r>
  <r>
    <n v="21587"/>
    <x v="0"/>
    <s v="Female"/>
    <n v="60000"/>
    <x v="0"/>
    <x v="4"/>
    <s v="Skilled Manual"/>
    <s v="Yes"/>
    <x v="0"/>
    <x v="1"/>
    <x v="2"/>
    <n v="34"/>
    <s v="Yes"/>
    <x v="2"/>
    <n v="2"/>
    <s v="$40k-60k"/>
    <n v="2"/>
    <x v="0"/>
    <n v="3"/>
    <n v="5"/>
    <n v="1"/>
  </r>
  <r>
    <n v="23513"/>
    <x v="0"/>
    <s v="Female"/>
    <n v="40000"/>
    <x v="1"/>
    <x v="1"/>
    <s v="Professional"/>
    <s v="Yes"/>
    <x v="2"/>
    <x v="2"/>
    <x v="2"/>
    <n v="54"/>
    <s v="No"/>
    <x v="1"/>
    <n v="4"/>
    <s v="$40k-60k"/>
    <n v="2"/>
    <x v="1"/>
    <n v="4"/>
    <n v="3"/>
    <n v="0"/>
  </r>
  <r>
    <n v="24322"/>
    <x v="0"/>
    <s v="Female"/>
    <n v="60000"/>
    <x v="5"/>
    <x v="0"/>
    <s v="Skilled Manual"/>
    <s v="No"/>
    <x v="2"/>
    <x v="0"/>
    <x v="2"/>
    <n v="42"/>
    <s v="No"/>
    <x v="0"/>
    <n v="3"/>
    <s v="$40k-60k"/>
    <n v="2"/>
    <x v="1"/>
    <n v="1"/>
    <n v="4"/>
    <n v="0"/>
  </r>
  <r>
    <n v="26298"/>
    <x v="0"/>
    <s v="Female"/>
    <n v="50000"/>
    <x v="0"/>
    <x v="0"/>
    <s v="Skilled Manual"/>
    <s v="Yes"/>
    <x v="0"/>
    <x v="1"/>
    <x v="2"/>
    <n v="34"/>
    <s v="Yes"/>
    <x v="2"/>
    <n v="2"/>
    <s v="$40k-60k"/>
    <n v="2"/>
    <x v="0"/>
    <n v="3"/>
    <n v="4"/>
    <n v="1"/>
  </r>
  <r>
    <n v="25419"/>
    <x v="1"/>
    <s v="Male"/>
    <n v="50000"/>
    <x v="4"/>
    <x v="0"/>
    <s v="Skilled Manual"/>
    <s v="No"/>
    <x v="1"/>
    <x v="0"/>
    <x v="2"/>
    <n v="38"/>
    <s v="Yes"/>
    <x v="2"/>
    <n v="2"/>
    <s v="$40k-60k"/>
    <n v="2"/>
    <x v="0"/>
    <n v="1"/>
    <n v="4"/>
    <n v="1"/>
  </r>
  <r>
    <n v="13343"/>
    <x v="0"/>
    <s v="Female"/>
    <n v="90000"/>
    <x v="2"/>
    <x v="0"/>
    <s v="Management"/>
    <s v="Yes"/>
    <x v="2"/>
    <x v="3"/>
    <x v="2"/>
    <n v="63"/>
    <s v="Yes"/>
    <x v="3"/>
    <n v="5"/>
    <s v="$70k-90k"/>
    <n v="3"/>
    <x v="1"/>
    <n v="2"/>
    <n v="4"/>
    <n v="1"/>
  </r>
  <r>
    <n v="11303"/>
    <x v="1"/>
    <s v="Female"/>
    <n v="90000"/>
    <x v="5"/>
    <x v="2"/>
    <s v="Professional"/>
    <s v="No"/>
    <x v="4"/>
    <x v="3"/>
    <x v="2"/>
    <n v="45"/>
    <s v="Yes"/>
    <x v="0"/>
    <n v="3"/>
    <s v="$70k-90k"/>
    <n v="3"/>
    <x v="1"/>
    <n v="2"/>
    <n v="2"/>
    <n v="1"/>
  </r>
  <r>
    <n v="21693"/>
    <x v="1"/>
    <s v="Female"/>
    <n v="60000"/>
    <x v="3"/>
    <x v="4"/>
    <s v="Skilled Manual"/>
    <s v="No"/>
    <x v="0"/>
    <x v="0"/>
    <x v="2"/>
    <n v="40"/>
    <s v="No"/>
    <x v="2"/>
    <n v="2"/>
    <s v="$40k-60k"/>
    <n v="2"/>
    <x v="0"/>
    <n v="1"/>
    <n v="5"/>
    <n v="0"/>
  </r>
  <r>
    <n v="28056"/>
    <x v="0"/>
    <s v="Male"/>
    <n v="70000"/>
    <x v="4"/>
    <x v="3"/>
    <s v="Skilled Manual"/>
    <s v="Yes"/>
    <x v="2"/>
    <x v="4"/>
    <x v="2"/>
    <n v="53"/>
    <s v="No"/>
    <x v="1"/>
    <n v="4"/>
    <s v="$70k-90k"/>
    <n v="3"/>
    <x v="1"/>
    <n v="5"/>
    <n v="1"/>
    <n v="0"/>
  </r>
  <r>
    <n v="11788"/>
    <x v="1"/>
    <s v="Female"/>
    <n v="70000"/>
    <x v="0"/>
    <x v="4"/>
    <s v="Professional"/>
    <s v="Yes"/>
    <x v="0"/>
    <x v="1"/>
    <x v="2"/>
    <n v="34"/>
    <s v="No"/>
    <x v="2"/>
    <n v="2"/>
    <s v="$70k-90k"/>
    <n v="3"/>
    <x v="0"/>
    <n v="3"/>
    <n v="5"/>
    <n v="0"/>
  </r>
  <r>
    <n v="22296"/>
    <x v="0"/>
    <s v="Male"/>
    <n v="70000"/>
    <x v="3"/>
    <x v="0"/>
    <s v="Professional"/>
    <s v="No"/>
    <x v="1"/>
    <x v="0"/>
    <x v="2"/>
    <n v="38"/>
    <s v="No"/>
    <x v="2"/>
    <n v="2"/>
    <s v="$70k-90k"/>
    <n v="3"/>
    <x v="0"/>
    <n v="1"/>
    <n v="4"/>
    <n v="0"/>
  </r>
  <r>
    <n v="15319"/>
    <x v="0"/>
    <s v="Female"/>
    <n v="70000"/>
    <x v="5"/>
    <x v="0"/>
    <s v="Management"/>
    <s v="No"/>
    <x v="1"/>
    <x v="3"/>
    <x v="2"/>
    <n v="59"/>
    <s v="No"/>
    <x v="1"/>
    <n v="4"/>
    <s v="$70k-90k"/>
    <n v="3"/>
    <x v="0"/>
    <n v="2"/>
    <n v="4"/>
    <n v="0"/>
  </r>
  <r>
    <n v="17654"/>
    <x v="1"/>
    <s v="Female"/>
    <n v="40000"/>
    <x v="1"/>
    <x v="1"/>
    <s v="Clerical"/>
    <s v="Yes"/>
    <x v="1"/>
    <x v="3"/>
    <x v="2"/>
    <n v="30"/>
    <s v="Yes"/>
    <x v="4"/>
    <n v="1"/>
    <s v="$40k-60k"/>
    <n v="2"/>
    <x v="0"/>
    <n v="2"/>
    <n v="3"/>
    <n v="1"/>
  </r>
  <r>
    <n v="14662"/>
    <x v="0"/>
    <s v="Male"/>
    <n v="60000"/>
    <x v="0"/>
    <x v="0"/>
    <s v="Professional"/>
    <s v="Yes"/>
    <x v="1"/>
    <x v="0"/>
    <x v="2"/>
    <n v="48"/>
    <s v="Yes"/>
    <x v="0"/>
    <n v="3"/>
    <s v="$40k-60k"/>
    <n v="2"/>
    <x v="0"/>
    <n v="1"/>
    <n v="4"/>
    <n v="1"/>
  </r>
  <r>
    <n v="17541"/>
    <x v="0"/>
    <s v="Female"/>
    <n v="40000"/>
    <x v="5"/>
    <x v="2"/>
    <s v="Skilled Manual"/>
    <s v="Yes"/>
    <x v="2"/>
    <x v="1"/>
    <x v="2"/>
    <n v="43"/>
    <s v="No"/>
    <x v="0"/>
    <n v="3"/>
    <s v="$40k-60k"/>
    <n v="2"/>
    <x v="1"/>
    <n v="3"/>
    <n v="2"/>
    <n v="0"/>
  </r>
  <r>
    <n v="13886"/>
    <x v="0"/>
    <s v="Female"/>
    <n v="70000"/>
    <x v="5"/>
    <x v="4"/>
    <s v="Professional"/>
    <s v="Yes"/>
    <x v="0"/>
    <x v="1"/>
    <x v="2"/>
    <n v="35"/>
    <s v="Yes"/>
    <x v="2"/>
    <n v="2"/>
    <s v="$70k-90k"/>
    <n v="3"/>
    <x v="0"/>
    <n v="3"/>
    <n v="5"/>
    <n v="1"/>
  </r>
  <r>
    <n v="13073"/>
    <x v="0"/>
    <s v="Female"/>
    <n v="60000"/>
    <x v="3"/>
    <x v="1"/>
    <s v="Professional"/>
    <s v="Yes"/>
    <x v="2"/>
    <x v="2"/>
    <x v="2"/>
    <n v="30"/>
    <s v="No"/>
    <x v="4"/>
    <n v="1"/>
    <s v="$40k-60k"/>
    <n v="2"/>
    <x v="1"/>
    <n v="4"/>
    <n v="3"/>
    <n v="0"/>
  </r>
  <r>
    <n v="21940"/>
    <x v="0"/>
    <s v="Male"/>
    <n v="90000"/>
    <x v="2"/>
    <x v="4"/>
    <s v="Professional"/>
    <s v="Yes"/>
    <x v="0"/>
    <x v="0"/>
    <x v="2"/>
    <n v="47"/>
    <s v="Yes"/>
    <x v="0"/>
    <n v="3"/>
    <s v="$70k-90k"/>
    <n v="3"/>
    <x v="0"/>
    <n v="1"/>
    <n v="5"/>
    <n v="1"/>
  </r>
  <r>
    <n v="20196"/>
    <x v="0"/>
    <s v="Male"/>
    <n v="60000"/>
    <x v="0"/>
    <x v="1"/>
    <s v="Skilled Manual"/>
    <s v="Yes"/>
    <x v="1"/>
    <x v="1"/>
    <x v="2"/>
    <n v="45"/>
    <s v="Yes"/>
    <x v="0"/>
    <n v="3"/>
    <s v="$40k-60k"/>
    <n v="2"/>
    <x v="0"/>
    <n v="3"/>
    <n v="3"/>
    <n v="1"/>
  </r>
  <r>
    <n v="23491"/>
    <x v="1"/>
    <s v="Male"/>
    <n v="100000"/>
    <x v="3"/>
    <x v="1"/>
    <s v="Professional"/>
    <s v="No"/>
    <x v="3"/>
    <x v="3"/>
    <x v="2"/>
    <n v="45"/>
    <s v="No"/>
    <x v="0"/>
    <n v="3"/>
    <s v="$100k+"/>
    <n v="4"/>
    <x v="1"/>
    <n v="2"/>
    <n v="3"/>
    <n v="0"/>
  </r>
  <r>
    <n v="16651"/>
    <x v="0"/>
    <s v="Female"/>
    <n v="120000"/>
    <x v="4"/>
    <x v="0"/>
    <s v="Management"/>
    <s v="Yes"/>
    <x v="4"/>
    <x v="2"/>
    <x v="2"/>
    <n v="62"/>
    <s v="No"/>
    <x v="3"/>
    <n v="5"/>
    <s v="$100k+"/>
    <n v="4"/>
    <x v="1"/>
    <n v="4"/>
    <n v="4"/>
    <n v="0"/>
  </r>
  <r>
    <n v="16813"/>
    <x v="0"/>
    <s v="Male"/>
    <n v="60000"/>
    <x v="4"/>
    <x v="1"/>
    <s v="Professional"/>
    <s v="Yes"/>
    <x v="2"/>
    <x v="4"/>
    <x v="2"/>
    <n v="55"/>
    <s v="No"/>
    <x v="1"/>
    <n v="4"/>
    <s v="$40k-60k"/>
    <n v="2"/>
    <x v="1"/>
    <n v="5"/>
    <n v="3"/>
    <n v="0"/>
  </r>
  <r>
    <n v="16007"/>
    <x v="0"/>
    <s v="Female"/>
    <n v="90000"/>
    <x v="2"/>
    <x v="0"/>
    <s v="Management"/>
    <s v="Yes"/>
    <x v="2"/>
    <x v="3"/>
    <x v="2"/>
    <n v="66"/>
    <s v="Yes"/>
    <x v="3"/>
    <n v="5"/>
    <s v="$70k-90k"/>
    <n v="3"/>
    <x v="1"/>
    <n v="2"/>
    <n v="4"/>
    <n v="1"/>
  </r>
  <r>
    <n v="27434"/>
    <x v="1"/>
    <s v="Male"/>
    <n v="70000"/>
    <x v="5"/>
    <x v="1"/>
    <s v="Professional"/>
    <s v="Yes"/>
    <x v="1"/>
    <x v="4"/>
    <x v="2"/>
    <n v="56"/>
    <s v="No"/>
    <x v="1"/>
    <n v="4"/>
    <s v="$70k-90k"/>
    <n v="3"/>
    <x v="0"/>
    <n v="5"/>
    <n v="3"/>
    <n v="0"/>
  </r>
  <r>
    <n v="27756"/>
    <x v="1"/>
    <s v="Female"/>
    <n v="50000"/>
    <x v="1"/>
    <x v="0"/>
    <s v="Skilled Manual"/>
    <s v="No"/>
    <x v="1"/>
    <x v="0"/>
    <x v="2"/>
    <n v="40"/>
    <s v="No"/>
    <x v="2"/>
    <n v="2"/>
    <s v="$40k-60k"/>
    <n v="2"/>
    <x v="0"/>
    <n v="1"/>
    <n v="4"/>
    <n v="0"/>
  </r>
  <r>
    <n v="23818"/>
    <x v="0"/>
    <s v="Female"/>
    <n v="50000"/>
    <x v="3"/>
    <x v="4"/>
    <s v="Skilled Manual"/>
    <s v="Yes"/>
    <x v="0"/>
    <x v="3"/>
    <x v="2"/>
    <n v="33"/>
    <s v="Yes"/>
    <x v="2"/>
    <n v="2"/>
    <s v="$40k-60k"/>
    <n v="2"/>
    <x v="0"/>
    <n v="2"/>
    <n v="5"/>
    <n v="1"/>
  </r>
  <r>
    <n v="19012"/>
    <x v="0"/>
    <s v="Male"/>
    <n v="80000"/>
    <x v="1"/>
    <x v="0"/>
    <s v="Management"/>
    <s v="Yes"/>
    <x v="1"/>
    <x v="3"/>
    <x v="2"/>
    <n v="56"/>
    <s v="No"/>
    <x v="1"/>
    <n v="4"/>
    <s v="$70k-90k"/>
    <n v="3"/>
    <x v="0"/>
    <n v="2"/>
    <n v="4"/>
    <n v="0"/>
  </r>
  <r>
    <n v="18329"/>
    <x v="1"/>
    <s v="Male"/>
    <n v="30000"/>
    <x v="3"/>
    <x v="3"/>
    <s v="Clerical"/>
    <s v="No"/>
    <x v="2"/>
    <x v="2"/>
    <x v="2"/>
    <n v="27"/>
    <s v="No"/>
    <x v="4"/>
    <n v="1"/>
    <s v="$10k-30k"/>
    <n v="1"/>
    <x v="1"/>
    <n v="4"/>
    <n v="1"/>
    <n v="0"/>
  </r>
  <r>
    <n v="29037"/>
    <x v="0"/>
    <s v="Male"/>
    <n v="60000"/>
    <x v="3"/>
    <x v="4"/>
    <s v="Professional"/>
    <s v="No"/>
    <x v="0"/>
    <x v="0"/>
    <x v="2"/>
    <n v="39"/>
    <s v="No"/>
    <x v="2"/>
    <n v="2"/>
    <s v="$40k-60k"/>
    <n v="2"/>
    <x v="0"/>
    <n v="1"/>
    <n v="5"/>
    <n v="0"/>
  </r>
  <r>
    <n v="26576"/>
    <x v="0"/>
    <s v="Female"/>
    <n v="60000"/>
    <x v="3"/>
    <x v="1"/>
    <s v="Skilled Manual"/>
    <s v="Yes"/>
    <x v="2"/>
    <x v="2"/>
    <x v="2"/>
    <n v="31"/>
    <s v="No"/>
    <x v="2"/>
    <n v="2"/>
    <s v="$40k-60k"/>
    <n v="2"/>
    <x v="1"/>
    <n v="4"/>
    <n v="3"/>
    <n v="0"/>
  </r>
  <r>
    <n v="12192"/>
    <x v="1"/>
    <s v="Female"/>
    <n v="60000"/>
    <x v="4"/>
    <x v="3"/>
    <s v="Skilled Manual"/>
    <s v="No"/>
    <x v="2"/>
    <x v="3"/>
    <x v="2"/>
    <n v="51"/>
    <s v="No"/>
    <x v="1"/>
    <n v="4"/>
    <s v="$40k-60k"/>
    <n v="2"/>
    <x v="1"/>
    <n v="2"/>
    <n v="1"/>
    <n v="0"/>
  </r>
  <r>
    <n v="14887"/>
    <x v="0"/>
    <s v="Female"/>
    <n v="30000"/>
    <x v="0"/>
    <x v="2"/>
    <s v="Clerical"/>
    <s v="Yes"/>
    <x v="1"/>
    <x v="2"/>
    <x v="2"/>
    <n v="52"/>
    <s v="No"/>
    <x v="1"/>
    <n v="4"/>
    <s v="$10k-30k"/>
    <n v="1"/>
    <x v="0"/>
    <n v="4"/>
    <n v="2"/>
    <n v="0"/>
  </r>
  <r>
    <n v="11734"/>
    <x v="0"/>
    <s v="Male"/>
    <n v="60000"/>
    <x v="0"/>
    <x v="1"/>
    <s v="Skilled Manual"/>
    <s v="No"/>
    <x v="1"/>
    <x v="0"/>
    <x v="2"/>
    <n v="47"/>
    <s v="No"/>
    <x v="0"/>
    <n v="3"/>
    <s v="$40k-60k"/>
    <n v="2"/>
    <x v="0"/>
    <n v="1"/>
    <n v="3"/>
    <n v="0"/>
  </r>
  <r>
    <n v="17462"/>
    <x v="0"/>
    <s v="Male"/>
    <n v="70000"/>
    <x v="1"/>
    <x v="4"/>
    <s v="Management"/>
    <s v="Yes"/>
    <x v="2"/>
    <x v="2"/>
    <x v="2"/>
    <n v="53"/>
    <s v="Yes"/>
    <x v="1"/>
    <n v="4"/>
    <s v="$70k-90k"/>
    <n v="3"/>
    <x v="1"/>
    <n v="4"/>
    <n v="5"/>
    <n v="1"/>
  </r>
  <r>
    <n v="20659"/>
    <x v="0"/>
    <s v="Male"/>
    <n v="70000"/>
    <x v="1"/>
    <x v="4"/>
    <s v="Professional"/>
    <s v="Yes"/>
    <x v="0"/>
    <x v="0"/>
    <x v="2"/>
    <n v="35"/>
    <s v="Yes"/>
    <x v="2"/>
    <n v="2"/>
    <s v="$70k-90k"/>
    <n v="3"/>
    <x v="0"/>
    <n v="1"/>
    <n v="5"/>
    <n v="1"/>
  </r>
  <r>
    <n v="28004"/>
    <x v="0"/>
    <s v="Female"/>
    <n v="60000"/>
    <x v="1"/>
    <x v="0"/>
    <s v="Management"/>
    <s v="Yes"/>
    <x v="2"/>
    <x v="4"/>
    <x v="2"/>
    <n v="66"/>
    <s v="No"/>
    <x v="3"/>
    <n v="5"/>
    <s v="$40k-60k"/>
    <n v="2"/>
    <x v="1"/>
    <n v="5"/>
    <n v="4"/>
    <n v="0"/>
  </r>
  <r>
    <n v="19741"/>
    <x v="1"/>
    <s v="Female"/>
    <n v="80000"/>
    <x v="5"/>
    <x v="4"/>
    <s v="Management"/>
    <s v="Yes"/>
    <x v="2"/>
    <x v="2"/>
    <x v="2"/>
    <n v="65"/>
    <s v="No"/>
    <x v="3"/>
    <n v="5"/>
    <s v="$70k-90k"/>
    <n v="3"/>
    <x v="1"/>
    <n v="4"/>
    <n v="5"/>
    <n v="0"/>
  </r>
  <r>
    <n v="17450"/>
    <x v="0"/>
    <s v="Male"/>
    <n v="80000"/>
    <x v="2"/>
    <x v="1"/>
    <s v="Professional"/>
    <s v="Yes"/>
    <x v="4"/>
    <x v="2"/>
    <x v="2"/>
    <n v="45"/>
    <s v="No"/>
    <x v="0"/>
    <n v="3"/>
    <s v="$70k-90k"/>
    <n v="3"/>
    <x v="1"/>
    <n v="4"/>
    <n v="3"/>
    <n v="0"/>
  </r>
  <r>
    <n v="17337"/>
    <x v="1"/>
    <s v="Male"/>
    <n v="40000"/>
    <x v="3"/>
    <x v="2"/>
    <s v="Skilled Manual"/>
    <s v="Yes"/>
    <x v="1"/>
    <x v="2"/>
    <x v="2"/>
    <n v="31"/>
    <s v="No"/>
    <x v="2"/>
    <n v="2"/>
    <s v="$40k-60k"/>
    <n v="2"/>
    <x v="0"/>
    <n v="4"/>
    <n v="2"/>
    <n v="0"/>
  </r>
  <r>
    <n v="18594"/>
    <x v="1"/>
    <s v="Female"/>
    <n v="80000"/>
    <x v="1"/>
    <x v="0"/>
    <s v="Skilled Manual"/>
    <s v="Yes"/>
    <x v="4"/>
    <x v="4"/>
    <x v="2"/>
    <n v="40"/>
    <s v="Yes"/>
    <x v="2"/>
    <n v="2"/>
    <s v="$70k-90k"/>
    <n v="3"/>
    <x v="1"/>
    <n v="5"/>
    <n v="4"/>
    <n v="1"/>
  </r>
  <r>
    <n v="15982"/>
    <x v="0"/>
    <s v="Male"/>
    <n v="110000"/>
    <x v="2"/>
    <x v="1"/>
    <s v="Professional"/>
    <s v="Yes"/>
    <x v="3"/>
    <x v="1"/>
    <x v="2"/>
    <n v="46"/>
    <s v="No"/>
    <x v="0"/>
    <n v="3"/>
    <s v="$100k+"/>
    <n v="4"/>
    <x v="1"/>
    <n v="3"/>
    <n v="3"/>
    <n v="0"/>
  </r>
  <r>
    <n v="28625"/>
    <x v="1"/>
    <s v="Male"/>
    <n v="40000"/>
    <x v="4"/>
    <x v="1"/>
    <s v="Clerical"/>
    <s v="No"/>
    <x v="1"/>
    <x v="3"/>
    <x v="2"/>
    <n v="47"/>
    <s v="Yes"/>
    <x v="0"/>
    <n v="3"/>
    <s v="$40k-60k"/>
    <n v="2"/>
    <x v="0"/>
    <n v="2"/>
    <n v="3"/>
    <n v="1"/>
  </r>
  <r>
    <n v="11269"/>
    <x v="0"/>
    <s v="Male"/>
    <n v="130000"/>
    <x v="4"/>
    <x v="4"/>
    <s v="Management"/>
    <s v="Yes"/>
    <x v="2"/>
    <x v="0"/>
    <x v="2"/>
    <n v="41"/>
    <s v="No"/>
    <x v="0"/>
    <n v="3"/>
    <s v="$100k+"/>
    <n v="4"/>
    <x v="1"/>
    <n v="1"/>
    <n v="5"/>
    <n v="0"/>
  </r>
  <r>
    <n v="25148"/>
    <x v="0"/>
    <s v="Male"/>
    <n v="60000"/>
    <x v="4"/>
    <x v="2"/>
    <s v="Professional"/>
    <s v="No"/>
    <x v="2"/>
    <x v="3"/>
    <x v="2"/>
    <n v="48"/>
    <s v="Yes"/>
    <x v="0"/>
    <n v="3"/>
    <s v="$40k-60k"/>
    <n v="2"/>
    <x v="1"/>
    <n v="2"/>
    <n v="2"/>
    <n v="1"/>
  </r>
  <r>
    <n v="13920"/>
    <x v="1"/>
    <s v="Female"/>
    <n v="50000"/>
    <x v="5"/>
    <x v="0"/>
    <s v="Skilled Manual"/>
    <s v="Yes"/>
    <x v="2"/>
    <x v="0"/>
    <x v="2"/>
    <n v="42"/>
    <s v="No"/>
    <x v="0"/>
    <n v="3"/>
    <s v="$40k-60k"/>
    <n v="2"/>
    <x v="1"/>
    <n v="1"/>
    <n v="4"/>
    <n v="0"/>
  </r>
  <r>
    <n v="23704"/>
    <x v="1"/>
    <s v="Male"/>
    <n v="40000"/>
    <x v="2"/>
    <x v="2"/>
    <s v="Professional"/>
    <s v="Yes"/>
    <x v="3"/>
    <x v="4"/>
    <x v="2"/>
    <n v="60"/>
    <s v="Yes"/>
    <x v="1"/>
    <n v="4"/>
    <s v="$40k-60k"/>
    <n v="2"/>
    <x v="1"/>
    <n v="5"/>
    <n v="2"/>
    <n v="1"/>
  </r>
  <r>
    <n v="28972"/>
    <x v="1"/>
    <s v="Female"/>
    <n v="60000"/>
    <x v="1"/>
    <x v="4"/>
    <s v="Management"/>
    <s v="Yes"/>
    <x v="2"/>
    <x v="4"/>
    <x v="2"/>
    <n v="66"/>
    <s v="No"/>
    <x v="3"/>
    <n v="5"/>
    <s v="$40k-60k"/>
    <n v="2"/>
    <x v="1"/>
    <n v="5"/>
    <n v="5"/>
    <n v="0"/>
  </r>
  <r>
    <n v="22730"/>
    <x v="0"/>
    <s v="Male"/>
    <n v="70000"/>
    <x v="2"/>
    <x v="0"/>
    <s v="Management"/>
    <s v="Yes"/>
    <x v="2"/>
    <x v="4"/>
    <x v="2"/>
    <n v="63"/>
    <s v="No"/>
    <x v="3"/>
    <n v="5"/>
    <s v="$70k-90k"/>
    <n v="3"/>
    <x v="1"/>
    <n v="5"/>
    <n v="4"/>
    <n v="0"/>
  </r>
  <r>
    <n v="29134"/>
    <x v="0"/>
    <s v="Male"/>
    <n v="60000"/>
    <x v="5"/>
    <x v="0"/>
    <s v="Skilled Manual"/>
    <s v="No"/>
    <x v="4"/>
    <x v="4"/>
    <x v="2"/>
    <n v="42"/>
    <s v="No"/>
    <x v="0"/>
    <n v="3"/>
    <s v="$40k-60k"/>
    <n v="2"/>
    <x v="1"/>
    <n v="5"/>
    <n v="4"/>
    <n v="0"/>
  </r>
  <r>
    <n v="14332"/>
    <x v="1"/>
    <s v="Female"/>
    <n v="30000"/>
    <x v="3"/>
    <x v="2"/>
    <s v="Skilled Manual"/>
    <s v="No"/>
    <x v="2"/>
    <x v="2"/>
    <x v="2"/>
    <n v="26"/>
    <s v="No"/>
    <x v="4"/>
    <n v="1"/>
    <s v="$10k-30k"/>
    <n v="1"/>
    <x v="1"/>
    <n v="4"/>
    <n v="2"/>
    <n v="0"/>
  </r>
  <r>
    <n v="19117"/>
    <x v="1"/>
    <s v="Female"/>
    <n v="60000"/>
    <x v="0"/>
    <x v="4"/>
    <s v="Professional"/>
    <s v="Yes"/>
    <x v="0"/>
    <x v="1"/>
    <x v="2"/>
    <n v="36"/>
    <s v="Yes"/>
    <x v="2"/>
    <n v="2"/>
    <s v="$40k-60k"/>
    <n v="2"/>
    <x v="0"/>
    <n v="3"/>
    <n v="5"/>
    <n v="1"/>
  </r>
  <r>
    <n v="22864"/>
    <x v="0"/>
    <s v="Male"/>
    <n v="90000"/>
    <x v="4"/>
    <x v="1"/>
    <s v="Professional"/>
    <s v="No"/>
    <x v="0"/>
    <x v="2"/>
    <x v="2"/>
    <n v="49"/>
    <s v="Yes"/>
    <x v="0"/>
    <n v="3"/>
    <s v="$70k-90k"/>
    <n v="3"/>
    <x v="0"/>
    <n v="4"/>
    <n v="3"/>
    <n v="1"/>
  </r>
  <r>
    <n v="11292"/>
    <x v="1"/>
    <s v="Male"/>
    <n v="150000"/>
    <x v="0"/>
    <x v="1"/>
    <s v="Professional"/>
    <s v="No"/>
    <x v="4"/>
    <x v="0"/>
    <x v="2"/>
    <n v="44"/>
    <s v="Yes"/>
    <x v="0"/>
    <n v="3"/>
    <s v="$100k+"/>
    <n v="4"/>
    <x v="1"/>
    <n v="1"/>
    <n v="3"/>
    <n v="1"/>
  </r>
  <r>
    <n v="13466"/>
    <x v="0"/>
    <s v="Male"/>
    <n v="80000"/>
    <x v="2"/>
    <x v="1"/>
    <s v="Professional"/>
    <s v="Yes"/>
    <x v="4"/>
    <x v="3"/>
    <x v="2"/>
    <n v="46"/>
    <s v="No"/>
    <x v="0"/>
    <n v="3"/>
    <s v="$70k-90k"/>
    <n v="3"/>
    <x v="1"/>
    <n v="2"/>
    <n v="3"/>
    <n v="0"/>
  </r>
  <r>
    <n v="23731"/>
    <x v="0"/>
    <s v="Male"/>
    <n v="60000"/>
    <x v="4"/>
    <x v="2"/>
    <s v="Professional"/>
    <s v="Yes"/>
    <x v="2"/>
    <x v="1"/>
    <x v="2"/>
    <n v="54"/>
    <s v="Yes"/>
    <x v="1"/>
    <n v="4"/>
    <s v="$40k-60k"/>
    <n v="2"/>
    <x v="1"/>
    <n v="3"/>
    <n v="2"/>
    <n v="1"/>
  </r>
  <r>
    <n v="28672"/>
    <x v="1"/>
    <s v="Male"/>
    <n v="70000"/>
    <x v="5"/>
    <x v="4"/>
    <s v="Professional"/>
    <s v="Yes"/>
    <x v="0"/>
    <x v="1"/>
    <x v="2"/>
    <n v="35"/>
    <s v="Yes"/>
    <x v="2"/>
    <n v="2"/>
    <s v="$70k-90k"/>
    <n v="3"/>
    <x v="0"/>
    <n v="3"/>
    <n v="5"/>
    <n v="1"/>
  </r>
  <r>
    <n v="11809"/>
    <x v="0"/>
    <s v="Male"/>
    <n v="60000"/>
    <x v="4"/>
    <x v="0"/>
    <s v="Skilled Manual"/>
    <s v="Yes"/>
    <x v="0"/>
    <x v="0"/>
    <x v="2"/>
    <n v="38"/>
    <s v="Yes"/>
    <x v="2"/>
    <n v="2"/>
    <s v="$40k-60k"/>
    <n v="2"/>
    <x v="0"/>
    <n v="1"/>
    <n v="4"/>
    <n v="1"/>
  </r>
  <r>
    <n v="19664"/>
    <x v="1"/>
    <s v="Male"/>
    <n v="100000"/>
    <x v="1"/>
    <x v="0"/>
    <s v="Management"/>
    <s v="No"/>
    <x v="4"/>
    <x v="3"/>
    <x v="2"/>
    <n v="38"/>
    <s v="No"/>
    <x v="2"/>
    <n v="2"/>
    <s v="$100k+"/>
    <n v="4"/>
    <x v="1"/>
    <n v="2"/>
    <n v="4"/>
    <n v="0"/>
  </r>
  <r>
    <n v="12121"/>
    <x v="1"/>
    <s v="Male"/>
    <n v="60000"/>
    <x v="1"/>
    <x v="2"/>
    <s v="Professional"/>
    <s v="Yes"/>
    <x v="2"/>
    <x v="4"/>
    <x v="2"/>
    <n v="53"/>
    <s v="Yes"/>
    <x v="1"/>
    <n v="4"/>
    <s v="$40k-60k"/>
    <n v="2"/>
    <x v="1"/>
    <n v="5"/>
    <n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39CBDC-DFFA-4D65-83EB-1F75F8D4CEA4}" name="pt_CarOwnN"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9:B81" firstHeaderRow="1" firstDataRow="1" firstDataCol="1"/>
  <pivotFields count="21">
    <pivotField dataField="1"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s>
  <rowFields count="1">
    <field x="17"/>
  </rowFields>
  <rowItems count="2">
    <i>
      <x/>
    </i>
    <i>
      <x v="1"/>
    </i>
  </rowItems>
  <colItems count="1">
    <i/>
  </colItems>
  <dataFields count="1">
    <dataField name="Customer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6B244-5899-4A54-AA1E-3972464BB2BB}" name="pt_CommuteN"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9:B74" firstHeaderRow="1" firstDataRow="1" firstDataCol="1"/>
  <pivotFields count="21">
    <pivotField dataField="1"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5">
    <i>
      <x/>
    </i>
    <i>
      <x v="1"/>
    </i>
    <i>
      <x v="2"/>
    </i>
    <i>
      <x v="3"/>
    </i>
    <i>
      <x v="4"/>
    </i>
  </rowItems>
  <colItems count="1">
    <i/>
  </colItems>
  <dataFields count="1">
    <dataField name="Customer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F41E39-F75E-41EE-81C1-7919B4700BA4}" name="pt_AgeN"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9:B64" firstHeaderRow="1" firstDataRow="1" firstDataCol="1"/>
  <pivotFields count="21">
    <pivotField dataField="1"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Row" compact="0" outline="0" showAll="0">
      <items count="6">
        <item x="4"/>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5">
    <i>
      <x/>
    </i>
    <i>
      <x v="1"/>
    </i>
    <i>
      <x v="2"/>
    </i>
    <i>
      <x v="3"/>
    </i>
    <i>
      <x v="4"/>
    </i>
  </rowItems>
  <colItems count="1">
    <i/>
  </colItems>
  <dataFields count="1">
    <dataField name="Customer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9FE34-3DF4-4866-9816-6DA4F60D7F18}" name="pt_CarOwn" cacheId="2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52:B54" firstHeaderRow="1" firstDataRow="1" firstDataCol="1"/>
  <pivotFields count="21">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dataField="1" compact="0" outline="0" showAll="0"/>
  </pivotFields>
  <rowFields count="1">
    <field x="17"/>
  </rowFields>
  <rowItems count="2">
    <i>
      <x/>
    </i>
    <i>
      <x v="1"/>
    </i>
  </rowItems>
  <colItems count="1">
    <i/>
  </colItems>
  <dataFields count="1">
    <dataField name="Purchase Rate" fld="20"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C6EF15-90A7-49D1-8EFA-AD87FBA3084C}" name="pt_Children" cacheId="2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5">
  <location ref="A41:B47" firstHeaderRow="1" firstDataRow="1" firstDataCol="1"/>
  <pivotFields count="21">
    <pivotField compact="0" outline="0" showAll="0"/>
    <pivotField compact="0" outline="0" showAll="0">
      <items count="3">
        <item x="0"/>
        <item x="1"/>
        <item t="default"/>
      </items>
    </pivotField>
    <pivotField compact="0" outline="0" showAll="0"/>
    <pivotField compact="0" numFmtId="165" outline="0" showAll="0"/>
    <pivotField axis="axisRow" compact="0" outline="0" showAll="0">
      <items count="7">
        <item x="3"/>
        <item x="0"/>
        <item x="4"/>
        <item x="1"/>
        <item x="5"/>
        <item x="2"/>
        <item t="default"/>
      </items>
    </pivotField>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4"/>
  </rowFields>
  <rowItems count="6">
    <i>
      <x/>
    </i>
    <i>
      <x v="1"/>
    </i>
    <i>
      <x v="2"/>
    </i>
    <i>
      <x v="3"/>
    </i>
    <i>
      <x v="4"/>
    </i>
    <i>
      <x v="5"/>
    </i>
  </rowItems>
  <colItems count="1">
    <i/>
  </colItems>
  <dataFields count="1">
    <dataField name="Purchase Rate" fld="20" subtotal="average" baseField="0" baseItem="0" numFmtId="166"/>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29DC94-FF18-48E4-A081-88053576DA2B}" name="pt_Cars" cacheId="2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8">
  <location ref="A31:B36" firstHeaderRow="1" firstDataRow="1" firstDataCol="1"/>
  <pivotFields count="21">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axis="axisRow" compact="0" outline="0" showAll="0">
      <items count="6">
        <item x="0"/>
        <item x="1"/>
        <item x="2"/>
        <item x="4"/>
        <item x="3"/>
        <item t="default"/>
      </items>
    </pivotField>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8"/>
  </rowFields>
  <rowItems count="5">
    <i>
      <x/>
    </i>
    <i>
      <x v="1"/>
    </i>
    <i>
      <x v="2"/>
    </i>
    <i>
      <x v="3"/>
    </i>
    <i>
      <x v="4"/>
    </i>
  </rowItems>
  <colItems count="1">
    <i/>
  </colItems>
  <dataFields count="1">
    <dataField name="Purchase Rate" fld="20" subtotal="average" baseField="0" baseItem="0" numFmtId="166"/>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DB9B0A-6BA4-472D-8A40-54855DD25A47}" name="pt_Commute" cacheId="2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5">
  <location ref="A21:B26" firstHeaderRow="1" firstDataRow="1" firstDataCol="1"/>
  <pivotFields count="21">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9"/>
  </rowFields>
  <rowItems count="5">
    <i>
      <x/>
    </i>
    <i>
      <x v="1"/>
    </i>
    <i>
      <x v="2"/>
    </i>
    <i>
      <x v="3"/>
    </i>
    <i>
      <x v="4"/>
    </i>
  </rowItems>
  <colItems count="1">
    <i/>
  </colItems>
  <dataFields count="1">
    <dataField name="Purchase Rate" fld="20" subtotal="average"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649D57-56F8-477C-BA94-622B707844B1}" name="pt_Age" cacheId="26"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5">
  <location ref="A11:B16" firstHeaderRow="1" firstDataRow="1" firstDataCol="1"/>
  <pivotFields count="21">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Row" compact="0" outline="0" showAll="0">
      <items count="6">
        <item x="4"/>
        <item x="2"/>
        <item x="0"/>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13"/>
  </rowFields>
  <rowItems count="5">
    <i>
      <x/>
    </i>
    <i>
      <x v="1"/>
    </i>
    <i>
      <x v="2"/>
    </i>
    <i>
      <x v="3"/>
    </i>
    <i>
      <x v="4"/>
    </i>
  </rowItems>
  <colItems count="1">
    <i/>
  </colItems>
  <dataFields count="1">
    <dataField name="Purchase Rate" fld="20" subtotal="average" baseField="0" baseItem="0" numFmtId="16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F896AB-C4B3-44C2-A4B7-FEB66D62C9DF}" name="pt_KPI" cacheId="26"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5:C6" firstHeaderRow="0" firstDataRow="1" firstDataCol="0"/>
  <pivotFields count="21">
    <pivotField dataField="1"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Items count="1">
    <i/>
  </rowItems>
  <colFields count="1">
    <field x="-2"/>
  </colFields>
  <colItems count="3">
    <i>
      <x/>
    </i>
    <i i="1">
      <x v="1"/>
    </i>
    <i i="2">
      <x v="2"/>
    </i>
  </colItems>
  <dataFields count="3">
    <dataField name="Customers" fld="0" subtotal="count" baseField="0" baseItem="0" numFmtId="3"/>
    <dataField name="Buyers" fld="20" baseField="0" baseItem="0" numFmtId="3"/>
    <dataField name="Purchase Rate" fld="20"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D7BC4B-474E-4C6F-BE6B-59FA215E8DBE}" sourceName="Marital Status">
  <pivotTables>
    <pivotTable tabId="10" name="pt_Age"/>
    <pivotTable tabId="10" name="pt_CarOwn"/>
    <pivotTable tabId="10" name="pt_Cars"/>
    <pivotTable tabId="10" name="pt_Children"/>
    <pivotTable tabId="10" name="pt_Commute"/>
    <pivotTable tabId="10" name="pt_KPI"/>
    <pivotTable tabId="10" name="pt_AgeN"/>
    <pivotTable tabId="10" name="pt_CarOwnN"/>
    <pivotTable tabId="10" name="pt_CommuteN"/>
  </pivotTables>
  <data>
    <tabular pivotCacheId="13102709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28B057F-2CB9-41E5-92EF-1CD69B4D6BF3}" sourceName="Education">
  <pivotTables>
    <pivotTable tabId="10" name="pt_Age"/>
    <pivotTable tabId="10" name="pt_CarOwn"/>
    <pivotTable tabId="10" name="pt_Cars"/>
    <pivotTable tabId="10" name="pt_Children"/>
    <pivotTable tabId="10" name="pt_Commute"/>
    <pivotTable tabId="10" name="pt_KPI"/>
    <pivotTable tabId="10" name="pt_AgeN"/>
    <pivotTable tabId="10" name="pt_CarOwnN"/>
    <pivotTable tabId="10" name="pt_CommuteN"/>
  </pivotTables>
  <data>
    <tabular pivotCacheId="131027090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818BE1-A31C-42B9-896F-7515ABD613BE}" sourceName="Region">
  <pivotTables>
    <pivotTable tabId="10" name="pt_Age"/>
    <pivotTable tabId="10" name="pt_CarOwn"/>
    <pivotTable tabId="10" name="pt_Cars"/>
    <pivotTable tabId="10" name="pt_Children"/>
    <pivotTable tabId="10" name="pt_Commute"/>
    <pivotTable tabId="10" name="pt_KPI"/>
    <pivotTable tabId="10" name="pt_AgeN"/>
    <pivotTable tabId="10" name="pt_CarOwnN"/>
    <pivotTable tabId="10" name="pt_CommuteN"/>
  </pivotTables>
  <data>
    <tabular pivotCacheId="13102709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9F83C6E-D55E-4962-8692-A9689A2DE273}" cache="Slicer_Marital_Status" caption="Marital Status" columnCount="2" style="SlicerStyleDark1" rowHeight="252000"/>
  <slicer name="Education" xr10:uid="{B1C4A60F-EADC-44F6-8ADF-4D7228795662}" cache="Slicer_Education" caption="Education" columnCount="3" style="SlicerStyleDark1" rowHeight="252000"/>
  <slicer name="Region" xr10:uid="{466C4368-8CFA-4208-8310-BCD3A1D19A3C}" cache="Slicer_Region" caption="Region" columnCount="2"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48C680-81AF-4118-9C39-FC1142213C64}" name="tbl_SheetIndex" displayName="tbl_SheetIndex" ref="A14:B26" totalsRowShown="0" headerRowDxfId="150" dataDxfId="149">
  <autoFilter ref="A14:B26" xr:uid="{C948C680-81AF-4118-9C39-FC1142213C64}"/>
  <tableColumns count="2">
    <tableColumn id="1" xr3:uid="{662E58D0-AF06-44F6-A3B7-A73DADBE0BDE}" name="Sheet" dataDxfId="148"/>
    <tableColumn id="2" xr3:uid="{B14123A2-CCC5-4262-A318-B401B5AB0FDF}" name="Description" dataDxfId="14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B067C79-77FA-428C-9590-E1FABD73AACD}" name="tbl_TechNotes" displayName="tbl_TechNotes" ref="A29:D43" totalsRowShown="0" headerRowDxfId="45" dataDxfId="44">
  <autoFilter ref="A29:D43" xr:uid="{6B067C79-77FA-428C-9590-E1FABD73AACD}"/>
  <tableColumns count="4">
    <tableColumn id="1" xr3:uid="{E651A121-38A6-4008-BAA1-C11EB9C86045}" name="#" dataDxfId="49"/>
    <tableColumn id="2" xr3:uid="{FA698236-D73F-4D13-9852-69BD3963E831}" name="Where" dataDxfId="48"/>
    <tableColumn id="3" xr3:uid="{24289F5A-0B21-4743-87B1-DED79CF0C54D}" name="What" dataDxfId="47"/>
    <tableColumn id="4" xr3:uid="{7545D1D1-A80C-4824-9E26-25E22AEF2131}" name="Why" dataDxfId="46"/>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220DB3-96DA-4206-A155-901B81131E1D}" name="tbl_Dictionary" displayName="tbl_Dictionary" ref="A4:F17" totalsRowShown="0" headerRowDxfId="146" dataDxfId="145">
  <autoFilter ref="A4:F17" xr:uid="{03220DB3-96DA-4206-A155-901B81131E1D}"/>
  <tableColumns count="6">
    <tableColumn id="1" xr3:uid="{3A9237C2-A9AC-43E8-9C94-D7EB2D535696}" name="Field" dataDxfId="144"/>
    <tableColumn id="2" xr3:uid="{AE5FC836-DE11-41B4-AA82-C75082CEB70D}" name="Data Type" dataDxfId="143"/>
    <tableColumn id="3" xr3:uid="{4E90623E-EF50-495A-8C94-6D9FBB4D098E}" name="Description" dataDxfId="142"/>
    <tableColumn id="4" xr3:uid="{42810522-8A91-4365-9BD7-50F196C632A4}" name="Example Values" dataDxfId="141"/>
    <tableColumn id="5" xr3:uid="{C65BD5A2-B5C6-4657-8D60-96D6F596E0EB}" name="Unique Values" dataDxfId="140">
      <calculatedColumnFormula>COUNTA(_xlfn.UNIQUE(_xlfn.XLOOKUP(tbl_Dictionary[[#This Row],[Field]],Raw_Data!$A$1:$M$1,Raw_Data!$A$2:$M$1027)))</calculatedColumnFormula>
    </tableColumn>
    <tableColumn id="6" xr3:uid="{F4867FDC-ABF7-4387-A7BA-112CFF4A2EE7}" name="Notes/Cleaning Needed" dataDxfId="139"/>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3D614C-DCFF-4C11-9003-6E13D41C528A}" name="tbl_QualityLog" displayName="tbl_QualityLog" ref="A4:H12" totalsRowShown="0" headerRowDxfId="138" dataDxfId="137" tableBorderDxfId="136">
  <autoFilter ref="A4:H12" xr:uid="{873D614C-DCFF-4C11-9003-6E13D41C528A}"/>
  <tableColumns count="8">
    <tableColumn id="1" xr3:uid="{1E0E30B1-E558-44F6-BF8B-6BF68BBD27F4}" name="Step" dataDxfId="135"/>
    <tableColumn id="2" xr3:uid="{6FE76F21-9ACD-463A-A34D-3F1D4075F458}" name="Check / Action" dataDxfId="134"/>
    <tableColumn id="3" xr3:uid="{5D2A8C9E-DB74-4331-BC80-F7D8DA2CB47B}" name="Field(s)" dataDxfId="133"/>
    <tableColumn id="4" xr3:uid="{81B7D64B-ABF6-4CC6-AF3B-7C3BEE211D93}" name="Rows Before" dataDxfId="132">
      <calculatedColumnFormula>ROWS(tbl_Clean[])</calculatedColumnFormula>
    </tableColumn>
    <tableColumn id="5" xr3:uid="{46D2A9DC-2373-4F38-A894-234FCFCDBF73}" name="Rows Affected" dataDxfId="131"/>
    <tableColumn id="6" xr3:uid="{43DE7091-D6B6-430F-AC0D-E461608D86A0}" name="Rows After" dataDxfId="130"/>
    <tableColumn id="7" xr3:uid="{69395971-7ABC-43D0-BAA5-CAFA4CB2F2FE}" name="Method" dataDxfId="129"/>
    <tableColumn id="8" xr3:uid="{47F7F8EC-01ED-4738-ACBD-430FACC8303E}" name="Rationale" dataDxfId="128"/>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E41D18-E9F2-4A01-A04A-D16EABAA9D9D}" name="tbl_Validation" displayName="tbl_Validation" ref="B15:E22" totalsRowShown="0" headerRowDxfId="127" dataDxfId="126">
  <autoFilter ref="B15:E22" xr:uid="{46E41D18-E9F2-4A01-A04A-D16EABAA9D9D}"/>
  <tableColumns count="4">
    <tableColumn id="1" xr3:uid="{5831DACA-3132-45A6-A3F1-31C816FC706D}" name="Check" dataDxfId="125"/>
    <tableColumn id="2" xr3:uid="{6F5520AA-BE70-48EA-80B3-4B53EEFF138E}" name="Expected" dataDxfId="124"/>
    <tableColumn id="3" xr3:uid="{E6994C9A-2DDF-40C2-AC53-DF6A80FBD93B}" name="Actual" dataDxfId="123"/>
    <tableColumn id="4" xr3:uid="{F39DF144-C2FD-4BA9-A2B5-F79A375190E2}" name="Status" dataDxfId="122">
      <calculatedColumnFormula>IF(tbl_Validation[[#This Row],[Actual]]=tbl_Validation[[#This Row],[Expected]],"PASS","FAIL")</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0A9730-8EB8-4933-84BC-EA211FBD72CB}" name="tbl_Clean" displayName="tbl_Clean" ref="A4:U1004" totalsRowShown="0" headerRowDxfId="121" dataDxfId="120">
  <autoFilter ref="A4:U1004" xr:uid="{CD0A9730-8EB8-4933-84BC-EA211FBD72CB}"/>
  <tableColumns count="21">
    <tableColumn id="1" xr3:uid="{11054613-E65F-4DC7-A319-7932C097BCFB}" name="ID" dataDxfId="119"/>
    <tableColumn id="2" xr3:uid="{800F1732-810B-4AAD-929A-A94FC2A93D66}" name="Marital Status" dataDxfId="118"/>
    <tableColumn id="3" xr3:uid="{158B796F-D9D2-400E-A6BE-04676F2EF84A}" name="Gender" dataDxfId="117"/>
    <tableColumn id="4" xr3:uid="{1F25DF08-2D77-4272-89DD-70197DA3A697}" name="Income" dataDxfId="116"/>
    <tableColumn id="5" xr3:uid="{F13FFDB2-A65B-49AD-9F17-4F102E326EED}" name="Children" dataDxfId="115"/>
    <tableColumn id="6" xr3:uid="{6C2410E1-A5B3-4905-9CBE-76F5D21BB107}" name="Education" dataDxfId="114"/>
    <tableColumn id="7" xr3:uid="{EB3D1BED-BE39-44FE-9E69-12A055FC0FDB}" name="Occupation" dataDxfId="113"/>
    <tableColumn id="8" xr3:uid="{05C27D57-1FD2-4903-929D-BAD702BA1A35}" name="Home Owner" dataDxfId="112"/>
    <tableColumn id="9" xr3:uid="{15EB69D4-F457-4D52-A9AB-F7881B36F416}" name="Cars" dataDxfId="111"/>
    <tableColumn id="10" xr3:uid="{E13FDC64-42E9-4F84-9270-3C90CCD8F9C3}" name="Commute Distance" dataDxfId="110"/>
    <tableColumn id="11" xr3:uid="{BD32F4DA-3F0B-4199-B858-B231CFB20D2F}" name="Region" dataDxfId="109"/>
    <tableColumn id="12" xr3:uid="{60A1FBA2-92B2-4ABE-8D02-565DF1A87D0A}" name="Age" dataDxfId="108"/>
    <tableColumn id="13" xr3:uid="{8C3A4DE1-6985-4111-9ABB-73BC8C5E0743}" name="Purchased Bike" dataDxfId="107"/>
    <tableColumn id="14" xr3:uid="{909483B8-0431-4712-92AD-2567F49871D2}" name="Age Band" dataDxfId="106">
      <calculatedColumnFormula array="1">_xlfn.IFS(tbl_Clean[[#This Row],[Age]]&lt;=30,"25-30",tbl_Clean[[#This Row],[Age]]&lt;=40,"31-40",tbl_Clean[[#This Row],[Age]]&lt;=50,"41-50",tbl_Clean[[#This Row],[Age]]&lt;=60,"51-60",TRUE,"61+")</calculatedColumnFormula>
    </tableColumn>
    <tableColumn id="15" xr3:uid="{79E952C3-0EB1-4330-B81C-07B578019173}" name="Age Band Sort" dataDxfId="105">
      <calculatedColumnFormula>_xlfn.XMATCH(tbl_Clean[[#This Row],[Age Band]],{"25-30","31-40","41-50","51-60","61+"})</calculatedColumnFormula>
    </tableColumn>
    <tableColumn id="16" xr3:uid="{5B7A61AD-16E5-4BF3-A1FF-FA6FAB42CADB}" name="Income Band" dataDxfId="104">
      <calculatedColumnFormula array="1">_xlfn.IFS(tbl_Clean[[#This Row],[Income]]&lt;=30000,"$10k-30k",tbl_Clean[[#This Row],[Income]]&lt;=60000,"$40k-60k",tbl_Clean[[#This Row],[Income]]&lt;=90000,"$70k-90k",TRUE,"$100k+")</calculatedColumnFormula>
    </tableColumn>
    <tableColumn id="17" xr3:uid="{F0A85335-646E-42DD-BCC3-0A78DA02F816}" name="Income Band Sort" dataDxfId="103">
      <calculatedColumnFormula>_xlfn.XMATCH(tbl_Clean[[#This Row],[Income Band]],{"$10k-30k","$40k-60k","$70k-90k","$100k+"})</calculatedColumnFormula>
    </tableColumn>
    <tableColumn id="18" xr3:uid="{196138A5-8566-4BA9-9CAA-FEF75BAA2DA8}" name="Car Ownership" dataDxfId="102">
      <calculatedColumnFormula>IF(tbl_Clean[[#This Row],[Cars]]&lt;=1,"0-1 Cars","2+ Cars")</calculatedColumnFormula>
    </tableColumn>
    <tableColumn id="19" xr3:uid="{D53BC63E-9C14-4687-8EA2-F18FF6774505}" name="Commute Sort" dataDxfId="101">
      <calculatedColumnFormula>_xlfn.XMATCH(tbl_Clean[[#This Row],[Commute Distance]],{"0-1 Miles","1-2 Miles","2-5 Miles","5-10 Miles","10+ Miles"})</calculatedColumnFormula>
    </tableColumn>
    <tableColumn id="20" xr3:uid="{42AB7F01-C853-49B3-8AC9-8D75A358B244}" name="Education Sort" dataDxfId="100">
      <calculatedColumnFormula>_xlfn.XMATCH(tbl_Clean[[#This Row],[Education]],{"Partial High School","High School","Partial College","Bachelors","Graduate Degree"})</calculatedColumnFormula>
    </tableColumn>
    <tableColumn id="21" xr3:uid="{9E8B63C6-A45C-4518-AB06-4EB214B721DF}" name="Purchased Flag" dataDxfId="99">
      <calculatedColumnFormula>IF(tbl_Clean[[#This Row],[Purchased Bike]]="Yes",1,0)</calculatedColumnFormula>
    </tableColum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4B5A10-AB7E-45DA-9CE7-77E494D42074}" name="tbl_SigWorkings" displayName="tbl_SigWorkings" ref="A25:G37" totalsRowShown="0" headerRowDxfId="170" dataDxfId="169">
  <autoFilter ref="A25:G37" xr:uid="{A04B5A10-AB7E-45DA-9CE7-77E494D42074}"/>
  <tableColumns count="7">
    <tableColumn id="1" xr3:uid="{97C58015-F102-468F-BF3C-A3A727DEFD9D}" name="Factor" dataDxfId="168"/>
    <tableColumn id="2" xr3:uid="{02356D92-CA9D-4903-8EA9-13F47FACC0A1}" name="Chi-square" dataDxfId="167"/>
    <tableColumn id="3" xr3:uid="{6B79A00C-E7FB-4EFC-BFC2-A1855DAFCB5D}" name="df" dataDxfId="166"/>
    <tableColumn id="4" xr3:uid="{E1DFBFB6-7B18-4E95-A720-CE658CB0B466}" name="p-value" dataDxfId="165"/>
    <tableColumn id="5" xr3:uid="{1C22BC3C-3CC2-41DE-A4AD-9C667427CC70}" name="Cramér's V" dataDxfId="164"/>
    <tableColumn id="6" xr3:uid="{F2573C7F-D066-48E8-9824-0B7EE2DA6D37}" name="Min Expected" dataDxfId="163"/>
    <tableColumn id="7" xr3:uid="{51458D57-2D85-4DD5-8E65-C566DFDA94D9}" name="p check (CHISQ.DIST.RT)" dataDxfId="162">
      <calculatedColumnFormula>_xlfn.CHISQ.DIST.RT(B26,C26)</calculatedColumnFormula>
    </tableColumn>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493EFC-56AA-4657-B37E-86B7282DEFD4}" name="tbl_Significance" displayName="tbl_Significance" ref="A10:I22" totalsRowShown="0" headerRowDxfId="161" dataDxfId="160">
  <autoFilter ref="A10:I22" xr:uid="{01493EFC-56AA-4657-B37E-86B7282DE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1B410E9-2100-46C9-9898-3B96DE6D755C}" name="Factor" dataDxfId="159">
      <calculatedColumnFormula array="1">INDEX(_xlfn.SORTBY(tbl_SigWorkings[Factor],tbl_SigWorkings[Cramér''s V],-1),ROW()-ROW(tbl_Significance[#Headers]))</calculatedColumnFormula>
    </tableColumn>
    <tableColumn id="2" xr3:uid="{C3AF5BB3-E6F8-4CE2-98A4-F7465699282D}" name="Chi-square" dataDxfId="158">
      <calculatedColumnFormula>_xlfn.XLOOKUP(tbl_Significance[[#This Row],[Factor]],tbl_SigWorkings[Factor],tbl_SigWorkings[Chi-square])</calculatedColumnFormula>
    </tableColumn>
    <tableColumn id="3" xr3:uid="{BAA5405A-5C56-475D-ADFF-3C364C962201}" name="df" dataDxfId="157">
      <calculatedColumnFormula>_xlfn.XLOOKUP(tbl_Significance[[#This Row],[Factor]],tbl_SigWorkings[Factor],tbl_SigWorkings[df])</calculatedColumnFormula>
    </tableColumn>
    <tableColumn id="4" xr3:uid="{01F128B6-6A00-4A4B-A92E-A90CAEBD306A}" name="p-value" dataDxfId="156">
      <calculatedColumnFormula>_xlfn.XLOOKUP(tbl_Significance[[#This Row],[Factor]],tbl_SigWorkings[Factor],tbl_SigWorkings[p-value])</calculatedColumnFormula>
    </tableColumn>
    <tableColumn id="5" xr3:uid="{269AAB98-3BDF-4D1E-B873-4118252DCC85}" name="Cramér's V" dataDxfId="155">
      <calculatedColumnFormula>_xlfn.XLOOKUP(tbl_Significance[[#This Row],[Factor]],tbl_SigWorkings[Factor],tbl_SigWorkings[Cramér''s V])</calculatedColumnFormula>
    </tableColumn>
    <tableColumn id="6" xr3:uid="{4716C2FF-FDA8-4B1D-B918-475D7D8053C5}" name="Strength" dataDxfId="154">
      <calculatedColumnFormula array="1">_xlfn.IFS(tbl_Significance[[#This Row],[Cramér''s V]]&lt;0.1,"Negligible",tbl_Significance[[#This Row],[Cramér''s V]]&lt;0.2,"Small",tbl_Significance[[#This Row],[Cramér''s V]]&lt;0.3,"Moderate",TRUE,"Strong")</calculatedColumnFormula>
    </tableColumn>
    <tableColumn id="7" xr3:uid="{CC8F96EA-9761-45E8-9376-453E5B0A7AC7}" name="Significant?" dataDxfId="153">
      <calculatedColumnFormula>IF(tbl_Significance[[#This Row],[p-value]]&lt;0.05,"Yes","No")</calculatedColumnFormula>
    </tableColumn>
    <tableColumn id="8" xr3:uid="{9A287340-8639-4567-91C1-197C1B3818BC}" name="Valid (min expected ≥5)" dataDxfId="152">
      <calculatedColumnFormula>IF(_xlfn.XLOOKUP(tbl_Significance[[#This Row],[Factor]],tbl_SigWorkings[Factor],tbl_SigWorkings[Min Expected])&gt;=5,"Yes","No")</calculatedColumnFormula>
    </tableColumn>
    <tableColumn id="9" xr3:uid="{47BFC867-FBEC-422A-A7C6-A8AA79CCD6CF}" name="Plain-English Verdict" dataDxfId="151">
      <calculatedColumnFormula>IF(tbl_Significance[[#This Row],[Significant?]]="Yes","Matters – "&amp;tbl_Significance[[#This Row],[Strength]]&amp;" effect","No evidence it matters")&amp;IF(tbl_Significance[[#This Row],[Valid (min expected ≥5)]]="No"," (caution: small expected counts)","")</calculatedColumnFormula>
    </tableColumn>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A925022-3DD2-44AD-8BBF-6270565AC565}" name="tbl_Weights" displayName="tbl_Weights" ref="A19:C28" totalsRowCount="1" headerRowDxfId="92" dataDxfId="97" totalsRowDxfId="85">
  <autoFilter ref="A19:C27" xr:uid="{8A925022-3DD2-44AD-8BBF-6270565AC565}">
    <filterColumn colId="0" hiddenButton="1"/>
    <filterColumn colId="1" hiddenButton="1"/>
    <filterColumn colId="2" hiddenButton="1"/>
  </autoFilter>
  <tableColumns count="3">
    <tableColumn id="1" xr3:uid="{A2147364-2AD0-4B26-A508-9C38CFCAC3DA}" name="Factor" totalsRowLabel="Total" dataDxfId="98" totalsRowDxfId="88"/>
    <tableColumn id="2" xr3:uid="{65DF967E-B565-40C4-A2FB-5A0EC90930F1}" name="Cramér's V" totalsRowFunction="sum" dataDxfId="84" totalsRowDxfId="87">
      <calculatedColumnFormula>_xlfn.XLOOKUP(tbl_Weights[[#This Row],[Factor]],tbl_Significance[Factor],tbl_Significance[Cramér''s V])</calculatedColumnFormula>
    </tableColumn>
    <tableColumn id="3" xr3:uid="{CA8304F0-02DD-4773-9690-3C902E62A1FB}" name="Weight" totalsRowFunction="sum" dataDxfId="83" totalsRowDxfId="86">
      <calculatedColumnFormula>tbl_Weights[[#This Row],[Cramér''s V]]/SUM(tbl_Weights[Cramér''s V])</calculatedColumnFormula>
    </tableColumn>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8871F6-A287-4D9E-8C56-E3A9D4E2083D}" name="tbl_SegmentRates" displayName="tbl_SegmentRates" ref="A53:F85" totalsRowShown="0" headerRowDxfId="89" dataDxfId="94">
  <autoFilter ref="A53:F85" xr:uid="{1A8871F6-A287-4D9E-8C56-E3A9D4E2083D}"/>
  <tableColumns count="6">
    <tableColumn id="1" xr3:uid="{3010C95E-D723-4850-BC41-71815926B8B5}" name="Key" dataDxfId="64">
      <calculatedColumnFormula>tbl_SegmentRates[[#This Row],[Factor]]&amp;"|"&amp;tbl_SegmentRates[[#This Row],[Segment]]</calculatedColumnFormula>
    </tableColumn>
    <tableColumn id="2" xr3:uid="{17D7DB47-898C-411D-BFFD-AFB43DEC600E}" name="Factor" dataDxfId="96"/>
    <tableColumn id="3" xr3:uid="{FE397D9C-840D-432B-8B46-417B3E415C8E}" name="Segment" dataDxfId="95"/>
    <tableColumn id="4" xr3:uid="{5A79BDEA-23BD-439B-8078-8E7A04402801}" name="Customers" dataDxfId="67">
      <calculatedColumnFormula>COUNTIFS(INDEX(tbl_Clean[],0,MATCH(tbl_SegmentRates[[#This Row],[Factor]],tbl_Clean[#Headers],0)),tbl_SegmentRates[[#This Row],[Segment]])</calculatedColumnFormula>
    </tableColumn>
    <tableColumn id="5" xr3:uid="{7CD24BDD-A68A-4EFB-9264-344CF225E9AA}" name="Buyers" dataDxfId="66">
      <calculatedColumnFormula>COUNTIFS(INDEX(tbl_Clean[],0,MATCH(tbl_SegmentRates[[#This Row],[Factor]],tbl_Clean[#Headers],0)),tbl_SegmentRates[[#This Row],[Segment]],tbl_Clean[Purchased Flag],1)</calculatedColumnFormula>
    </tableColumn>
    <tableColumn id="6" xr3:uid="{48152288-5144-4F49-B79D-9877CC0484B5}" name="Purchase Rate" dataDxfId="65">
      <calculatedColumnFormula>tbl_SegmentRates[[#This Row],[Buyers]]/tbl_SegmentRates[[#This Row],[Customers]]</calculatedColumnFormula>
    </tableColum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373D0C1-8997-4CA4-A5B8-1723C4032AFA}" name="tbl_TierSummary" displayName="tbl_TierSummary" ref="A32:F35" totalsRowShown="0" headerRowDxfId="91" dataDxfId="93">
  <autoFilter ref="A32:F35" xr:uid="{6373D0C1-8997-4CA4-A5B8-1723C4032AFA}">
    <filterColumn colId="0" hiddenButton="1"/>
    <filterColumn colId="1" hiddenButton="1"/>
    <filterColumn colId="2" hiddenButton="1"/>
    <filterColumn colId="3" hiddenButton="1"/>
    <filterColumn colId="4" hiddenButton="1"/>
    <filterColumn colId="5" hiddenButton="1"/>
  </autoFilter>
  <tableColumns count="6">
    <tableColumn id="1" xr3:uid="{62F7B6DC-E204-436F-A7DE-BD5070E2B1B1}" name="Tier" dataDxfId="77"/>
    <tableColumn id="2" xr3:uid="{8EA8ED66-6957-40BF-9B3A-256555915F71}" name="Customers" dataDxfId="82">
      <calculatedColumnFormula>COUNTIFS(_xlfn.ANCHORARRAY($X$5),tbl_TierSummary[[#This Row],[Tier]])</calculatedColumnFormula>
    </tableColumn>
    <tableColumn id="3" xr3:uid="{FE49E4AA-675B-448F-BE0B-951F29A9428F}" name="Buyers" dataDxfId="81">
      <calculatedColumnFormula>SUMIFS(_xlfn.ANCHORARRAY($Y$5),_xlfn.ANCHORARRAY($X$5),tbl_TierSummary[[#This Row],[Tier]])</calculatedColumnFormula>
    </tableColumn>
    <tableColumn id="4" xr3:uid="{DE71E06A-55E2-4858-9233-916B80FA304C}" name="Purchase Rate" dataDxfId="80">
      <calculatedColumnFormula>tbl_TierSummary[[#This Row],[Buyers]]/tbl_TierSummary[[#This Row],[Customers]]</calculatedColumnFormula>
    </tableColumn>
    <tableColumn id="5" xr3:uid="{C1F116D6-CA46-42DC-8CF3-58A23A9B2B33}" name="Lift vs Avg" dataDxfId="79">
      <calculatedColumnFormula>tbl_TierSummary[[#This Row],[Purchase Rate]]/Baseline_Rate</calculatedColumnFormula>
    </tableColumn>
    <tableColumn id="6" xr3:uid="{9239FDA8-A721-4C37-8B59-D4676D7EB998}" name="Share of All Buyers" dataDxfId="78">
      <calculatedColumnFormula>tbl_TierSummary[[#This Row],[Buyers]]/Total_Buyers</calculatedColumnFormula>
    </tableColum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B605558-EAD8-4029-8F0A-3D523999B69D}" name="tbl_Gains" displayName="tbl_Gains" ref="A39:H49" totalsRowShown="0" headerRowDxfId="90" dataDxfId="68">
  <autoFilter ref="A39:H49" xr:uid="{2B605558-EAD8-4029-8F0A-3D523999B69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30740C8-8AB0-4F07-9C42-DCFCAD36C35C}" name="Decile" dataDxfId="76"/>
    <tableColumn id="2" xr3:uid="{CFC699D6-A60B-4D47-9406-5DA6D99CCC67}" name="Customers" dataDxfId="75">
      <calculatedColumnFormula>COUNTIFS(_xlfn.ANCHORARRAY($W$5),tbl_Gains[[#This Row],[Decile]])</calculatedColumnFormula>
    </tableColumn>
    <tableColumn id="3" xr3:uid="{724335FE-6A23-45A8-B5FB-772F5F5FF093}" name="Buyers" dataDxfId="74">
      <calculatedColumnFormula>SUMIFS(_xlfn.ANCHORARRAY($Y$5),_xlfn.ANCHORARRAY($W$5),tbl_Gains[[#This Row],[Decile]])</calculatedColumnFormula>
    </tableColumn>
    <tableColumn id="4" xr3:uid="{EB3E13D6-B71C-486B-A987-457B5981AB1F}" name="Purchase Rate" dataDxfId="73">
      <calculatedColumnFormula>tbl_Gains[[#This Row],[Buyers]]/tbl_Gains[[#This Row],[Customers]]</calculatedColumnFormula>
    </tableColumn>
    <tableColumn id="5" xr3:uid="{931E2547-C269-468A-8636-7FDEAAB7CF8A}" name="Lift vs Avg" dataDxfId="72">
      <calculatedColumnFormula>tbl_Gains[[#This Row],[Purchase Rate]]/Baseline_Rate</calculatedColumnFormula>
    </tableColumn>
    <tableColumn id="6" xr3:uid="{3BCAA8F9-8D7A-4FD2-AF22-EA89F22EDE3A}" name="Cumulative Buyers" dataDxfId="71">
      <calculatedColumnFormula>SUMIFS(_xlfn.ANCHORARRAY($Y$5),_xlfn.ANCHORARRAY($W$5),"&lt;="&amp;tbl_Gains[[#This Row],[Decile]])</calculatedColumnFormula>
    </tableColumn>
    <tableColumn id="7" xr3:uid="{1A49276F-4111-4577-B723-38D7F89FFA16}" name="% of All Buyers Captured" dataDxfId="70">
      <calculatedColumnFormula>tbl_Gains[[#This Row],[Cumulative Buyers]]/Total_Buyers</calculatedColumnFormula>
    </tableColumn>
    <tableColumn id="8" xr3:uid="{C8CA6AA7-0381-487E-8D30-2C61111A4FA0}" name="Score Range (min–max)" dataDxfId="69">
      <calculatedColumnFormula>TEXT(_xlfn.MINIFS(_xlfn.ANCHORARRAY($U$5),_xlfn.ANCHORARRAY($W$5),tbl_Gains[[#This Row],[Decile]]),"0.0")&amp;" – "&amp;TEXT(_xlfn.MAXIFS(_xlfn.ANCHORARRAY($U$5),_xlfn.ANCHORARRAY($W$5),tbl_Gains[[#This Row],[Decile]]),"0.0")</calculatedColumnFormula>
    </tableColum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4FEC5A8-9959-40C1-B293-1FDF8F3E22D0}" name="tbl_ProfileBreakdown" displayName="tbl_ProfileBreakdown" ref="A19:F28" totalsRowCount="1" headerRowDxfId="52" dataDxfId="50" totalsRowDxfId="51">
  <autoFilter ref="A19:F27" xr:uid="{B4FEC5A8-9959-40C1-B293-1FDF8F3E22D0}">
    <filterColumn colId="0" hiddenButton="1"/>
    <filterColumn colId="1" hiddenButton="1"/>
    <filterColumn colId="2" hiddenButton="1"/>
    <filterColumn colId="3" hiddenButton="1"/>
    <filterColumn colId="4" hiddenButton="1"/>
    <filterColumn colId="5" hiddenButton="1"/>
  </autoFilter>
  <tableColumns count="6">
    <tableColumn id="1" xr3:uid="{3E67F7C5-F904-4E0B-92FF-744BF32B311B}" name="Factor" totalsRowLabel="Total" dataDxfId="63" totalsRowDxfId="62"/>
    <tableColumn id="2" xr3:uid="{179D1079-6DF9-4CAF-BE26-821D064C8DDA}" name="Selected" dataDxfId="61" totalsRowDxfId="60">
      <calculatedColumnFormula>_xlfn.LET(_xlpm.v,_xlfn.XLOOKUP(tbl_ProfileBreakdown[[#This Row],[Factor]],$A$8:$A$15,Profile_Inputs)&amp;"",IF(_xlpm.v="","(Any)",_xlpm.v))</calculatedColumnFormula>
    </tableColumn>
    <tableColumn id="3" xr3:uid="{4A8956C1-1119-49E2-AF61-7B4E61095645}" name="Segment Purchase Rate" dataDxfId="59" totalsRowDxfId="58">
      <calculatedColumnFormula>IF(tbl_ProfileBreakdown[[#This Row],[Selected]]="(Any)",Baseline_Rate,_xlfn.XLOOKUP(tbl_ProfileBreakdown[[#This Row],[Factor]]&amp;"|"&amp;tbl_ProfileBreakdown[[#This Row],[Selected]],tbl_SegmentRates[Key],tbl_SegmentRates[Purchase Rate]))</calculatedColumnFormula>
    </tableColumn>
    <tableColumn id="4" xr3:uid="{A4E168FC-68AC-4891-B4CE-BF11E30B9363}" name="Lift vs Avg" dataDxfId="57" totalsRowDxfId="56">
      <calculatedColumnFormula>tbl_ProfileBreakdown[[#This Row],[Segment Purchase Rate]]/Baseline_Rate</calculatedColumnFormula>
    </tableColumn>
    <tableColumn id="5" xr3:uid="{5754B134-D1CF-434B-B861-AAC5F7BDAAF2}" name="Weight" totalsRowFunction="sum" dataDxfId="55" totalsRowDxfId="54">
      <calculatedColumnFormula>_xlfn.XLOOKUP(tbl_ProfileBreakdown[[#This Row],[Factor]],tbl_Weights[Factor],tbl_Weights[Weight])</calculatedColumnFormula>
    </tableColumn>
    <tableColumn id="6" xr3:uid="{D2FBE2B0-8471-49F2-8651-70F410462B96}" name="Contribution (pp)" totalsRowFunction="sum" dataDxfId="31" totalsRowDxfId="53">
      <calculatedColumnFormula>tbl_ProfileBreakdown[[#This Row],[Weight]]*(tbl_ProfileBreakdown[[#This Row],[Segment Purchase Rate]]-Baseline_Rate)*100</calculatedColumnFormula>
    </tableColum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41D9C4B-B5F5-4032-8EF7-F16CC19CBC88}" name="tbl_Recommendations" displayName="tbl_Recommendations" ref="A10:E17" totalsRowShown="0" headerRowDxfId="43" dataDxfId="39">
  <autoFilter ref="A10:E17" xr:uid="{F41D9C4B-B5F5-4032-8EF7-F16CC19CBC88}"/>
  <tableColumns count="5">
    <tableColumn id="1" xr3:uid="{B041293D-F211-4983-84DF-D3568308BE74}" name="#" dataDxfId="38"/>
    <tableColumn id="2" xr3:uid="{3C23E386-8500-4EF1-AE59-2A89F7CB8FEB}" name="Recommendation" dataDxfId="42"/>
    <tableColumn id="3" xr3:uid="{93D31F06-EB9A-4741-B9CA-6107371D1EC7}" name="Evidence (live)" dataDxfId="41"/>
    <tableColumn id="4" xr3:uid="{3F9BB7EE-4DD7-440E-B777-B9506BEB8BD3}" name="Source" dataDxfId="40"/>
    <tableColumn id="5" xr3:uid="{DC42AA6F-FAFF-4553-B021-D3F0200D8C34}" name="Priority" dataDxfId="37"/>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9D1C41B-B70B-4EBF-B134-60948A7E2B22}" name="tbl_Limitations" displayName="tbl_Limitations" ref="B20:D26" totalsRowShown="0" headerRowDxfId="36" dataDxfId="32">
  <autoFilter ref="B20:D26" xr:uid="{E9D1C41B-B70B-4EBF-B134-60948A7E2B22}"/>
  <tableColumns count="3">
    <tableColumn id="1" xr3:uid="{04D6ED85-A980-45D7-B422-5454BAA105CE}" name="Limitation" dataDxfId="35"/>
    <tableColumn id="2" xr3:uid="{17493C15-BBFC-410D-B3E4-1643DB6CAFAF}" name="Why it matters" dataDxfId="34"/>
    <tableColumn id="3" xr3:uid="{84029B53-1330-4021-BC33-C2A25E27CD69}" name="Mitigation" dataDxfId="3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68BC8A-9B83-47D7-BDCE-032D8591CD34}">
  <we:reference id="wa200009404" version="1.0.0.8" store="en-US" storeType="OMEX"/>
  <we:alternateReferences>
    <we:reference id="WA200009404" version="1.0.0.8" store="" storeType="OMEX"/>
  </we:alternateReferences>
  <we:properties>
    <we:property name="claude.fileId" value="&quot;7d2b0397-1ad7-4a9c-a68b-f7b327e9e15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14910-7C1D-47E0-855E-5CFEE69A0BFC}">
  <dimension ref="A1:AH80"/>
  <sheetViews>
    <sheetView showGridLines="0" zoomScaleNormal="100" workbookViewId="0">
      <pane ySplit="9" topLeftCell="A10" activePane="bottomLeft" state="frozen"/>
      <selection pane="bottomLeft" activeCell="T5" sqref="T5"/>
    </sheetView>
  </sheetViews>
  <sheetFormatPr defaultRowHeight="15" x14ac:dyDescent="0.25"/>
  <cols>
    <col min="27" max="35" width="0" hidden="1" customWidth="1"/>
  </cols>
  <sheetData>
    <row r="1" spans="1:34" ht="15" customHeight="1" x14ac:dyDescent="0.25">
      <c r="A1" s="179"/>
      <c r="B1" s="180" t="s">
        <v>350</v>
      </c>
      <c r="C1" s="180"/>
      <c r="D1" s="180"/>
      <c r="E1" s="180"/>
      <c r="F1" s="180"/>
      <c r="G1" s="180"/>
      <c r="H1" s="180"/>
      <c r="I1" s="180"/>
      <c r="J1" s="180"/>
      <c r="K1" s="180"/>
      <c r="L1" s="180"/>
      <c r="M1" s="180"/>
      <c r="N1" s="180"/>
      <c r="O1" s="180"/>
      <c r="P1" s="180"/>
      <c r="Q1" s="180"/>
      <c r="R1" s="180"/>
      <c r="S1" s="179"/>
      <c r="T1" s="179"/>
      <c r="U1" s="179"/>
      <c r="V1" s="179"/>
      <c r="W1" s="179"/>
      <c r="X1" s="179"/>
      <c r="Y1" s="179"/>
      <c r="Z1" s="179"/>
      <c r="AA1" s="169" t="s">
        <v>256</v>
      </c>
      <c r="AB1" s="3"/>
      <c r="AC1" s="3"/>
      <c r="AD1" s="3"/>
      <c r="AE1" s="3"/>
      <c r="AF1" s="3"/>
      <c r="AG1" s="3"/>
      <c r="AH1" s="3"/>
    </row>
    <row r="2" spans="1:34" ht="15" customHeight="1" x14ac:dyDescent="0.25">
      <c r="A2" s="179"/>
      <c r="B2" s="180"/>
      <c r="C2" s="180"/>
      <c r="D2" s="180"/>
      <c r="E2" s="180"/>
      <c r="F2" s="180"/>
      <c r="G2" s="180"/>
      <c r="H2" s="180"/>
      <c r="I2" s="180"/>
      <c r="J2" s="180"/>
      <c r="K2" s="180"/>
      <c r="L2" s="180"/>
      <c r="M2" s="180"/>
      <c r="N2" s="180"/>
      <c r="O2" s="180"/>
      <c r="P2" s="180"/>
      <c r="Q2" s="180"/>
      <c r="R2" s="180"/>
      <c r="S2" s="179"/>
      <c r="T2" s="179"/>
      <c r="U2" s="179"/>
      <c r="V2" s="179"/>
      <c r="W2" s="179"/>
      <c r="X2" s="179"/>
      <c r="Y2" s="179"/>
      <c r="Z2" s="179"/>
      <c r="AA2" s="3"/>
      <c r="AB2" s="3"/>
      <c r="AC2" s="3"/>
      <c r="AD2" s="3"/>
      <c r="AE2" s="3"/>
      <c r="AF2" s="3"/>
      <c r="AG2" s="3"/>
      <c r="AH2" s="3"/>
    </row>
    <row r="3" spans="1:34" ht="15" customHeight="1" x14ac:dyDescent="0.25">
      <c r="A3" s="179"/>
      <c r="B3" s="181" t="s">
        <v>254</v>
      </c>
      <c r="C3" s="181"/>
      <c r="D3" s="181"/>
      <c r="E3" s="181"/>
      <c r="F3" s="181"/>
      <c r="G3" s="181"/>
      <c r="H3" s="181"/>
      <c r="I3" s="181"/>
      <c r="J3" s="181"/>
      <c r="K3" s="181"/>
      <c r="L3" s="181"/>
      <c r="M3" s="181"/>
      <c r="N3" s="181"/>
      <c r="O3" s="181"/>
      <c r="P3" s="181"/>
      <c r="Q3" s="181"/>
      <c r="R3" s="181"/>
      <c r="S3" s="179"/>
      <c r="T3" s="179"/>
      <c r="U3" s="179"/>
      <c r="V3" s="179"/>
      <c r="W3" s="179"/>
      <c r="X3" s="179"/>
      <c r="Y3" s="179"/>
      <c r="Z3" s="179"/>
      <c r="AA3" s="171" t="s">
        <v>257</v>
      </c>
      <c r="AB3" s="171" t="s">
        <v>258</v>
      </c>
      <c r="AC3" s="171" t="s">
        <v>259</v>
      </c>
      <c r="AD3" s="171"/>
      <c r="AE3" s="171" t="s">
        <v>177</v>
      </c>
      <c r="AF3" s="171" t="s">
        <v>260</v>
      </c>
      <c r="AG3" s="171" t="s">
        <v>261</v>
      </c>
      <c r="AH3" s="3"/>
    </row>
    <row r="4" spans="1:34" ht="15" customHeight="1" x14ac:dyDescent="0.25">
      <c r="A4" s="179"/>
      <c r="B4" s="179"/>
      <c r="C4" s="179"/>
      <c r="D4" s="179"/>
      <c r="E4" s="179"/>
      <c r="F4" s="179"/>
      <c r="G4" s="179"/>
      <c r="H4" s="179"/>
      <c r="I4" s="179"/>
      <c r="J4" s="179"/>
      <c r="K4" s="179"/>
      <c r="L4" s="179"/>
      <c r="M4" s="179"/>
      <c r="N4" s="179"/>
      <c r="O4" s="179"/>
      <c r="P4" s="179"/>
      <c r="Q4" s="179"/>
      <c r="R4" s="179"/>
      <c r="S4" s="179"/>
      <c r="T4" s="179"/>
      <c r="U4" s="179"/>
      <c r="V4" s="179"/>
      <c r="W4" s="179"/>
      <c r="X4" s="179"/>
      <c r="Y4" s="179"/>
      <c r="Z4" s="179"/>
      <c r="AA4" s="170" cm="1">
        <f t="array" ref="AA4:AA14">_xlfn.VSTACK(0,tbl_Gains[Decile]/ROWS(tbl_Gains[Decile]))</f>
        <v>0</v>
      </c>
      <c r="AB4" s="113" cm="1">
        <f t="array" ref="AB4:AB14">_xlfn.VSTACK(0,tbl_Gains[% of All Buyers Captured])</f>
        <v>0</v>
      </c>
      <c r="AC4" s="170" cm="1">
        <f t="array" ref="AC4:AC14">_xlfn.ANCHORARRAY(AA4)</f>
        <v>0</v>
      </c>
      <c r="AD4" s="3"/>
      <c r="AE4" s="3" t="str" cm="1">
        <f t="array" ref="AE4:AG15">_xlfn.LET(_xlpm.f,tbl_Significance[Factor],_xlpm.v,tbl_Significance[Cramér''s V],_xlpm.g,tbl_Significance[Significant?],_xlfn.SORTBY(_xlfn.HSTACK(_xlpm.f,IF(_xlpm.g="Yes",_xlpm.v,NA()),IF(_xlpm.g="No",_xlpm.v,NA())),_xlpm.v,1))</f>
        <v>Home Owner</v>
      </c>
      <c r="AF4" s="112" t="e">
        <v>#N/A</v>
      </c>
      <c r="AG4" s="112">
        <v>1.5153621767765253E-2</v>
      </c>
      <c r="AH4" s="3"/>
    </row>
    <row r="5" spans="1:34" ht="15" customHeight="1" x14ac:dyDescent="0.25">
      <c r="A5" s="179"/>
      <c r="B5" s="179"/>
      <c r="C5" s="179"/>
      <c r="D5" s="179"/>
      <c r="E5" s="179"/>
      <c r="F5" s="179"/>
      <c r="G5" s="179"/>
      <c r="H5" s="179"/>
      <c r="I5" s="179"/>
      <c r="J5" s="179"/>
      <c r="K5" s="179"/>
      <c r="L5" s="179"/>
      <c r="M5" s="179"/>
      <c r="N5" s="179"/>
      <c r="O5" s="179"/>
      <c r="P5" s="179"/>
      <c r="Q5" s="179"/>
      <c r="R5" s="179"/>
      <c r="S5" s="179"/>
      <c r="T5" s="179"/>
      <c r="U5" s="179"/>
      <c r="V5" s="179"/>
      <c r="W5" s="179"/>
      <c r="X5" s="179"/>
      <c r="Y5" s="179"/>
      <c r="Z5" s="179"/>
      <c r="AA5" s="170">
        <v>0.1</v>
      </c>
      <c r="AB5" s="113">
        <v>0.16632016632016633</v>
      </c>
      <c r="AC5" s="170">
        <v>0.1</v>
      </c>
      <c r="AD5" s="3"/>
      <c r="AE5" s="3" t="str">
        <v>Gender</v>
      </c>
      <c r="AF5" s="112" t="e">
        <v>#N/A</v>
      </c>
      <c r="AG5" s="112">
        <v>1.5178633953397051E-2</v>
      </c>
      <c r="AH5" s="3"/>
    </row>
    <row r="6" spans="1:34" ht="15" customHeight="1" x14ac:dyDescent="0.25">
      <c r="A6" s="179"/>
      <c r="B6" s="179"/>
      <c r="C6" s="179"/>
      <c r="D6" s="179"/>
      <c r="E6" s="179"/>
      <c r="F6" s="179"/>
      <c r="G6" s="179"/>
      <c r="H6" s="179"/>
      <c r="I6" s="179"/>
      <c r="J6" s="179"/>
      <c r="K6" s="179"/>
      <c r="L6" s="179"/>
      <c r="M6" s="179"/>
      <c r="N6" s="179"/>
      <c r="O6" s="179"/>
      <c r="P6" s="179"/>
      <c r="Q6" s="179"/>
      <c r="R6" s="179"/>
      <c r="S6" s="179"/>
      <c r="T6" s="179"/>
      <c r="U6" s="179"/>
      <c r="V6" s="179"/>
      <c r="W6" s="179"/>
      <c r="X6" s="179"/>
      <c r="Y6" s="179"/>
      <c r="Z6" s="179"/>
      <c r="AA6" s="170">
        <v>0.2</v>
      </c>
      <c r="AB6" s="113">
        <v>0.30145530145530147</v>
      </c>
      <c r="AC6" s="170">
        <v>0.2</v>
      </c>
      <c r="AD6" s="3"/>
      <c r="AE6" s="3" t="str">
        <v>Occupation</v>
      </c>
      <c r="AF6" s="112" t="e">
        <v>#N/A</v>
      </c>
      <c r="AG6" s="112">
        <v>8.9474532420494454E-2</v>
      </c>
      <c r="AH6" s="3"/>
    </row>
    <row r="7" spans="1:34" ht="15" customHeight="1" x14ac:dyDescent="0.25">
      <c r="A7" s="179"/>
      <c r="B7" s="179"/>
      <c r="C7" s="179"/>
      <c r="D7" s="179"/>
      <c r="E7" s="179"/>
      <c r="F7" s="179"/>
      <c r="G7" s="179"/>
      <c r="H7" s="179"/>
      <c r="I7" s="179"/>
      <c r="J7" s="179"/>
      <c r="K7" s="179"/>
      <c r="L7" s="179"/>
      <c r="M7" s="179"/>
      <c r="N7" s="179"/>
      <c r="O7" s="179"/>
      <c r="P7" s="179"/>
      <c r="Q7" s="179"/>
      <c r="R7" s="179"/>
      <c r="S7" s="179"/>
      <c r="T7" s="179"/>
      <c r="U7" s="179"/>
      <c r="V7" s="179"/>
      <c r="W7" s="179"/>
      <c r="X7" s="179"/>
      <c r="Y7" s="179"/>
      <c r="Z7" s="179"/>
      <c r="AA7" s="170">
        <v>0.3</v>
      </c>
      <c r="AB7" s="113">
        <v>0.43866943866943869</v>
      </c>
      <c r="AC7" s="170">
        <v>0.3</v>
      </c>
      <c r="AD7" s="3"/>
      <c r="AE7" s="3" t="str">
        <v>Income Band</v>
      </c>
      <c r="AF7" s="112">
        <v>0.10615007327225985</v>
      </c>
      <c r="AG7" s="112" t="e">
        <v>#N/A</v>
      </c>
      <c r="AH7" s="3"/>
    </row>
    <row r="8" spans="1:34" ht="15" customHeight="1" x14ac:dyDescent="0.25">
      <c r="A8" s="179"/>
      <c r="B8" s="179"/>
      <c r="C8" s="179"/>
      <c r="D8" s="179"/>
      <c r="E8" s="179"/>
      <c r="F8" s="179"/>
      <c r="G8" s="179"/>
      <c r="H8" s="179"/>
      <c r="I8" s="179"/>
      <c r="J8" s="179"/>
      <c r="K8" s="179"/>
      <c r="L8" s="179"/>
      <c r="M8" s="179"/>
      <c r="N8" s="179"/>
      <c r="O8" s="179"/>
      <c r="P8" s="179"/>
      <c r="Q8" s="179"/>
      <c r="R8" s="179"/>
      <c r="S8" s="179"/>
      <c r="T8" s="179"/>
      <c r="U8" s="179"/>
      <c r="V8" s="179"/>
      <c r="W8" s="179"/>
      <c r="X8" s="179"/>
      <c r="Y8" s="179"/>
      <c r="Z8" s="179"/>
      <c r="AA8" s="170">
        <v>0.4</v>
      </c>
      <c r="AB8" s="113">
        <v>0.54677754677754675</v>
      </c>
      <c r="AC8" s="170">
        <v>0.4</v>
      </c>
      <c r="AD8" s="3"/>
      <c r="AE8" s="3" t="str">
        <v>Marital Status</v>
      </c>
      <c r="AF8" s="112">
        <v>0.11151483107729447</v>
      </c>
      <c r="AG8" s="112" t="e">
        <v>#N/A</v>
      </c>
      <c r="AH8" s="3"/>
    </row>
    <row r="9" spans="1:34" ht="15" customHeight="1" x14ac:dyDescent="0.25">
      <c r="A9" s="179"/>
      <c r="B9" s="179"/>
      <c r="C9" s="179"/>
      <c r="D9" s="179"/>
      <c r="E9" s="179"/>
      <c r="F9" s="179"/>
      <c r="G9" s="179"/>
      <c r="H9" s="179"/>
      <c r="I9" s="179"/>
      <c r="J9" s="179"/>
      <c r="K9" s="179"/>
      <c r="L9" s="179"/>
      <c r="M9" s="179"/>
      <c r="N9" s="179"/>
      <c r="O9" s="179"/>
      <c r="P9" s="179"/>
      <c r="Q9" s="179"/>
      <c r="R9" s="179"/>
      <c r="S9" s="179"/>
      <c r="T9" s="179"/>
      <c r="U9" s="179"/>
      <c r="V9" s="179"/>
      <c r="W9" s="179"/>
      <c r="X9" s="179"/>
      <c r="Y9" s="179"/>
      <c r="Z9" s="179"/>
      <c r="AA9" s="170">
        <v>0.5</v>
      </c>
      <c r="AB9" s="113">
        <v>0.65280665280665284</v>
      </c>
      <c r="AC9" s="170">
        <v>0.5</v>
      </c>
      <c r="AD9" s="3"/>
      <c r="AE9" s="3" t="str">
        <v>Region</v>
      </c>
      <c r="AF9" s="112">
        <v>0.11727057311482388</v>
      </c>
      <c r="AG9" s="112" t="e">
        <v>#N/A</v>
      </c>
      <c r="AH9" s="3"/>
    </row>
    <row r="10" spans="1:34" ht="15" customHeight="1" thickBot="1" x14ac:dyDescent="0.3">
      <c r="A10" s="179"/>
      <c r="B10" s="182" t="s">
        <v>255</v>
      </c>
      <c r="C10" s="179"/>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0">
        <v>0.6</v>
      </c>
      <c r="AB10" s="113">
        <v>0.72557172557172556</v>
      </c>
      <c r="AC10" s="170">
        <v>0.6</v>
      </c>
      <c r="AD10" s="3"/>
      <c r="AE10" s="3" t="str">
        <v>Education</v>
      </c>
      <c r="AF10" s="112">
        <v>0.15916244699314144</v>
      </c>
      <c r="AG10" s="112" t="e">
        <v>#N/A</v>
      </c>
      <c r="AH10" s="3"/>
    </row>
    <row r="11" spans="1:34" ht="15" customHeight="1" thickTop="1" x14ac:dyDescent="0.25">
      <c r="A11" s="179"/>
      <c r="B11" s="183" t="s">
        <v>172</v>
      </c>
      <c r="C11" s="184"/>
      <c r="D11" s="184"/>
      <c r="E11" s="184"/>
      <c r="F11" s="183" t="s">
        <v>173</v>
      </c>
      <c r="G11" s="184"/>
      <c r="H11" s="184"/>
      <c r="I11" s="184"/>
      <c r="J11" s="183" t="s">
        <v>351</v>
      </c>
      <c r="K11" s="184"/>
      <c r="L11" s="184"/>
      <c r="M11" s="184"/>
      <c r="N11" s="185" t="s">
        <v>344</v>
      </c>
      <c r="O11" s="184"/>
      <c r="P11" s="184"/>
      <c r="Q11" s="186"/>
      <c r="R11" s="179"/>
      <c r="S11" s="179"/>
      <c r="T11" s="179"/>
      <c r="U11" s="179"/>
      <c r="V11" s="179"/>
      <c r="W11" s="179"/>
      <c r="X11" s="179"/>
      <c r="Y11" s="179"/>
      <c r="Z11" s="179"/>
      <c r="AA11" s="170">
        <v>0.7</v>
      </c>
      <c r="AB11" s="113">
        <v>0.8066528066528067</v>
      </c>
      <c r="AC11" s="170">
        <v>0.7</v>
      </c>
      <c r="AD11" s="3"/>
      <c r="AE11" s="3" t="str">
        <v>Children</v>
      </c>
      <c r="AF11" s="112">
        <v>0.17903952474662738</v>
      </c>
      <c r="AG11" s="112" t="e">
        <v>#N/A</v>
      </c>
      <c r="AH11" s="3"/>
    </row>
    <row r="12" spans="1:34" ht="15" customHeight="1" x14ac:dyDescent="0.25">
      <c r="A12" s="179"/>
      <c r="B12" s="187">
        <f>IFERROR(GETPIVOTDATA("Customers",Pivot_Analysis!$A$5),0)</f>
        <v>1000</v>
      </c>
      <c r="C12" s="188"/>
      <c r="D12" s="188"/>
      <c r="E12" s="188"/>
      <c r="F12" s="187">
        <f>IFERROR(GETPIVOTDATA("Buyers",Pivot_Analysis!$A$5),0)</f>
        <v>481</v>
      </c>
      <c r="G12" s="188"/>
      <c r="H12" s="188"/>
      <c r="I12" s="188"/>
      <c r="J12" s="189">
        <f>IFERROR(GETPIVOTDATA("Purchase Rate",Pivot_Analysis!$A$5),NA())</f>
        <v>0.48099999999999998</v>
      </c>
      <c r="K12" s="188"/>
      <c r="L12" s="188"/>
      <c r="M12" s="188"/>
      <c r="N12" s="189">
        <f>INDEX(tbl_TierSummary[Share of All Buyers],1)</f>
        <v>0.43866943866943869</v>
      </c>
      <c r="O12" s="188"/>
      <c r="P12" s="188"/>
      <c r="Q12" s="190"/>
      <c r="R12" s="179"/>
      <c r="S12" s="179"/>
      <c r="T12" s="179"/>
      <c r="U12" s="179"/>
      <c r="V12" s="179"/>
      <c r="W12" s="179"/>
      <c r="X12" s="179"/>
      <c r="Y12" s="179"/>
      <c r="Z12" s="179"/>
      <c r="AA12" s="170">
        <v>0.8</v>
      </c>
      <c r="AB12" s="113">
        <v>0.91683991683991684</v>
      </c>
      <c r="AC12" s="170">
        <v>0.8</v>
      </c>
      <c r="AD12" s="3"/>
      <c r="AE12" s="3" t="str">
        <v>Commute Distance</v>
      </c>
      <c r="AF12" s="112">
        <v>0.18577337970361804</v>
      </c>
      <c r="AG12" s="112" t="e">
        <v>#N/A</v>
      </c>
      <c r="AH12" s="3"/>
    </row>
    <row r="13" spans="1:34" ht="15" customHeight="1" x14ac:dyDescent="0.25">
      <c r="A13" s="179"/>
      <c r="B13" s="191"/>
      <c r="C13" s="188"/>
      <c r="D13" s="188"/>
      <c r="E13" s="188"/>
      <c r="F13" s="191"/>
      <c r="G13" s="188"/>
      <c r="H13" s="188"/>
      <c r="I13" s="188"/>
      <c r="J13" s="191"/>
      <c r="K13" s="188"/>
      <c r="L13" s="188"/>
      <c r="M13" s="188"/>
      <c r="N13" s="191"/>
      <c r="O13" s="188"/>
      <c r="P13" s="188"/>
      <c r="Q13" s="190"/>
      <c r="R13" s="179"/>
      <c r="S13" s="179"/>
      <c r="T13" s="179"/>
      <c r="U13" s="179"/>
      <c r="V13" s="179"/>
      <c r="W13" s="179"/>
      <c r="X13" s="179"/>
      <c r="Y13" s="179"/>
      <c r="Z13" s="179"/>
      <c r="AA13" s="170">
        <v>0.9</v>
      </c>
      <c r="AB13" s="113">
        <v>0.96049896049896055</v>
      </c>
      <c r="AC13" s="170">
        <v>0.9</v>
      </c>
      <c r="AD13" s="3"/>
      <c r="AE13" s="3" t="str">
        <v>Age Band</v>
      </c>
      <c r="AF13" s="112">
        <v>0.20549750937570588</v>
      </c>
      <c r="AG13" s="112" t="e">
        <v>#N/A</v>
      </c>
      <c r="AH13" s="3"/>
    </row>
    <row r="14" spans="1:34" ht="15" customHeight="1" x14ac:dyDescent="0.25">
      <c r="A14" s="179"/>
      <c r="B14" s="192" t="str">
        <f>"of "&amp;TEXT(Total_Customers,"#,##0")&amp;" customers in total"</f>
        <v>of 1,000 customers in total</v>
      </c>
      <c r="C14" s="193"/>
      <c r="D14" s="193"/>
      <c r="E14" s="193"/>
      <c r="F14" s="192" t="str">
        <f>IFERROR(TEXT(F12/B12,"0.0%")&amp;" of filtered customers bought","—")</f>
        <v>48.1% of filtered customers bought</v>
      </c>
      <c r="G14" s="193"/>
      <c r="H14" s="193"/>
      <c r="I14" s="193"/>
      <c r="J14" s="192" t="str">
        <f>IFERROR(TEXT((J12-Baseline_Rate)*100,"+0.0;-0.0;0.0")&amp;" pp vs "&amp;TEXT(Baseline_Rate,"0.0%")&amp;" overall","No customers in this filter")</f>
        <v>0.0 pp vs 48.1% overall</v>
      </c>
      <c r="K14" s="193"/>
      <c r="L14" s="193"/>
      <c r="M14" s="193"/>
      <c r="N14" s="192" t="str">
        <f>"Hot tier's share of buyers (not filtered)"</f>
        <v>Hot tier's share of buyers (not filtered)</v>
      </c>
      <c r="O14" s="193"/>
      <c r="P14" s="193"/>
      <c r="Q14" s="194"/>
      <c r="R14" s="179"/>
      <c r="S14" s="179"/>
      <c r="T14" s="179"/>
      <c r="U14" s="179"/>
      <c r="V14" s="179"/>
      <c r="W14" s="179"/>
      <c r="X14" s="179"/>
      <c r="Y14" s="179"/>
      <c r="Z14" s="179"/>
      <c r="AA14" s="170">
        <v>1</v>
      </c>
      <c r="AB14" s="113">
        <v>1</v>
      </c>
      <c r="AC14" s="170">
        <v>1</v>
      </c>
      <c r="AD14" s="3"/>
      <c r="AE14" s="3" t="str">
        <v>Car Ownership</v>
      </c>
      <c r="AF14" s="112">
        <v>0.22331278261277263</v>
      </c>
      <c r="AG14" s="112" t="e">
        <v>#N/A</v>
      </c>
      <c r="AH14" s="3"/>
    </row>
    <row r="15" spans="1:34" ht="15" customHeight="1" x14ac:dyDescent="0.25">
      <c r="A15" s="179"/>
      <c r="B15" s="195" t="str">
        <f>IF(B12&lt;50,"⚠ Small group (n = "&amp;TEXT(B12,"#,##0")&amp;"). Read with caution.","")</f>
        <v/>
      </c>
      <c r="C15" s="195"/>
      <c r="D15" s="195"/>
      <c r="E15" s="195"/>
      <c r="F15" s="195"/>
      <c r="G15" s="195"/>
      <c r="H15" s="195"/>
      <c r="I15" s="195"/>
      <c r="J15" s="195"/>
      <c r="K15" s="195"/>
      <c r="L15" s="195"/>
      <c r="M15" s="195"/>
      <c r="N15" s="195"/>
      <c r="O15" s="195"/>
      <c r="P15" s="195"/>
      <c r="Q15" s="195"/>
      <c r="R15" s="179"/>
      <c r="S15" s="179"/>
      <c r="T15" s="179"/>
      <c r="U15" s="179"/>
      <c r="V15" s="179"/>
      <c r="W15" s="179"/>
      <c r="X15" s="179"/>
      <c r="Y15" s="179"/>
      <c r="Z15" s="179"/>
      <c r="AA15" s="3"/>
      <c r="AB15" s="3"/>
      <c r="AC15" s="3"/>
      <c r="AD15" s="3"/>
      <c r="AE15" s="3" t="str">
        <v>Cars</v>
      </c>
      <c r="AF15" s="112">
        <v>0.22579979791247926</v>
      </c>
      <c r="AG15" s="112" t="e">
        <v>#N/A</v>
      </c>
      <c r="AH15" s="3"/>
    </row>
    <row r="16" spans="1:34" ht="15" customHeight="1" x14ac:dyDescent="0.25">
      <c r="A16" s="179"/>
      <c r="B16" s="196" t="s">
        <v>352</v>
      </c>
      <c r="C16" s="179"/>
      <c r="D16" s="179"/>
      <c r="E16" s="179"/>
      <c r="F16" s="179"/>
      <c r="G16" s="179"/>
      <c r="H16" s="179"/>
      <c r="I16" s="179"/>
      <c r="J16" s="179"/>
      <c r="K16" s="179"/>
      <c r="L16" s="179"/>
      <c r="M16" s="179"/>
      <c r="N16" s="179"/>
      <c r="O16" s="179"/>
      <c r="P16" s="179"/>
      <c r="Q16" s="179"/>
      <c r="R16" s="179"/>
      <c r="S16" s="179"/>
      <c r="T16" s="179"/>
      <c r="U16" s="179"/>
      <c r="V16" s="179"/>
      <c r="W16" s="179"/>
      <c r="X16" s="179"/>
      <c r="Y16" s="179"/>
      <c r="Z16" s="179"/>
      <c r="AA16" s="3"/>
      <c r="AB16" s="3"/>
      <c r="AC16" s="3"/>
      <c r="AD16" s="3"/>
      <c r="AE16" s="3"/>
      <c r="AF16" s="3"/>
      <c r="AG16" s="3"/>
      <c r="AH16" s="3"/>
    </row>
    <row r="17" spans="1:34" ht="15" customHeight="1" x14ac:dyDescent="0.25">
      <c r="A17" s="179"/>
      <c r="B17" s="197" t="str" cm="1">
        <f t="array" ref="B17">IFERROR(_xlfn.LET(_xlpm.d,Pivot_Analysis!$A$12:$B$19,_xlpm.f,_xlfn._xlws.FILTER(_xlpm.d,ISNUMBER(INDEX(_xlpm.d,,2))),_xlpm.s,INDEX(_xlpm.f,,1),_xlpm.r,INDEX(_xlpm.f,,2),_xlpm.n,_xlfn.XLOOKUP(_xlpm.s,INDEX(Pivot_Analysis!$A$60:$B$67,,1),INDEX(Pivot_Analysis!$A$60:$B$67,,2),0),_xlpm.ok,_xlpm.n&gt;=Takeaway_MinN,IF(SUM(--_xlpm.ok)=0,"• Best age band: not enough customers in any band to compare.",_xlfn.LET(_xlpm.rr,_xlfn._xlws.FILTER(_xlpm.r,_xlpm.ok),_xlpm.ss,_xlfn._xlws.FILTER(_xlpm.s,_xlpm.ok),_xlpm.nn,_xlfn._xlws.FILTER(_xlpm.n,_xlpm.ok),_xlpm.m,MAX(_xlpm.rr),"• Best age band: "&amp;_xlfn.XLOOKUP(_xlpm.m,_xlpm.rr,_xlpm.ss)&amp;" buys at "&amp;TEXT(_xlpm.m,"0.0%")&amp;" (n = "&amp;TEXT(_xlfn.XLOOKUP(_xlpm.m,_xlpm.rr,_xlpm.nn),"#,##0")&amp;")."))),"• Best age band: not enough customers in any band to compare.")</f>
        <v>• Best age band: 31-40 buys at 61.1% (n = 316).</v>
      </c>
      <c r="C17" s="198"/>
      <c r="D17" s="198"/>
      <c r="E17" s="198"/>
      <c r="F17" s="198"/>
      <c r="G17" s="198"/>
      <c r="H17" s="198"/>
      <c r="I17" s="198"/>
      <c r="J17" s="198"/>
      <c r="K17" s="198"/>
      <c r="L17" s="198"/>
      <c r="M17" s="198"/>
      <c r="N17" s="198"/>
      <c r="O17" s="198"/>
      <c r="P17" s="198"/>
      <c r="Q17" s="198"/>
      <c r="R17" s="199"/>
      <c r="S17" s="179"/>
      <c r="T17" s="179"/>
      <c r="U17" s="179"/>
      <c r="V17" s="179"/>
      <c r="W17" s="179"/>
      <c r="X17" s="179"/>
      <c r="Y17" s="179"/>
      <c r="Z17" s="179"/>
      <c r="AA17" s="3"/>
      <c r="AB17" s="3"/>
      <c r="AC17" s="3"/>
      <c r="AD17" s="3"/>
      <c r="AE17" s="3"/>
      <c r="AF17" s="3"/>
      <c r="AG17" s="3"/>
      <c r="AH17" s="3"/>
    </row>
    <row r="18" spans="1:34" ht="15" customHeight="1" x14ac:dyDescent="0.25">
      <c r="A18" s="179"/>
      <c r="B18" s="200" t="str">
        <f>IFERROR(_xlfn.LET(_xlpm.na,IFERROR(GETPIVOTDATA("Customers",Pivot_Analysis!$A$79,"Car Ownership","0-1 Cars"),0),_xlpm.nb,IFERROR(GETPIVOTDATA("Customers",Pivot_Analysis!$A$79,"Car Ownership","2+ Cars"),0),IF(OR(_xlpm.na&lt;Takeaway_MinN,_xlpm.nb&lt;Takeaway_MinN),"• Car ownership gap: not enough customers in one group to compare.",_xlfn.LET(_xlpm.a,GETPIVOTDATA("Purchase Rate",Pivot_Analysis!$A$52,"Car Ownership","0-1 Cars"),_xlpm.b,GETPIVOTDATA("Purchase Rate",Pivot_Analysis!$A$52,"Car Ownership","2+ Cars"),"• Car ownership gap: 0-1 Cars buy at "&amp;TEXT(_xlpm.a,"0.0%")&amp;" vs "&amp;TEXT(_xlpm.b,"0.0%")&amp;" for 2+ Cars ("&amp;TEXT((_xlpm.a-_xlpm.b)*100,"+0.0;-0.0;0.0")&amp;" pp; n = "&amp;TEXT(_xlpm.na,"#,##0")&amp;" vs "&amp;TEXT(_xlpm.nb,"#,##0")&amp;")."))),"• Car ownership gap: not enough customers in one group to compare.")</f>
        <v>• Car ownership gap: 0-1 Cars buy at 58.9% vs 36.6% for 2+ Cars (+22.3 pp; n = 514 vs 486).</v>
      </c>
      <c r="C18" s="201"/>
      <c r="D18" s="201"/>
      <c r="E18" s="201"/>
      <c r="F18" s="201"/>
      <c r="G18" s="201"/>
      <c r="H18" s="201"/>
      <c r="I18" s="201"/>
      <c r="J18" s="201"/>
      <c r="K18" s="201"/>
      <c r="L18" s="201"/>
      <c r="M18" s="201"/>
      <c r="N18" s="201"/>
      <c r="O18" s="201"/>
      <c r="P18" s="201"/>
      <c r="Q18" s="201"/>
      <c r="R18" s="202"/>
      <c r="S18" s="179"/>
      <c r="T18" s="179"/>
      <c r="U18" s="179"/>
      <c r="V18" s="179"/>
      <c r="W18" s="179"/>
      <c r="X18" s="179"/>
      <c r="Y18" s="179"/>
      <c r="Z18" s="179"/>
      <c r="AA18" s="3"/>
      <c r="AB18" s="3"/>
      <c r="AC18" s="3"/>
      <c r="AD18" s="3"/>
      <c r="AE18" s="3"/>
      <c r="AF18" s="3"/>
      <c r="AG18" s="3"/>
      <c r="AH18" s="3"/>
    </row>
    <row r="19" spans="1:34" ht="15" customHeight="1" x14ac:dyDescent="0.25">
      <c r="A19" s="179"/>
      <c r="B19" s="203" t="str" cm="1">
        <f t="array" ref="B19">IFERROR(_xlfn.LET(_xlpm.d,Pivot_Analysis!$A$22:$B$29,_xlpm.f,_xlfn._xlws.FILTER(_xlpm.d,ISNUMBER(INDEX(_xlpm.d,,2))),_xlpm.s,INDEX(_xlpm.f,,1),_xlpm.r,INDEX(_xlpm.f,,2),_xlpm.n,_xlfn.XLOOKUP(_xlpm.s,INDEX(Pivot_Analysis!$A$70:$B$77,,1),INDEX(Pivot_Analysis!$A$70:$B$77,,2),0),_xlpm.ok,_xlpm.n&gt;=Takeaway_MinN,IF(SUM(--_xlpm.ok)=0,"• Lowest commute band: not enough customers in any band to compare.",_xlfn.LET(_xlpm.rr,_xlfn._xlws.FILTER(_xlpm.r,_xlpm.ok),_xlpm.ss,_xlfn._xlws.FILTER(_xlpm.s,_xlpm.ok),_xlpm.nn,_xlfn._xlws.FILTER(_xlpm.n,_xlpm.ok),_xlpm.m,MIN(_xlpm.rr),"• Lowest commute band: "&amp;_xlfn.XLOOKUP(_xlpm.m,_xlpm.rr,_xlpm.ss)&amp;" buys at only "&amp;TEXT(_xlpm.m,"0.0%")&amp;" (n = "&amp;TEXT(_xlfn.XLOOKUP(_xlpm.m,_xlpm.rr,_xlpm.nn),"#,##0")&amp;")."))),"• Lowest commute band: not enough customers in any band to compare.")</f>
        <v>• Lowest commute band: 10+ Miles buys at only 29.7% (n = 111).</v>
      </c>
      <c r="C19" s="204"/>
      <c r="D19" s="204"/>
      <c r="E19" s="204"/>
      <c r="F19" s="204"/>
      <c r="G19" s="204"/>
      <c r="H19" s="204"/>
      <c r="I19" s="204"/>
      <c r="J19" s="204"/>
      <c r="K19" s="204"/>
      <c r="L19" s="204"/>
      <c r="M19" s="204"/>
      <c r="N19" s="204"/>
      <c r="O19" s="204"/>
      <c r="P19" s="204"/>
      <c r="Q19" s="204"/>
      <c r="R19" s="205"/>
      <c r="S19" s="179"/>
      <c r="T19" s="179"/>
      <c r="U19" s="179"/>
      <c r="V19" s="179"/>
      <c r="W19" s="179"/>
      <c r="X19" s="179"/>
      <c r="Y19" s="179"/>
      <c r="Z19" s="179"/>
      <c r="AA19" s="3"/>
      <c r="AB19" s="3"/>
      <c r="AC19" s="3"/>
      <c r="AD19" s="3"/>
      <c r="AE19" s="3"/>
      <c r="AF19" s="3"/>
      <c r="AG19" s="3"/>
      <c r="AH19" s="3"/>
    </row>
    <row r="20" spans="1:34" ht="15" customHeight="1" x14ac:dyDescent="0.25">
      <c r="A20" s="179"/>
      <c r="B20" s="179"/>
      <c r="C20" s="179"/>
      <c r="D20" s="179"/>
      <c r="E20" s="179"/>
      <c r="F20" s="179"/>
      <c r="G20" s="179"/>
      <c r="H20" s="179"/>
      <c r="I20" s="179"/>
      <c r="J20" s="179"/>
      <c r="K20" s="179"/>
      <c r="L20" s="179"/>
      <c r="M20" s="179"/>
      <c r="N20" s="179"/>
      <c r="O20" s="179"/>
      <c r="P20" s="179"/>
      <c r="Q20" s="179"/>
      <c r="R20" s="179"/>
      <c r="S20" s="179"/>
      <c r="T20" s="179"/>
      <c r="U20" s="179"/>
      <c r="V20" s="179"/>
      <c r="W20" s="179"/>
      <c r="X20" s="179"/>
      <c r="Y20" s="179"/>
      <c r="Z20" s="179"/>
      <c r="AA20" s="3"/>
      <c r="AB20" s="3"/>
      <c r="AC20" s="3"/>
      <c r="AD20" s="3"/>
      <c r="AE20" s="3"/>
      <c r="AF20" s="3"/>
      <c r="AG20" s="3"/>
      <c r="AH20" s="3"/>
    </row>
    <row r="21" spans="1:34" ht="15" customHeight="1" x14ac:dyDescent="0.25">
      <c r="A21" s="179"/>
      <c r="B21" s="179"/>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c r="AA21" s="3"/>
      <c r="AB21" s="3"/>
      <c r="AC21" s="3"/>
      <c r="AD21" s="3"/>
      <c r="AE21" s="3"/>
      <c r="AF21" s="3"/>
      <c r="AG21" s="3"/>
      <c r="AH21" s="3"/>
    </row>
    <row r="22" spans="1:34" ht="15" customHeight="1" x14ac:dyDescent="0.25">
      <c r="A22" s="179"/>
      <c r="B22" s="179"/>
      <c r="C22" s="179"/>
      <c r="D22" s="179"/>
      <c r="E22" s="179"/>
      <c r="F22" s="179"/>
      <c r="G22" s="179"/>
      <c r="H22" s="179"/>
      <c r="I22" s="179"/>
      <c r="J22" s="179"/>
      <c r="K22" s="179"/>
      <c r="L22" s="179"/>
      <c r="M22" s="179"/>
      <c r="N22" s="179"/>
      <c r="O22" s="179"/>
      <c r="P22" s="179"/>
      <c r="Q22" s="179"/>
      <c r="R22" s="179"/>
      <c r="S22" s="179"/>
      <c r="T22" s="179"/>
      <c r="U22" s="179"/>
      <c r="V22" s="179"/>
      <c r="W22" s="179"/>
      <c r="X22" s="179"/>
      <c r="Y22" s="179"/>
      <c r="Z22" s="179"/>
      <c r="AA22" s="3"/>
      <c r="AB22" s="3"/>
      <c r="AC22" s="3"/>
      <c r="AD22" s="3"/>
      <c r="AE22" s="3"/>
      <c r="AF22" s="3"/>
      <c r="AG22" s="3"/>
      <c r="AH22" s="3"/>
    </row>
    <row r="23" spans="1:34" x14ac:dyDescent="0.25">
      <c r="A23" s="179"/>
      <c r="B23" s="179"/>
      <c r="C23" s="179"/>
      <c r="D23" s="179"/>
      <c r="E23" s="179"/>
      <c r="F23" s="179"/>
      <c r="G23" s="179"/>
      <c r="H23" s="179"/>
      <c r="I23" s="179"/>
      <c r="J23" s="179"/>
      <c r="K23" s="179"/>
      <c r="L23" s="179"/>
      <c r="M23" s="179"/>
      <c r="N23" s="179"/>
      <c r="O23" s="179"/>
      <c r="P23" s="179"/>
      <c r="Q23" s="179"/>
      <c r="R23" s="179"/>
      <c r="S23" s="179"/>
      <c r="T23" s="179"/>
      <c r="U23" s="179"/>
      <c r="V23" s="179"/>
      <c r="W23" s="179"/>
      <c r="X23" s="179"/>
      <c r="Y23" s="179"/>
      <c r="Z23" s="179"/>
      <c r="AA23" s="3"/>
      <c r="AB23" s="3"/>
      <c r="AC23" s="3"/>
      <c r="AD23" s="3"/>
      <c r="AE23" s="3"/>
      <c r="AF23" s="3"/>
      <c r="AG23" s="3"/>
      <c r="AH23" s="3"/>
    </row>
    <row r="24" spans="1:34" x14ac:dyDescent="0.25">
      <c r="A24" s="179"/>
      <c r="B24" s="179"/>
      <c r="C24" s="179"/>
      <c r="D24" s="179"/>
      <c r="E24" s="179"/>
      <c r="F24" s="179"/>
      <c r="G24" s="179"/>
      <c r="H24" s="179"/>
      <c r="I24" s="179"/>
      <c r="J24" s="179"/>
      <c r="K24" s="179"/>
      <c r="L24" s="179"/>
      <c r="M24" s="179"/>
      <c r="N24" s="179"/>
      <c r="O24" s="179"/>
      <c r="P24" s="179"/>
      <c r="Q24" s="179"/>
      <c r="R24" s="179"/>
      <c r="S24" s="179"/>
      <c r="T24" s="179"/>
      <c r="U24" s="179"/>
      <c r="V24" s="179"/>
      <c r="W24" s="179"/>
      <c r="X24" s="179"/>
      <c r="Y24" s="179"/>
      <c r="Z24" s="179"/>
      <c r="AA24" s="3"/>
      <c r="AB24" s="3"/>
      <c r="AC24" s="3"/>
      <c r="AD24" s="3"/>
      <c r="AE24" s="3"/>
      <c r="AF24" s="3"/>
      <c r="AG24" s="3"/>
      <c r="AH24" s="3"/>
    </row>
    <row r="25" spans="1:34" x14ac:dyDescent="0.25">
      <c r="A25" s="179"/>
      <c r="B25" s="179"/>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c r="AA25" s="3"/>
      <c r="AB25" s="3"/>
      <c r="AC25" s="3"/>
      <c r="AD25" s="3"/>
      <c r="AE25" s="3"/>
      <c r="AF25" s="3"/>
      <c r="AG25" s="3"/>
      <c r="AH25" s="3"/>
    </row>
    <row r="26" spans="1:34" x14ac:dyDescent="0.25">
      <c r="A26" s="179"/>
      <c r="B26" s="179"/>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c r="AA26" s="3"/>
      <c r="AB26" s="3"/>
      <c r="AC26" s="3"/>
      <c r="AD26" s="3"/>
      <c r="AE26" s="3"/>
      <c r="AF26" s="3"/>
      <c r="AG26" s="3"/>
      <c r="AH26" s="3"/>
    </row>
    <row r="27" spans="1:34" x14ac:dyDescent="0.25">
      <c r="A27" s="179"/>
      <c r="B27" s="179"/>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c r="AA27" s="3"/>
      <c r="AB27" s="3"/>
      <c r="AC27" s="3"/>
      <c r="AD27" s="3"/>
      <c r="AE27" s="3"/>
      <c r="AF27" s="3"/>
      <c r="AG27" s="3"/>
      <c r="AH27" s="3"/>
    </row>
    <row r="28" spans="1:34" x14ac:dyDescent="0.25">
      <c r="A28" s="179"/>
      <c r="B28" s="179"/>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c r="AA28" s="3"/>
      <c r="AB28" s="3"/>
      <c r="AC28" s="3"/>
      <c r="AD28" s="3"/>
      <c r="AE28" s="3"/>
      <c r="AF28" s="3"/>
      <c r="AG28" s="3"/>
      <c r="AH28" s="3"/>
    </row>
    <row r="29" spans="1:34" x14ac:dyDescent="0.25">
      <c r="A29" s="179"/>
      <c r="B29" s="179"/>
      <c r="C29" s="179"/>
      <c r="D29" s="179"/>
      <c r="E29" s="179"/>
      <c r="F29" s="179"/>
      <c r="G29" s="179"/>
      <c r="H29" s="179"/>
      <c r="I29" s="179"/>
      <c r="J29" s="179"/>
      <c r="K29" s="179"/>
      <c r="L29" s="179"/>
      <c r="M29" s="179"/>
      <c r="N29" s="179"/>
      <c r="O29" s="179"/>
      <c r="P29" s="179"/>
      <c r="Q29" s="179"/>
      <c r="R29" s="179"/>
      <c r="S29" s="179"/>
      <c r="T29" s="179"/>
      <c r="U29" s="179"/>
      <c r="V29" s="179"/>
      <c r="W29" s="179"/>
      <c r="X29" s="179"/>
      <c r="Y29" s="179"/>
      <c r="Z29" s="179"/>
      <c r="AA29" s="3"/>
      <c r="AB29" s="3"/>
      <c r="AC29" s="3"/>
      <c r="AD29" s="3"/>
      <c r="AE29" s="3"/>
      <c r="AF29" s="3"/>
      <c r="AG29" s="3"/>
      <c r="AH29" s="3"/>
    </row>
    <row r="30" spans="1:34" x14ac:dyDescent="0.25">
      <c r="A30" s="179"/>
      <c r="B30" s="179"/>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c r="AA30" s="3"/>
      <c r="AB30" s="3"/>
      <c r="AC30" s="3"/>
      <c r="AD30" s="3"/>
      <c r="AE30" s="3"/>
      <c r="AF30" s="3"/>
      <c r="AG30" s="3"/>
      <c r="AH30" s="3"/>
    </row>
    <row r="31" spans="1:34" x14ac:dyDescent="0.25">
      <c r="A31" s="179"/>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3"/>
      <c r="AB31" s="3"/>
      <c r="AC31" s="3"/>
      <c r="AD31" s="3"/>
      <c r="AE31" s="3"/>
      <c r="AF31" s="3"/>
      <c r="AG31" s="3"/>
      <c r="AH31" s="3"/>
    </row>
    <row r="32" spans="1:34" x14ac:dyDescent="0.25">
      <c r="A32" s="179"/>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3"/>
      <c r="AB32" s="3"/>
      <c r="AC32" s="3"/>
      <c r="AD32" s="3"/>
      <c r="AE32" s="3"/>
      <c r="AF32" s="3"/>
      <c r="AG32" s="3"/>
      <c r="AH32" s="3"/>
    </row>
    <row r="33" spans="1:34" x14ac:dyDescent="0.25">
      <c r="A33" s="179"/>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3"/>
      <c r="AB33" s="3"/>
      <c r="AC33" s="3"/>
      <c r="AD33" s="3"/>
      <c r="AE33" s="3"/>
      <c r="AF33" s="3"/>
      <c r="AG33" s="3"/>
      <c r="AH33" s="3"/>
    </row>
    <row r="34" spans="1:34" x14ac:dyDescent="0.25">
      <c r="A34" s="179"/>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3"/>
      <c r="AB34" s="3"/>
      <c r="AC34" s="3"/>
      <c r="AD34" s="3"/>
      <c r="AE34" s="3"/>
      <c r="AF34" s="3"/>
      <c r="AG34" s="3"/>
      <c r="AH34" s="3"/>
    </row>
    <row r="35" spans="1:34" x14ac:dyDescent="0.25">
      <c r="A35" s="179"/>
      <c r="B35" s="179"/>
      <c r="C35" s="179"/>
      <c r="D35" s="179"/>
      <c r="E35" s="179"/>
      <c r="F35" s="179"/>
      <c r="G35" s="179"/>
      <c r="H35" s="179"/>
      <c r="I35" s="179"/>
      <c r="J35" s="179"/>
      <c r="K35" s="179"/>
      <c r="L35" s="179"/>
      <c r="M35" s="179"/>
      <c r="N35" s="179"/>
      <c r="O35" s="179"/>
      <c r="P35" s="179"/>
      <c r="Q35" s="179"/>
      <c r="R35" s="179"/>
      <c r="S35" s="179"/>
      <c r="T35" s="179"/>
      <c r="U35" s="179"/>
      <c r="V35" s="179"/>
      <c r="W35" s="179"/>
      <c r="X35" s="179"/>
      <c r="Y35" s="179"/>
      <c r="Z35" s="179"/>
      <c r="AA35" s="3"/>
      <c r="AB35" s="3"/>
      <c r="AC35" s="3"/>
      <c r="AD35" s="3"/>
      <c r="AE35" s="3"/>
      <c r="AF35" s="3"/>
      <c r="AG35" s="3"/>
      <c r="AH35" s="3"/>
    </row>
    <row r="36" spans="1:34" x14ac:dyDescent="0.25">
      <c r="A36" s="179"/>
      <c r="B36" s="179"/>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c r="AA36" s="3"/>
      <c r="AB36" s="3"/>
      <c r="AC36" s="3"/>
      <c r="AD36" s="3"/>
      <c r="AE36" s="3"/>
      <c r="AF36" s="3"/>
      <c r="AG36" s="3"/>
      <c r="AH36" s="3"/>
    </row>
    <row r="37" spans="1:34" x14ac:dyDescent="0.25">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3"/>
      <c r="AB37" s="3"/>
      <c r="AC37" s="3"/>
      <c r="AD37" s="3"/>
      <c r="AE37" s="3"/>
      <c r="AF37" s="3"/>
      <c r="AG37" s="3"/>
      <c r="AH37" s="3"/>
    </row>
    <row r="38" spans="1:34" x14ac:dyDescent="0.25">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3"/>
      <c r="AB38" s="3"/>
      <c r="AC38" s="3"/>
      <c r="AD38" s="3"/>
      <c r="AE38" s="3"/>
      <c r="AF38" s="3"/>
      <c r="AG38" s="3"/>
      <c r="AH38" s="3"/>
    </row>
    <row r="39" spans="1:34" x14ac:dyDescent="0.25">
      <c r="A39" s="179"/>
      <c r="B39" s="179"/>
      <c r="C39" s="179"/>
      <c r="D39" s="179"/>
      <c r="E39" s="179"/>
      <c r="F39" s="179"/>
      <c r="G39" s="179"/>
      <c r="H39" s="179"/>
      <c r="I39" s="179"/>
      <c r="J39" s="179"/>
      <c r="K39" s="179"/>
      <c r="L39" s="179"/>
      <c r="M39" s="179"/>
      <c r="N39" s="179"/>
      <c r="O39" s="179"/>
      <c r="P39" s="179"/>
      <c r="Q39" s="179"/>
      <c r="R39" s="179"/>
      <c r="S39" s="179"/>
      <c r="T39" s="179"/>
      <c r="U39" s="179"/>
      <c r="V39" s="179"/>
      <c r="W39" s="179"/>
      <c r="X39" s="179"/>
      <c r="Y39" s="179"/>
      <c r="Z39" s="179"/>
      <c r="AA39" s="3"/>
      <c r="AB39" s="3"/>
      <c r="AC39" s="3"/>
      <c r="AD39" s="3"/>
      <c r="AE39" s="3"/>
      <c r="AF39" s="3"/>
      <c r="AG39" s="3"/>
      <c r="AH39" s="3"/>
    </row>
    <row r="40" spans="1:34" x14ac:dyDescent="0.25">
      <c r="A40" s="179"/>
      <c r="B40" s="179"/>
      <c r="C40" s="179"/>
      <c r="D40" s="179"/>
      <c r="E40" s="179"/>
      <c r="F40" s="179"/>
      <c r="G40" s="179"/>
      <c r="H40" s="179"/>
      <c r="I40" s="179"/>
      <c r="J40" s="179"/>
      <c r="K40" s="179"/>
      <c r="L40" s="179"/>
      <c r="M40" s="179"/>
      <c r="N40" s="179"/>
      <c r="O40" s="179"/>
      <c r="P40" s="179"/>
      <c r="Q40" s="179"/>
      <c r="R40" s="179"/>
      <c r="S40" s="179"/>
      <c r="T40" s="179"/>
      <c r="U40" s="179"/>
      <c r="V40" s="179"/>
      <c r="W40" s="179"/>
      <c r="X40" s="179"/>
      <c r="Y40" s="179"/>
      <c r="Z40" s="179"/>
      <c r="AA40" s="3"/>
      <c r="AB40" s="3"/>
      <c r="AC40" s="3"/>
      <c r="AD40" s="3"/>
      <c r="AE40" s="3"/>
      <c r="AF40" s="3"/>
      <c r="AG40" s="3"/>
      <c r="AH40" s="3"/>
    </row>
    <row r="41" spans="1:34" x14ac:dyDescent="0.25">
      <c r="A41" s="179"/>
      <c r="B41" s="179"/>
      <c r="C41" s="179"/>
      <c r="D41" s="179"/>
      <c r="E41" s="179"/>
      <c r="F41" s="179"/>
      <c r="G41" s="179"/>
      <c r="H41" s="179"/>
      <c r="I41" s="179"/>
      <c r="J41" s="179"/>
      <c r="K41" s="179"/>
      <c r="L41" s="179"/>
      <c r="M41" s="179"/>
      <c r="N41" s="179"/>
      <c r="O41" s="179"/>
      <c r="P41" s="179"/>
      <c r="Q41" s="179"/>
      <c r="R41" s="179"/>
      <c r="S41" s="179"/>
      <c r="T41" s="179"/>
      <c r="U41" s="179"/>
      <c r="V41" s="179"/>
      <c r="W41" s="179"/>
      <c r="X41" s="179"/>
      <c r="Y41" s="179"/>
      <c r="Z41" s="179"/>
      <c r="AA41" s="3"/>
      <c r="AB41" s="3"/>
      <c r="AC41" s="3"/>
      <c r="AD41" s="3"/>
      <c r="AE41" s="3"/>
      <c r="AF41" s="3"/>
      <c r="AG41" s="3"/>
      <c r="AH41" s="3"/>
    </row>
    <row r="42" spans="1:34" x14ac:dyDescent="0.25">
      <c r="A42" s="179"/>
      <c r="B42" s="179"/>
      <c r="C42" s="179"/>
      <c r="D42" s="179"/>
      <c r="E42" s="179"/>
      <c r="F42" s="179"/>
      <c r="G42" s="179"/>
      <c r="H42" s="179"/>
      <c r="I42" s="179"/>
      <c r="J42" s="179"/>
      <c r="K42" s="179"/>
      <c r="L42" s="179"/>
      <c r="M42" s="179"/>
      <c r="N42" s="179"/>
      <c r="O42" s="179"/>
      <c r="P42" s="179"/>
      <c r="Q42" s="179"/>
      <c r="R42" s="179"/>
      <c r="S42" s="179"/>
      <c r="T42" s="179"/>
      <c r="U42" s="179"/>
      <c r="V42" s="179"/>
      <c r="W42" s="179"/>
      <c r="X42" s="179"/>
      <c r="Y42" s="179"/>
      <c r="Z42" s="179"/>
      <c r="AA42" s="3"/>
      <c r="AB42" s="3"/>
      <c r="AC42" s="3"/>
      <c r="AD42" s="3"/>
      <c r="AE42" s="3"/>
      <c r="AF42" s="3"/>
      <c r="AG42" s="3"/>
      <c r="AH42" s="3"/>
    </row>
    <row r="43" spans="1:34" x14ac:dyDescent="0.25">
      <c r="A43" s="179"/>
      <c r="B43" s="179"/>
      <c r="C43" s="179"/>
      <c r="D43" s="179"/>
      <c r="E43" s="179"/>
      <c r="F43" s="179"/>
      <c r="G43" s="179"/>
      <c r="H43" s="179"/>
      <c r="I43" s="179"/>
      <c r="J43" s="179"/>
      <c r="K43" s="179"/>
      <c r="L43" s="179"/>
      <c r="M43" s="179"/>
      <c r="N43" s="179"/>
      <c r="O43" s="179"/>
      <c r="P43" s="179"/>
      <c r="Q43" s="179"/>
      <c r="R43" s="179"/>
      <c r="S43" s="179"/>
      <c r="T43" s="179"/>
      <c r="U43" s="179"/>
      <c r="V43" s="179"/>
      <c r="W43" s="179"/>
      <c r="X43" s="179"/>
      <c r="Y43" s="179"/>
      <c r="Z43" s="179"/>
      <c r="AA43" s="3"/>
      <c r="AB43" s="3"/>
      <c r="AC43" s="3"/>
      <c r="AD43" s="3"/>
      <c r="AE43" s="3"/>
      <c r="AF43" s="3"/>
      <c r="AG43" s="3"/>
      <c r="AH43" s="3"/>
    </row>
    <row r="44" spans="1:34" x14ac:dyDescent="0.25">
      <c r="A44" s="179"/>
      <c r="B44" s="179"/>
      <c r="C44" s="179"/>
      <c r="D44" s="179"/>
      <c r="E44" s="179"/>
      <c r="F44" s="179"/>
      <c r="G44" s="179"/>
      <c r="H44" s="179"/>
      <c r="I44" s="179"/>
      <c r="J44" s="179"/>
      <c r="K44" s="179"/>
      <c r="L44" s="179"/>
      <c r="M44" s="179"/>
      <c r="N44" s="179"/>
      <c r="O44" s="179"/>
      <c r="P44" s="179"/>
      <c r="Q44" s="179"/>
      <c r="R44" s="179"/>
      <c r="S44" s="179"/>
      <c r="T44" s="179"/>
      <c r="U44" s="179"/>
      <c r="V44" s="179"/>
      <c r="W44" s="179"/>
      <c r="X44" s="179"/>
      <c r="Y44" s="179"/>
      <c r="Z44" s="179"/>
      <c r="AA44" s="3"/>
      <c r="AB44" s="3"/>
      <c r="AC44" s="3"/>
      <c r="AD44" s="3"/>
      <c r="AE44" s="3"/>
      <c r="AF44" s="3"/>
      <c r="AG44" s="3"/>
      <c r="AH44" s="3"/>
    </row>
    <row r="45" spans="1:34" x14ac:dyDescent="0.25">
      <c r="A45" s="179"/>
      <c r="B45" s="179"/>
      <c r="C45" s="179"/>
      <c r="D45" s="179"/>
      <c r="E45" s="179"/>
      <c r="F45" s="179"/>
      <c r="G45" s="179"/>
      <c r="H45" s="179"/>
      <c r="I45" s="179"/>
      <c r="J45" s="179"/>
      <c r="K45" s="179"/>
      <c r="L45" s="179"/>
      <c r="M45" s="179"/>
      <c r="N45" s="179"/>
      <c r="O45" s="179"/>
      <c r="P45" s="179"/>
      <c r="Q45" s="179"/>
      <c r="R45" s="179"/>
      <c r="S45" s="179"/>
      <c r="T45" s="179"/>
      <c r="U45" s="179"/>
      <c r="V45" s="179"/>
      <c r="W45" s="179"/>
      <c r="X45" s="179"/>
      <c r="Y45" s="179"/>
      <c r="Z45" s="179"/>
      <c r="AA45" s="3"/>
      <c r="AB45" s="3"/>
      <c r="AC45" s="3"/>
      <c r="AD45" s="3"/>
      <c r="AE45" s="3"/>
      <c r="AF45" s="3"/>
      <c r="AG45" s="3"/>
      <c r="AH45" s="3"/>
    </row>
    <row r="46" spans="1:34" x14ac:dyDescent="0.25">
      <c r="A46" s="179"/>
      <c r="B46" s="179"/>
      <c r="C46" s="179"/>
      <c r="D46" s="179"/>
      <c r="E46" s="179"/>
      <c r="F46" s="179"/>
      <c r="G46" s="179"/>
      <c r="H46" s="179"/>
      <c r="I46" s="179"/>
      <c r="J46" s="179"/>
      <c r="K46" s="179"/>
      <c r="L46" s="179"/>
      <c r="M46" s="179"/>
      <c r="N46" s="179"/>
      <c r="O46" s="179"/>
      <c r="P46" s="179"/>
      <c r="Q46" s="179"/>
      <c r="R46" s="179"/>
      <c r="S46" s="179"/>
      <c r="T46" s="179"/>
      <c r="U46" s="179"/>
      <c r="V46" s="179"/>
      <c r="W46" s="179"/>
      <c r="X46" s="179"/>
      <c r="Y46" s="179"/>
      <c r="Z46" s="179"/>
      <c r="AA46" s="3"/>
      <c r="AB46" s="3"/>
      <c r="AC46" s="3"/>
      <c r="AD46" s="3"/>
      <c r="AE46" s="3"/>
      <c r="AF46" s="3"/>
      <c r="AG46" s="3"/>
      <c r="AH46" s="3"/>
    </row>
    <row r="47" spans="1:34" x14ac:dyDescent="0.25">
      <c r="A47" s="179"/>
      <c r="B47" s="179"/>
      <c r="C47" s="179"/>
      <c r="D47" s="179"/>
      <c r="E47" s="179"/>
      <c r="F47" s="179"/>
      <c r="G47" s="179"/>
      <c r="H47" s="179"/>
      <c r="I47" s="179"/>
      <c r="J47" s="179"/>
      <c r="K47" s="179"/>
      <c r="L47" s="179"/>
      <c r="M47" s="179"/>
      <c r="N47" s="179"/>
      <c r="O47" s="179"/>
      <c r="P47" s="179"/>
      <c r="Q47" s="179"/>
      <c r="R47" s="179"/>
      <c r="S47" s="179"/>
      <c r="T47" s="179"/>
      <c r="U47" s="179"/>
      <c r="V47" s="179"/>
      <c r="W47" s="179"/>
      <c r="X47" s="179"/>
      <c r="Y47" s="179"/>
      <c r="Z47" s="179"/>
      <c r="AA47" s="3"/>
      <c r="AB47" s="3"/>
      <c r="AC47" s="3"/>
      <c r="AD47" s="3"/>
      <c r="AE47" s="3"/>
      <c r="AF47" s="3"/>
      <c r="AG47" s="3"/>
      <c r="AH47" s="3"/>
    </row>
    <row r="48" spans="1:34" x14ac:dyDescent="0.25">
      <c r="A48" s="179"/>
      <c r="B48" s="179"/>
      <c r="C48" s="179"/>
      <c r="D48" s="179"/>
      <c r="E48" s="179"/>
      <c r="F48" s="179"/>
      <c r="G48" s="179"/>
      <c r="H48" s="179"/>
      <c r="I48" s="179"/>
      <c r="J48" s="179"/>
      <c r="K48" s="179"/>
      <c r="L48" s="179"/>
      <c r="M48" s="179"/>
      <c r="N48" s="179"/>
      <c r="O48" s="179"/>
      <c r="P48" s="179"/>
      <c r="Q48" s="179"/>
      <c r="R48" s="179"/>
      <c r="S48" s="179"/>
      <c r="T48" s="179"/>
      <c r="U48" s="179"/>
      <c r="V48" s="179"/>
      <c r="W48" s="179"/>
      <c r="X48" s="179"/>
      <c r="Y48" s="179"/>
      <c r="Z48" s="179"/>
      <c r="AA48" s="3"/>
      <c r="AB48" s="3"/>
      <c r="AC48" s="3"/>
      <c r="AD48" s="3"/>
      <c r="AE48" s="3"/>
      <c r="AF48" s="3"/>
      <c r="AG48" s="3"/>
      <c r="AH48" s="3"/>
    </row>
    <row r="49" spans="1:34" x14ac:dyDescent="0.25">
      <c r="A49" s="179"/>
      <c r="B49" s="179"/>
      <c r="C49" s="179"/>
      <c r="D49" s="179"/>
      <c r="E49" s="179"/>
      <c r="F49" s="179"/>
      <c r="G49" s="179"/>
      <c r="H49" s="179"/>
      <c r="I49" s="179"/>
      <c r="J49" s="179"/>
      <c r="K49" s="179"/>
      <c r="L49" s="179"/>
      <c r="M49" s="179"/>
      <c r="N49" s="179"/>
      <c r="O49" s="179"/>
      <c r="P49" s="179"/>
      <c r="Q49" s="179"/>
      <c r="R49" s="179"/>
      <c r="S49" s="179"/>
      <c r="T49" s="179"/>
      <c r="U49" s="179"/>
      <c r="V49" s="179"/>
      <c r="W49" s="179"/>
      <c r="X49" s="179"/>
      <c r="Y49" s="179"/>
      <c r="Z49" s="179"/>
      <c r="AA49" s="3"/>
      <c r="AB49" s="3"/>
      <c r="AC49" s="3"/>
      <c r="AD49" s="3"/>
      <c r="AE49" s="3"/>
      <c r="AF49" s="3"/>
      <c r="AG49" s="3"/>
      <c r="AH49" s="3"/>
    </row>
    <row r="50" spans="1:34" x14ac:dyDescent="0.25">
      <c r="A50" s="179"/>
      <c r="B50" s="179"/>
      <c r="C50" s="179"/>
      <c r="D50" s="179"/>
      <c r="E50" s="179"/>
      <c r="F50" s="179"/>
      <c r="G50" s="179"/>
      <c r="H50" s="179"/>
      <c r="I50" s="179"/>
      <c r="J50" s="179"/>
      <c r="K50" s="179"/>
      <c r="L50" s="179"/>
      <c r="M50" s="179"/>
      <c r="N50" s="179"/>
      <c r="O50" s="179"/>
      <c r="P50" s="179"/>
      <c r="Q50" s="179"/>
      <c r="R50" s="179"/>
      <c r="S50" s="179"/>
      <c r="T50" s="179"/>
      <c r="U50" s="179"/>
      <c r="V50" s="179"/>
      <c r="W50" s="179"/>
      <c r="X50" s="179"/>
      <c r="Y50" s="179"/>
      <c r="Z50" s="179"/>
      <c r="AA50" s="3"/>
      <c r="AB50" s="3"/>
      <c r="AC50" s="3"/>
      <c r="AD50" s="3"/>
      <c r="AE50" s="3"/>
      <c r="AF50" s="3"/>
      <c r="AG50" s="3"/>
      <c r="AH50" s="3"/>
    </row>
    <row r="51" spans="1:34" x14ac:dyDescent="0.25">
      <c r="A51" s="179"/>
      <c r="B51" s="179"/>
      <c r="C51" s="179"/>
      <c r="D51" s="179"/>
      <c r="E51" s="179"/>
      <c r="F51" s="179"/>
      <c r="G51" s="179"/>
      <c r="H51" s="179"/>
      <c r="I51" s="179"/>
      <c r="J51" s="179"/>
      <c r="K51" s="179"/>
      <c r="L51" s="179"/>
      <c r="M51" s="179"/>
      <c r="N51" s="179"/>
      <c r="O51" s="179"/>
      <c r="P51" s="179"/>
      <c r="Q51" s="179"/>
      <c r="R51" s="179"/>
      <c r="S51" s="179"/>
      <c r="T51" s="179"/>
      <c r="U51" s="179"/>
      <c r="V51" s="179"/>
      <c r="W51" s="179"/>
      <c r="X51" s="179"/>
      <c r="Y51" s="179"/>
      <c r="Z51" s="179"/>
      <c r="AA51" s="3"/>
      <c r="AB51" s="3"/>
      <c r="AC51" s="3"/>
      <c r="AD51" s="3"/>
      <c r="AE51" s="3"/>
      <c r="AF51" s="3"/>
      <c r="AG51" s="3"/>
      <c r="AH51" s="3"/>
    </row>
    <row r="52" spans="1:34" x14ac:dyDescent="0.25">
      <c r="A52" s="179"/>
      <c r="B52" s="179"/>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3"/>
      <c r="AB52" s="3"/>
      <c r="AC52" s="3"/>
      <c r="AD52" s="3"/>
      <c r="AE52" s="3"/>
      <c r="AF52" s="3"/>
      <c r="AG52" s="3"/>
      <c r="AH52" s="3"/>
    </row>
    <row r="53" spans="1:34" x14ac:dyDescent="0.25">
      <c r="A53" s="179"/>
      <c r="B53" s="179"/>
      <c r="C53" s="179"/>
      <c r="D53" s="179"/>
      <c r="E53" s="179"/>
      <c r="F53" s="179"/>
      <c r="G53" s="179"/>
      <c r="H53" s="179"/>
      <c r="I53" s="179"/>
      <c r="J53" s="179"/>
      <c r="K53" s="179"/>
      <c r="L53" s="179"/>
      <c r="M53" s="179"/>
      <c r="N53" s="179"/>
      <c r="O53" s="179"/>
      <c r="P53" s="179"/>
      <c r="Q53" s="179"/>
      <c r="R53" s="179"/>
      <c r="S53" s="179"/>
      <c r="T53" s="179"/>
      <c r="U53" s="179"/>
      <c r="V53" s="179"/>
      <c r="W53" s="179"/>
      <c r="X53" s="179"/>
      <c r="Y53" s="179"/>
      <c r="Z53" s="179"/>
      <c r="AA53" s="3"/>
      <c r="AB53" s="3"/>
      <c r="AC53" s="3"/>
      <c r="AD53" s="3"/>
      <c r="AE53" s="3"/>
      <c r="AF53" s="3"/>
      <c r="AG53" s="3"/>
      <c r="AH53" s="3"/>
    </row>
    <row r="54" spans="1:34" x14ac:dyDescent="0.25">
      <c r="A54" s="179"/>
      <c r="B54" s="179"/>
      <c r="C54" s="179"/>
      <c r="D54" s="179"/>
      <c r="E54" s="179"/>
      <c r="F54" s="179"/>
      <c r="G54" s="179"/>
      <c r="H54" s="179"/>
      <c r="I54" s="179"/>
      <c r="J54" s="179"/>
      <c r="K54" s="179"/>
      <c r="L54" s="179"/>
      <c r="M54" s="179"/>
      <c r="N54" s="179"/>
      <c r="O54" s="179"/>
      <c r="P54" s="179"/>
      <c r="Q54" s="179"/>
      <c r="R54" s="179"/>
      <c r="S54" s="179"/>
      <c r="T54" s="179"/>
      <c r="U54" s="179"/>
      <c r="V54" s="179"/>
      <c r="W54" s="179"/>
      <c r="X54" s="179"/>
      <c r="Y54" s="179"/>
      <c r="Z54" s="179"/>
      <c r="AA54" s="3"/>
      <c r="AB54" s="3"/>
      <c r="AC54" s="3"/>
      <c r="AD54" s="3"/>
      <c r="AE54" s="3"/>
      <c r="AF54" s="3"/>
      <c r="AG54" s="3"/>
      <c r="AH54" s="3"/>
    </row>
    <row r="55" spans="1:34" x14ac:dyDescent="0.25">
      <c r="A55" s="179"/>
      <c r="B55" s="179"/>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c r="AA55" s="3"/>
      <c r="AB55" s="3"/>
      <c r="AC55" s="3"/>
      <c r="AD55" s="3"/>
      <c r="AE55" s="3"/>
      <c r="AF55" s="3"/>
      <c r="AG55" s="3"/>
      <c r="AH55" s="3"/>
    </row>
    <row r="56" spans="1:34" x14ac:dyDescent="0.25">
      <c r="A56" s="179"/>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c r="AA56" s="3"/>
      <c r="AB56" s="3"/>
      <c r="AC56" s="3"/>
      <c r="AD56" s="3"/>
      <c r="AE56" s="3"/>
      <c r="AF56" s="3"/>
      <c r="AG56" s="3"/>
      <c r="AH56" s="3"/>
    </row>
    <row r="57" spans="1:34" x14ac:dyDescent="0.25">
      <c r="A57" s="179"/>
      <c r="B57" s="179"/>
      <c r="C57" s="179"/>
      <c r="D57" s="179"/>
      <c r="E57" s="179"/>
      <c r="F57" s="179"/>
      <c r="G57" s="179"/>
      <c r="H57" s="179"/>
      <c r="I57" s="179"/>
      <c r="J57" s="179"/>
      <c r="K57" s="179"/>
      <c r="L57" s="179"/>
      <c r="M57" s="179"/>
      <c r="N57" s="179"/>
      <c r="O57" s="179"/>
      <c r="P57" s="179"/>
      <c r="Q57" s="179"/>
      <c r="R57" s="179"/>
      <c r="S57" s="179"/>
      <c r="T57" s="179"/>
      <c r="U57" s="179"/>
      <c r="V57" s="179"/>
      <c r="W57" s="179"/>
      <c r="X57" s="179"/>
      <c r="Y57" s="179"/>
      <c r="Z57" s="179"/>
      <c r="AA57" s="3"/>
      <c r="AB57" s="3"/>
      <c r="AC57" s="3"/>
      <c r="AD57" s="3"/>
      <c r="AE57" s="3"/>
      <c r="AF57" s="3"/>
      <c r="AG57" s="3"/>
      <c r="AH57" s="3"/>
    </row>
    <row r="58" spans="1:34" x14ac:dyDescent="0.25">
      <c r="A58" s="179"/>
      <c r="B58" s="179"/>
      <c r="C58" s="179"/>
      <c r="D58" s="179"/>
      <c r="E58" s="179"/>
      <c r="F58" s="179"/>
      <c r="G58" s="179"/>
      <c r="H58" s="179"/>
      <c r="I58" s="179"/>
      <c r="J58" s="179"/>
      <c r="K58" s="179"/>
      <c r="L58" s="179"/>
      <c r="M58" s="179"/>
      <c r="N58" s="179"/>
      <c r="O58" s="179"/>
      <c r="P58" s="179"/>
      <c r="Q58" s="179"/>
      <c r="R58" s="179"/>
      <c r="S58" s="179"/>
      <c r="T58" s="179"/>
      <c r="U58" s="179"/>
      <c r="V58" s="179"/>
      <c r="W58" s="179"/>
      <c r="X58" s="179"/>
      <c r="Y58" s="179"/>
      <c r="Z58" s="179"/>
      <c r="AA58" s="3"/>
      <c r="AB58" s="3"/>
      <c r="AC58" s="3"/>
      <c r="AD58" s="3"/>
      <c r="AE58" s="3"/>
      <c r="AF58" s="3"/>
      <c r="AG58" s="3"/>
      <c r="AH58" s="3"/>
    </row>
    <row r="59" spans="1:34" x14ac:dyDescent="0.25">
      <c r="A59" s="179"/>
      <c r="B59" s="179"/>
      <c r="C59" s="179"/>
      <c r="D59" s="179"/>
      <c r="E59" s="179"/>
      <c r="F59" s="179"/>
      <c r="G59" s="179"/>
      <c r="H59" s="179"/>
      <c r="I59" s="179"/>
      <c r="J59" s="179"/>
      <c r="K59" s="179"/>
      <c r="L59" s="179"/>
      <c r="M59" s="179"/>
      <c r="N59" s="179"/>
      <c r="O59" s="179"/>
      <c r="P59" s="179"/>
      <c r="Q59" s="179"/>
      <c r="R59" s="179"/>
      <c r="S59" s="179"/>
      <c r="T59" s="179"/>
      <c r="U59" s="179"/>
      <c r="V59" s="179"/>
      <c r="W59" s="179"/>
      <c r="X59" s="179"/>
      <c r="Y59" s="179"/>
      <c r="Z59" s="179"/>
      <c r="AA59" s="3"/>
      <c r="AB59" s="3"/>
      <c r="AC59" s="3"/>
      <c r="AD59" s="3"/>
      <c r="AE59" s="3"/>
      <c r="AF59" s="3"/>
      <c r="AG59" s="3"/>
      <c r="AH59" s="3"/>
    </row>
    <row r="60" spans="1:34" x14ac:dyDescent="0.25">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3"/>
      <c r="AB60" s="3"/>
      <c r="AC60" s="3"/>
      <c r="AD60" s="3"/>
      <c r="AE60" s="3"/>
      <c r="AF60" s="3"/>
      <c r="AG60" s="3"/>
      <c r="AH60" s="3"/>
    </row>
    <row r="61" spans="1:34" x14ac:dyDescent="0.25">
      <c r="A61" s="179"/>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3"/>
      <c r="AB61" s="3"/>
      <c r="AC61" s="3"/>
      <c r="AD61" s="3"/>
      <c r="AE61" s="3"/>
      <c r="AF61" s="3"/>
      <c r="AG61" s="3"/>
      <c r="AH61" s="3"/>
    </row>
    <row r="62" spans="1:34" x14ac:dyDescent="0.25">
      <c r="A62" s="179"/>
      <c r="B62" s="179"/>
      <c r="C62" s="179"/>
      <c r="D62" s="179"/>
      <c r="E62" s="179"/>
      <c r="F62" s="179"/>
      <c r="G62" s="179"/>
      <c r="H62" s="179"/>
      <c r="I62" s="179"/>
      <c r="J62" s="179"/>
      <c r="K62" s="179"/>
      <c r="L62" s="179"/>
      <c r="M62" s="179"/>
      <c r="N62" s="179"/>
      <c r="O62" s="179"/>
      <c r="P62" s="179"/>
      <c r="Q62" s="179"/>
      <c r="R62" s="179"/>
      <c r="S62" s="179"/>
      <c r="T62" s="179"/>
      <c r="U62" s="179"/>
      <c r="V62" s="179"/>
      <c r="W62" s="179"/>
      <c r="X62" s="179"/>
      <c r="Y62" s="179"/>
      <c r="Z62" s="179"/>
      <c r="AA62" s="3"/>
      <c r="AB62" s="3"/>
      <c r="AC62" s="3"/>
      <c r="AD62" s="3"/>
      <c r="AE62" s="3"/>
      <c r="AF62" s="3"/>
      <c r="AG62" s="3"/>
      <c r="AH62" s="3"/>
    </row>
    <row r="63" spans="1:34" x14ac:dyDescent="0.25">
      <c r="A63" s="179"/>
      <c r="B63" s="179"/>
      <c r="C63" s="179"/>
      <c r="D63" s="179"/>
      <c r="E63" s="179"/>
      <c r="F63" s="179"/>
      <c r="G63" s="179"/>
      <c r="H63" s="179"/>
      <c r="I63" s="179"/>
      <c r="J63" s="179"/>
      <c r="K63" s="179"/>
      <c r="L63" s="179"/>
      <c r="M63" s="179"/>
      <c r="N63" s="179"/>
      <c r="O63" s="179"/>
      <c r="P63" s="179"/>
      <c r="Q63" s="179"/>
      <c r="R63" s="179"/>
      <c r="S63" s="179"/>
      <c r="T63" s="179"/>
      <c r="U63" s="179"/>
      <c r="V63" s="179"/>
      <c r="W63" s="179"/>
      <c r="X63" s="179"/>
      <c r="Y63" s="179"/>
      <c r="Z63" s="179"/>
      <c r="AA63" s="3"/>
      <c r="AB63" s="3"/>
      <c r="AC63" s="3"/>
      <c r="AD63" s="3"/>
      <c r="AE63" s="3"/>
      <c r="AF63" s="3"/>
      <c r="AG63" s="3"/>
      <c r="AH63" s="3"/>
    </row>
    <row r="64" spans="1:34" x14ac:dyDescent="0.25">
      <c r="A64" s="179"/>
      <c r="B64" s="179"/>
      <c r="C64" s="179"/>
      <c r="D64" s="179"/>
      <c r="E64" s="179"/>
      <c r="F64" s="179"/>
      <c r="G64" s="179"/>
      <c r="H64" s="179"/>
      <c r="I64" s="179"/>
      <c r="J64" s="179"/>
      <c r="K64" s="179"/>
      <c r="L64" s="179"/>
      <c r="M64" s="179"/>
      <c r="N64" s="179"/>
      <c r="O64" s="179"/>
      <c r="P64" s="179"/>
      <c r="Q64" s="179"/>
      <c r="R64" s="179"/>
      <c r="S64" s="179"/>
      <c r="T64" s="179"/>
      <c r="U64" s="179"/>
      <c r="V64" s="179"/>
      <c r="W64" s="179"/>
      <c r="X64" s="179"/>
      <c r="Y64" s="179"/>
      <c r="Z64" s="179"/>
      <c r="AA64" s="3"/>
      <c r="AB64" s="3"/>
      <c r="AC64" s="3"/>
      <c r="AD64" s="3"/>
      <c r="AE64" s="3"/>
      <c r="AF64" s="3"/>
      <c r="AG64" s="3"/>
      <c r="AH64" s="3"/>
    </row>
    <row r="65" spans="1:34" x14ac:dyDescent="0.25">
      <c r="A65" s="179"/>
      <c r="B65" s="179"/>
      <c r="C65" s="179"/>
      <c r="D65" s="179"/>
      <c r="E65" s="179"/>
      <c r="F65" s="179"/>
      <c r="G65" s="179"/>
      <c r="H65" s="179"/>
      <c r="I65" s="179"/>
      <c r="J65" s="179"/>
      <c r="K65" s="179"/>
      <c r="L65" s="179"/>
      <c r="M65" s="179"/>
      <c r="N65" s="179"/>
      <c r="O65" s="179"/>
      <c r="P65" s="179"/>
      <c r="Q65" s="179"/>
      <c r="R65" s="179"/>
      <c r="S65" s="179"/>
      <c r="T65" s="179"/>
      <c r="U65" s="179"/>
      <c r="V65" s="179"/>
      <c r="W65" s="179"/>
      <c r="X65" s="179"/>
      <c r="Y65" s="179"/>
      <c r="Z65" s="179"/>
      <c r="AA65" s="3"/>
      <c r="AB65" s="3"/>
      <c r="AC65" s="3"/>
      <c r="AD65" s="3"/>
      <c r="AE65" s="3"/>
      <c r="AF65" s="3"/>
      <c r="AG65" s="3"/>
      <c r="AH65" s="3"/>
    </row>
    <row r="66" spans="1:34" x14ac:dyDescent="0.25">
      <c r="A66" s="179"/>
      <c r="B66" s="179"/>
      <c r="C66" s="179"/>
      <c r="D66" s="179"/>
      <c r="E66" s="179"/>
      <c r="F66" s="179"/>
      <c r="G66" s="179"/>
      <c r="H66" s="179"/>
      <c r="I66" s="179"/>
      <c r="J66" s="179"/>
      <c r="K66" s="179"/>
      <c r="L66" s="179"/>
      <c r="M66" s="179"/>
      <c r="N66" s="179"/>
      <c r="O66" s="179"/>
      <c r="P66" s="179"/>
      <c r="Q66" s="179"/>
      <c r="R66" s="179"/>
      <c r="S66" s="179"/>
      <c r="T66" s="179"/>
      <c r="U66" s="179"/>
      <c r="V66" s="179"/>
      <c r="W66" s="179"/>
      <c r="X66" s="179"/>
      <c r="Y66" s="179"/>
      <c r="Z66" s="179"/>
      <c r="AA66" s="3"/>
      <c r="AB66" s="3"/>
      <c r="AC66" s="3"/>
      <c r="AD66" s="3"/>
      <c r="AE66" s="3"/>
      <c r="AF66" s="3"/>
      <c r="AG66" s="3"/>
      <c r="AH66" s="3"/>
    </row>
    <row r="67" spans="1:34" x14ac:dyDescent="0.25">
      <c r="A67" s="179"/>
      <c r="B67" s="179"/>
      <c r="C67" s="179"/>
      <c r="D67" s="179"/>
      <c r="E67" s="179"/>
      <c r="F67" s="179"/>
      <c r="G67" s="179"/>
      <c r="H67" s="179"/>
      <c r="I67" s="179"/>
      <c r="J67" s="179"/>
      <c r="K67" s="179"/>
      <c r="L67" s="179"/>
      <c r="M67" s="179"/>
      <c r="N67" s="179"/>
      <c r="O67" s="179"/>
      <c r="P67" s="179"/>
      <c r="Q67" s="179"/>
      <c r="R67" s="179"/>
      <c r="S67" s="179"/>
      <c r="T67" s="179"/>
      <c r="U67" s="179"/>
      <c r="V67" s="179"/>
      <c r="W67" s="179"/>
      <c r="X67" s="179"/>
      <c r="Y67" s="179"/>
      <c r="Z67" s="179"/>
      <c r="AA67" s="3"/>
      <c r="AB67" s="3"/>
      <c r="AC67" s="3"/>
      <c r="AD67" s="3"/>
      <c r="AE67" s="3"/>
      <c r="AF67" s="3"/>
      <c r="AG67" s="3"/>
      <c r="AH67" s="3"/>
    </row>
    <row r="68" spans="1:34" x14ac:dyDescent="0.25">
      <c r="A68" s="179"/>
      <c r="B68" s="179"/>
      <c r="C68" s="179"/>
      <c r="D68" s="179"/>
      <c r="E68" s="179"/>
      <c r="F68" s="179"/>
      <c r="G68" s="179"/>
      <c r="H68" s="179"/>
      <c r="I68" s="179"/>
      <c r="J68" s="179"/>
      <c r="K68" s="179"/>
      <c r="L68" s="179"/>
      <c r="M68" s="179"/>
      <c r="N68" s="179"/>
      <c r="O68" s="179"/>
      <c r="P68" s="179"/>
      <c r="Q68" s="179"/>
      <c r="R68" s="179"/>
      <c r="S68" s="179"/>
      <c r="T68" s="179"/>
      <c r="U68" s="179"/>
      <c r="V68" s="179"/>
      <c r="W68" s="179"/>
      <c r="X68" s="179"/>
      <c r="Y68" s="179"/>
      <c r="Z68" s="179"/>
      <c r="AA68" s="3"/>
      <c r="AB68" s="3"/>
      <c r="AC68" s="3"/>
      <c r="AD68" s="3"/>
      <c r="AE68" s="3"/>
      <c r="AF68" s="3"/>
      <c r="AG68" s="3"/>
      <c r="AH68" s="3"/>
    </row>
    <row r="69" spans="1:34" x14ac:dyDescent="0.25">
      <c r="A69" s="179"/>
      <c r="B69" s="179"/>
      <c r="C69" s="179"/>
      <c r="D69" s="179"/>
      <c r="E69" s="179"/>
      <c r="F69" s="179"/>
      <c r="G69" s="179"/>
      <c r="H69" s="179"/>
      <c r="I69" s="179"/>
      <c r="J69" s="179"/>
      <c r="K69" s="179"/>
      <c r="L69" s="179"/>
      <c r="M69" s="179"/>
      <c r="N69" s="179"/>
      <c r="O69" s="179"/>
      <c r="P69" s="179"/>
      <c r="Q69" s="179"/>
      <c r="R69" s="179"/>
      <c r="S69" s="179"/>
      <c r="T69" s="179"/>
      <c r="U69" s="179"/>
      <c r="V69" s="179"/>
      <c r="W69" s="179"/>
      <c r="X69" s="179"/>
      <c r="Y69" s="179"/>
      <c r="Z69" s="179"/>
      <c r="AA69" s="3"/>
      <c r="AB69" s="3"/>
      <c r="AC69" s="3"/>
      <c r="AD69" s="3"/>
      <c r="AE69" s="3"/>
      <c r="AF69" s="3"/>
      <c r="AG69" s="3"/>
      <c r="AH69" s="3"/>
    </row>
    <row r="70" spans="1:34" x14ac:dyDescent="0.25">
      <c r="A70" s="179"/>
      <c r="B70" s="179"/>
      <c r="C70" s="179"/>
      <c r="D70" s="179"/>
      <c r="E70" s="179"/>
      <c r="F70" s="179"/>
      <c r="G70" s="179"/>
      <c r="H70" s="179"/>
      <c r="I70" s="179"/>
      <c r="J70" s="179"/>
      <c r="K70" s="179"/>
      <c r="L70" s="179"/>
      <c r="M70" s="179"/>
      <c r="N70" s="179"/>
      <c r="O70" s="179"/>
      <c r="P70" s="179"/>
      <c r="Q70" s="179"/>
      <c r="R70" s="179"/>
      <c r="S70" s="179"/>
      <c r="T70" s="179"/>
      <c r="U70" s="179"/>
      <c r="V70" s="179"/>
      <c r="W70" s="179"/>
      <c r="X70" s="179"/>
      <c r="Y70" s="179"/>
      <c r="Z70" s="179"/>
      <c r="AA70" s="3"/>
      <c r="AB70" s="3"/>
      <c r="AC70" s="3"/>
      <c r="AD70" s="3"/>
      <c r="AE70" s="3"/>
      <c r="AF70" s="3"/>
      <c r="AG70" s="3"/>
      <c r="AH70" s="3"/>
    </row>
    <row r="71" spans="1:34" x14ac:dyDescent="0.25">
      <c r="A71" s="179"/>
      <c r="B71" s="179"/>
      <c r="C71" s="179"/>
      <c r="D71" s="179"/>
      <c r="E71" s="179"/>
      <c r="F71" s="179"/>
      <c r="G71" s="179"/>
      <c r="H71" s="179"/>
      <c r="I71" s="179"/>
      <c r="J71" s="179"/>
      <c r="K71" s="179"/>
      <c r="L71" s="179"/>
      <c r="M71" s="179"/>
      <c r="N71" s="179"/>
      <c r="O71" s="179"/>
      <c r="P71" s="179"/>
      <c r="Q71" s="179"/>
      <c r="R71" s="179"/>
      <c r="S71" s="179"/>
      <c r="T71" s="179"/>
      <c r="U71" s="179"/>
      <c r="V71" s="179"/>
      <c r="W71" s="179"/>
      <c r="X71" s="179"/>
      <c r="Y71" s="179"/>
      <c r="Z71" s="179"/>
      <c r="AA71" s="3"/>
      <c r="AB71" s="3"/>
      <c r="AC71" s="3"/>
      <c r="AD71" s="3"/>
      <c r="AE71" s="3"/>
      <c r="AF71" s="3"/>
      <c r="AG71" s="3"/>
      <c r="AH71" s="3"/>
    </row>
    <row r="72" spans="1:34" x14ac:dyDescent="0.25">
      <c r="A72" s="179"/>
      <c r="B72" s="206" t="s">
        <v>353</v>
      </c>
      <c r="C72" s="179"/>
      <c r="D72" s="179"/>
      <c r="E72" s="179"/>
      <c r="F72" s="179"/>
      <c r="G72" s="179"/>
      <c r="H72" s="179"/>
      <c r="I72" s="179"/>
      <c r="J72" s="179"/>
      <c r="K72" s="179"/>
      <c r="L72" s="179"/>
      <c r="M72" s="179"/>
      <c r="N72" s="179"/>
      <c r="O72" s="179"/>
      <c r="P72" s="179"/>
      <c r="Q72" s="179"/>
      <c r="R72" s="179"/>
      <c r="S72" s="179"/>
      <c r="T72" s="179"/>
      <c r="U72" s="179"/>
      <c r="V72" s="179"/>
      <c r="W72" s="179"/>
      <c r="X72" s="179"/>
      <c r="Y72" s="179"/>
      <c r="Z72" s="179"/>
      <c r="AA72" s="3"/>
      <c r="AB72" s="3"/>
      <c r="AC72" s="3"/>
      <c r="AD72" s="3"/>
      <c r="AE72" s="3"/>
      <c r="AF72" s="3"/>
      <c r="AG72" s="3"/>
      <c r="AH72" s="3"/>
    </row>
    <row r="73" spans="1:34" x14ac:dyDescent="0.25">
      <c r="A73" s="179"/>
      <c r="B73" s="179"/>
      <c r="C73" s="179"/>
      <c r="D73" s="179"/>
      <c r="E73" s="179"/>
      <c r="F73" s="179"/>
      <c r="G73" s="179"/>
      <c r="H73" s="179"/>
      <c r="I73" s="179"/>
      <c r="J73" s="179"/>
      <c r="K73" s="179"/>
      <c r="L73" s="179"/>
      <c r="M73" s="179"/>
      <c r="N73" s="179"/>
      <c r="O73" s="179"/>
      <c r="P73" s="179"/>
      <c r="Q73" s="179"/>
      <c r="R73" s="179"/>
      <c r="S73" s="179"/>
      <c r="T73" s="179"/>
      <c r="U73" s="179"/>
      <c r="V73" s="179"/>
      <c r="W73" s="179"/>
      <c r="X73" s="179"/>
      <c r="Y73" s="179"/>
      <c r="Z73" s="179"/>
      <c r="AA73" s="3"/>
      <c r="AB73" s="3"/>
      <c r="AC73" s="3"/>
      <c r="AD73" s="3"/>
      <c r="AE73" s="3"/>
      <c r="AF73" s="3"/>
      <c r="AG73" s="3"/>
      <c r="AH73" s="3"/>
    </row>
    <row r="74" spans="1:34" x14ac:dyDescent="0.25">
      <c r="A74" s="179"/>
      <c r="B74" s="179"/>
      <c r="C74" s="179"/>
      <c r="D74" s="179"/>
      <c r="E74" s="179"/>
      <c r="F74" s="179"/>
      <c r="G74" s="179"/>
      <c r="H74" s="179"/>
      <c r="I74" s="179"/>
      <c r="J74" s="179"/>
      <c r="K74" s="179"/>
      <c r="L74" s="179"/>
      <c r="M74" s="179"/>
      <c r="N74" s="179"/>
      <c r="O74" s="179"/>
      <c r="P74" s="179"/>
      <c r="Q74" s="179"/>
      <c r="R74" s="179"/>
      <c r="S74" s="179"/>
      <c r="T74" s="179"/>
      <c r="U74" s="179"/>
      <c r="V74" s="179"/>
      <c r="W74" s="179"/>
      <c r="X74" s="179"/>
      <c r="Y74" s="179"/>
      <c r="Z74" s="179"/>
      <c r="AA74" s="3"/>
      <c r="AB74" s="3"/>
      <c r="AC74" s="3"/>
      <c r="AD74" s="3"/>
      <c r="AE74" s="3"/>
      <c r="AF74" s="3"/>
      <c r="AG74" s="3"/>
      <c r="AH74" s="3"/>
    </row>
    <row r="75" spans="1:34" x14ac:dyDescent="0.25">
      <c r="A75" s="179"/>
      <c r="B75" s="179"/>
      <c r="C75" s="179"/>
      <c r="D75" s="179"/>
      <c r="E75" s="179"/>
      <c r="F75" s="179"/>
      <c r="G75" s="179"/>
      <c r="H75" s="179"/>
      <c r="I75" s="179"/>
      <c r="J75" s="179"/>
      <c r="K75" s="179"/>
      <c r="L75" s="179"/>
      <c r="M75" s="179"/>
      <c r="N75" s="179"/>
      <c r="O75" s="179"/>
      <c r="P75" s="179"/>
      <c r="Q75" s="179"/>
      <c r="R75" s="179"/>
      <c r="S75" s="179"/>
      <c r="T75" s="179"/>
      <c r="U75" s="179"/>
      <c r="V75" s="179"/>
      <c r="W75" s="179"/>
      <c r="X75" s="179"/>
      <c r="Y75" s="179"/>
      <c r="Z75" s="179"/>
      <c r="AA75" s="3"/>
      <c r="AB75" s="3"/>
      <c r="AC75" s="3"/>
      <c r="AD75" s="3"/>
      <c r="AE75" s="3"/>
      <c r="AF75" s="3"/>
      <c r="AG75" s="3"/>
      <c r="AH75" s="3"/>
    </row>
    <row r="76" spans="1:34" x14ac:dyDescent="0.25">
      <c r="A76" s="179"/>
      <c r="B76" s="179"/>
      <c r="C76" s="179"/>
      <c r="D76" s="179"/>
      <c r="E76" s="179"/>
      <c r="F76" s="179"/>
      <c r="G76" s="179"/>
      <c r="H76" s="179"/>
      <c r="I76" s="179"/>
      <c r="J76" s="179"/>
      <c r="K76" s="179"/>
      <c r="L76" s="179"/>
      <c r="M76" s="179"/>
      <c r="N76" s="179"/>
      <c r="O76" s="179"/>
      <c r="P76" s="179"/>
      <c r="Q76" s="179"/>
      <c r="R76" s="179"/>
      <c r="S76" s="179"/>
      <c r="T76" s="179"/>
      <c r="U76" s="179"/>
      <c r="V76" s="179"/>
      <c r="W76" s="179"/>
      <c r="X76" s="179"/>
      <c r="Y76" s="179"/>
      <c r="Z76" s="179"/>
      <c r="AA76" s="3"/>
      <c r="AB76" s="3"/>
      <c r="AC76" s="3"/>
      <c r="AD76" s="3"/>
      <c r="AE76" s="3"/>
      <c r="AF76" s="3"/>
      <c r="AG76" s="3"/>
      <c r="AH76" s="3"/>
    </row>
    <row r="77" spans="1:34" x14ac:dyDescent="0.25">
      <c r="A77" s="179"/>
      <c r="B77" s="179"/>
      <c r="C77" s="179"/>
      <c r="D77" s="179"/>
      <c r="E77" s="179"/>
      <c r="F77" s="179"/>
      <c r="G77" s="179"/>
      <c r="H77" s="179"/>
      <c r="I77" s="179"/>
      <c r="J77" s="179"/>
      <c r="K77" s="179"/>
      <c r="L77" s="179"/>
      <c r="M77" s="179"/>
      <c r="N77" s="179"/>
      <c r="O77" s="179"/>
      <c r="P77" s="179"/>
      <c r="Q77" s="179"/>
      <c r="R77" s="179"/>
      <c r="S77" s="179"/>
      <c r="T77" s="179"/>
      <c r="U77" s="179"/>
      <c r="V77" s="179"/>
      <c r="W77" s="179"/>
      <c r="X77" s="179"/>
      <c r="Y77" s="179"/>
      <c r="Z77" s="179"/>
      <c r="AA77" s="3"/>
      <c r="AB77" s="3"/>
      <c r="AC77" s="3"/>
      <c r="AD77" s="3"/>
      <c r="AE77" s="3"/>
      <c r="AF77" s="3"/>
      <c r="AG77" s="3"/>
      <c r="AH77" s="3"/>
    </row>
    <row r="78" spans="1:34" x14ac:dyDescent="0.25">
      <c r="A78" s="179"/>
      <c r="B78" s="179"/>
      <c r="C78" s="179"/>
      <c r="D78" s="179"/>
      <c r="E78" s="179"/>
      <c r="F78" s="179"/>
      <c r="G78" s="179"/>
      <c r="H78" s="179"/>
      <c r="I78" s="179"/>
      <c r="J78" s="179"/>
      <c r="K78" s="179"/>
      <c r="L78" s="179"/>
      <c r="M78" s="179"/>
      <c r="N78" s="179"/>
      <c r="O78" s="179"/>
      <c r="P78" s="179"/>
      <c r="Q78" s="179"/>
      <c r="R78" s="179"/>
      <c r="S78" s="179"/>
      <c r="T78" s="179"/>
      <c r="U78" s="179"/>
      <c r="V78" s="179"/>
      <c r="W78" s="179"/>
      <c r="X78" s="179"/>
      <c r="Y78" s="179"/>
      <c r="Z78" s="179"/>
      <c r="AA78" s="3"/>
      <c r="AB78" s="3"/>
      <c r="AC78" s="3"/>
      <c r="AD78" s="3"/>
      <c r="AE78" s="3"/>
      <c r="AF78" s="3"/>
      <c r="AG78" s="3"/>
      <c r="AH78" s="3"/>
    </row>
    <row r="79" spans="1:34" x14ac:dyDescent="0.25">
      <c r="A79" s="179"/>
      <c r="B79" s="179"/>
      <c r="C79" s="179"/>
      <c r="D79" s="179"/>
      <c r="E79" s="179"/>
      <c r="F79" s="179"/>
      <c r="G79" s="179"/>
      <c r="H79" s="179"/>
      <c r="I79" s="179"/>
      <c r="J79" s="179"/>
      <c r="K79" s="179"/>
      <c r="L79" s="179"/>
      <c r="M79" s="179"/>
      <c r="N79" s="179"/>
      <c r="O79" s="179"/>
      <c r="P79" s="179"/>
      <c r="Q79" s="179"/>
      <c r="R79" s="179"/>
      <c r="S79" s="179"/>
      <c r="T79" s="179"/>
      <c r="U79" s="179"/>
      <c r="V79" s="179"/>
      <c r="W79" s="179"/>
      <c r="X79" s="179"/>
      <c r="Y79" s="179"/>
      <c r="Z79" s="179"/>
      <c r="AA79" s="3"/>
      <c r="AB79" s="3"/>
      <c r="AC79" s="3"/>
      <c r="AD79" s="3"/>
      <c r="AE79" s="3"/>
      <c r="AF79" s="3"/>
      <c r="AG79" s="3"/>
      <c r="AH79" s="3"/>
    </row>
    <row r="80" spans="1:34" x14ac:dyDescent="0.25">
      <c r="A80" s="179"/>
      <c r="B80" s="179"/>
      <c r="C80" s="179"/>
      <c r="D80" s="179"/>
      <c r="E80" s="179"/>
      <c r="F80" s="179"/>
      <c r="G80" s="179"/>
      <c r="H80" s="179"/>
      <c r="I80" s="179"/>
      <c r="J80" s="179"/>
      <c r="K80" s="179"/>
      <c r="L80" s="179"/>
      <c r="M80" s="179"/>
      <c r="N80" s="179"/>
      <c r="O80" s="179"/>
      <c r="P80" s="179"/>
      <c r="Q80" s="179"/>
      <c r="R80" s="179"/>
      <c r="S80" s="179"/>
      <c r="T80" s="179"/>
      <c r="U80" s="179"/>
      <c r="V80" s="179"/>
      <c r="W80" s="179"/>
      <c r="X80" s="179"/>
      <c r="Y80" s="179"/>
      <c r="Z80" s="179"/>
      <c r="AA80" s="3"/>
      <c r="AB80" s="3"/>
      <c r="AC80" s="3"/>
      <c r="AD80" s="3"/>
      <c r="AE80" s="3"/>
      <c r="AF80" s="3"/>
      <c r="AG80" s="3"/>
      <c r="AH80" s="3"/>
    </row>
  </sheetData>
  <mergeCells count="18">
    <mergeCell ref="B18:R18"/>
    <mergeCell ref="B19:R19"/>
    <mergeCell ref="J14:M14"/>
    <mergeCell ref="N11:Q11"/>
    <mergeCell ref="N12:Q13"/>
    <mergeCell ref="N14:Q14"/>
    <mergeCell ref="B15:Q15"/>
    <mergeCell ref="B17:R17"/>
    <mergeCell ref="B1:R2"/>
    <mergeCell ref="B3:R3"/>
    <mergeCell ref="B11:E11"/>
    <mergeCell ref="B12:E13"/>
    <mergeCell ref="B14:E14"/>
    <mergeCell ref="F11:I11"/>
    <mergeCell ref="F12:I13"/>
    <mergeCell ref="F14:I14"/>
    <mergeCell ref="J11:M11"/>
    <mergeCell ref="J12:M13"/>
  </mergeCells>
  <conditionalFormatting sqref="J14">
    <cfRule type="expression" dxfId="30" priority="1">
      <formula>AND(ISNUMBER($J$12),$J$12&gt;Baseline_Rate)</formula>
    </cfRule>
  </conditionalFormatting>
  <conditionalFormatting sqref="J14">
    <cfRule type="expression" dxfId="29" priority="2">
      <formula>AND(ISNUMBER($J$12),$J$12&lt;Baseline_Rate)</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0F4B8-774C-467F-887E-F6880A253DFE}">
  <dimension ref="A1:Z43"/>
  <sheetViews>
    <sheetView showGridLines="0" workbookViewId="0"/>
  </sheetViews>
  <sheetFormatPr defaultRowHeight="15" x14ac:dyDescent="0.25"/>
  <cols>
    <col min="1" max="1" width="24.7109375" style="3" customWidth="1"/>
    <col min="2" max="2" width="106.7109375" style="3" customWidth="1"/>
    <col min="3" max="4" width="62.85546875" style="3" customWidth="1"/>
    <col min="5" max="26" width="9.140625" style="3"/>
  </cols>
  <sheetData>
    <row r="1" spans="1:2" ht="23.25" x14ac:dyDescent="0.35">
      <c r="A1" s="4" t="s">
        <v>36</v>
      </c>
    </row>
    <row r="2" spans="1:2" x14ac:dyDescent="0.25">
      <c r="A2" s="5" t="s">
        <v>354</v>
      </c>
    </row>
    <row r="4" spans="1:2" x14ac:dyDescent="0.25">
      <c r="A4" s="7" t="s">
        <v>355</v>
      </c>
      <c r="B4" s="8" t="s">
        <v>419</v>
      </c>
    </row>
    <row r="5" spans="1:2" x14ac:dyDescent="0.25">
      <c r="A5" s="7" t="s">
        <v>37</v>
      </c>
      <c r="B5" s="8" t="s">
        <v>38</v>
      </c>
    </row>
    <row r="6" spans="1:2" x14ac:dyDescent="0.25">
      <c r="A6" s="7" t="s">
        <v>39</v>
      </c>
      <c r="B6" s="8" t="s">
        <v>420</v>
      </c>
    </row>
    <row r="7" spans="1:2" x14ac:dyDescent="0.25">
      <c r="A7" s="7" t="s">
        <v>356</v>
      </c>
      <c r="B7" s="8" t="s">
        <v>40</v>
      </c>
    </row>
    <row r="8" spans="1:2" ht="30" x14ac:dyDescent="0.25">
      <c r="A8" s="7" t="s">
        <v>41</v>
      </c>
      <c r="B8" s="8" t="s">
        <v>42</v>
      </c>
    </row>
    <row r="9" spans="1:2" x14ac:dyDescent="0.25">
      <c r="A9" s="7" t="s">
        <v>43</v>
      </c>
      <c r="B9" s="8" t="s">
        <v>44</v>
      </c>
    </row>
    <row r="10" spans="1:2" ht="30" x14ac:dyDescent="0.25">
      <c r="A10" s="7" t="s">
        <v>45</v>
      </c>
      <c r="B10" s="8" t="s">
        <v>262</v>
      </c>
    </row>
    <row r="11" spans="1:2" x14ac:dyDescent="0.25">
      <c r="A11" s="7" t="s">
        <v>46</v>
      </c>
      <c r="B11" s="8" t="s">
        <v>358</v>
      </c>
    </row>
    <row r="13" spans="1:2" ht="18.75" x14ac:dyDescent="0.3">
      <c r="A13" s="9" t="s">
        <v>357</v>
      </c>
    </row>
    <row r="14" spans="1:2" x14ac:dyDescent="0.25">
      <c r="A14" s="10" t="s">
        <v>47</v>
      </c>
      <c r="B14" s="10" t="s">
        <v>48</v>
      </c>
    </row>
    <row r="15" spans="1:2" x14ac:dyDescent="0.25">
      <c r="A15" s="6" t="s">
        <v>58</v>
      </c>
      <c r="B15" s="6" t="s">
        <v>270</v>
      </c>
    </row>
    <row r="16" spans="1:2" x14ac:dyDescent="0.25">
      <c r="A16" s="6" t="s">
        <v>49</v>
      </c>
      <c r="B16" s="6" t="s">
        <v>359</v>
      </c>
    </row>
    <row r="17" spans="1:4" x14ac:dyDescent="0.25">
      <c r="A17" s="6" t="s">
        <v>50</v>
      </c>
      <c r="B17" s="6" t="s">
        <v>51</v>
      </c>
    </row>
    <row r="18" spans="1:4" x14ac:dyDescent="0.25">
      <c r="A18" s="6" t="s">
        <v>52</v>
      </c>
      <c r="B18" s="6" t="s">
        <v>263</v>
      </c>
    </row>
    <row r="19" spans="1:4" ht="30" x14ac:dyDescent="0.25">
      <c r="A19" s="6" t="s">
        <v>53</v>
      </c>
      <c r="B19" s="6" t="s">
        <v>264</v>
      </c>
    </row>
    <row r="20" spans="1:4" x14ac:dyDescent="0.25">
      <c r="A20" s="6" t="s">
        <v>54</v>
      </c>
      <c r="B20" s="6" t="s">
        <v>265</v>
      </c>
    </row>
    <row r="21" spans="1:4" x14ac:dyDescent="0.25">
      <c r="A21" s="6" t="s">
        <v>55</v>
      </c>
      <c r="B21" s="6" t="s">
        <v>266</v>
      </c>
    </row>
    <row r="22" spans="1:4" x14ac:dyDescent="0.25">
      <c r="A22" s="6" t="s">
        <v>56</v>
      </c>
      <c r="B22" s="6" t="s">
        <v>267</v>
      </c>
    </row>
    <row r="23" spans="1:4" ht="30" x14ac:dyDescent="0.25">
      <c r="A23" s="6" t="s">
        <v>57</v>
      </c>
      <c r="B23" s="6" t="s">
        <v>268</v>
      </c>
    </row>
    <row r="24" spans="1:4" ht="30" x14ac:dyDescent="0.25">
      <c r="A24" s="6" t="s">
        <v>269</v>
      </c>
      <c r="B24" s="6" t="s">
        <v>421</v>
      </c>
    </row>
    <row r="25" spans="1:4" x14ac:dyDescent="0.25">
      <c r="A25" s="6" t="s">
        <v>59</v>
      </c>
      <c r="B25" s="6" t="s">
        <v>422</v>
      </c>
    </row>
    <row r="26" spans="1:4" x14ac:dyDescent="0.25">
      <c r="A26" s="6" t="s">
        <v>60</v>
      </c>
      <c r="B26" s="6" t="s">
        <v>360</v>
      </c>
    </row>
    <row r="28" spans="1:4" ht="18.75" x14ac:dyDescent="0.3">
      <c r="A28" s="9" t="s">
        <v>361</v>
      </c>
    </row>
    <row r="29" spans="1:4" x14ac:dyDescent="0.25">
      <c r="A29" s="172" t="s">
        <v>271</v>
      </c>
      <c r="B29" s="173" t="s">
        <v>272</v>
      </c>
      <c r="C29" s="173" t="s">
        <v>273</v>
      </c>
      <c r="D29" s="173" t="s">
        <v>274</v>
      </c>
    </row>
    <row r="30" spans="1:4" ht="75" x14ac:dyDescent="0.25">
      <c r="A30" s="175">
        <v>1</v>
      </c>
      <c r="B30" s="174" t="s">
        <v>275</v>
      </c>
      <c r="C30" s="174" t="s">
        <v>276</v>
      </c>
      <c r="D30" s="174" t="s">
        <v>277</v>
      </c>
    </row>
    <row r="31" spans="1:4" ht="30" x14ac:dyDescent="0.25">
      <c r="A31" s="175">
        <v>2</v>
      </c>
      <c r="B31" s="174" t="s">
        <v>53</v>
      </c>
      <c r="C31" s="174" t="s">
        <v>278</v>
      </c>
      <c r="D31" s="174" t="s">
        <v>279</v>
      </c>
    </row>
    <row r="32" spans="1:4" ht="30" x14ac:dyDescent="0.25">
      <c r="A32" s="175">
        <v>3</v>
      </c>
      <c r="B32" s="174" t="s">
        <v>269</v>
      </c>
      <c r="C32" s="174" t="s">
        <v>280</v>
      </c>
      <c r="D32" s="174" t="s">
        <v>281</v>
      </c>
    </row>
    <row r="33" spans="1:4" x14ac:dyDescent="0.25">
      <c r="A33" s="175">
        <v>4</v>
      </c>
      <c r="B33" s="174" t="s">
        <v>282</v>
      </c>
      <c r="C33" s="174" t="s">
        <v>306</v>
      </c>
      <c r="D33" s="174" t="s">
        <v>283</v>
      </c>
    </row>
    <row r="34" spans="1:4" ht="30" x14ac:dyDescent="0.25">
      <c r="A34" s="175">
        <v>5</v>
      </c>
      <c r="B34" s="174" t="s">
        <v>58</v>
      </c>
      <c r="C34" s="174" t="s">
        <v>284</v>
      </c>
      <c r="D34" s="174" t="s">
        <v>285</v>
      </c>
    </row>
    <row r="35" spans="1:4" ht="30" x14ac:dyDescent="0.25">
      <c r="A35" s="175">
        <v>6</v>
      </c>
      <c r="B35" s="174" t="s">
        <v>57</v>
      </c>
      <c r="C35" s="174" t="s">
        <v>286</v>
      </c>
      <c r="D35" s="174" t="s">
        <v>287</v>
      </c>
    </row>
    <row r="36" spans="1:4" ht="30" x14ac:dyDescent="0.25">
      <c r="A36" s="175">
        <v>7</v>
      </c>
      <c r="B36" s="174" t="s">
        <v>56</v>
      </c>
      <c r="C36" s="174" t="s">
        <v>288</v>
      </c>
      <c r="D36" s="174" t="s">
        <v>289</v>
      </c>
    </row>
    <row r="37" spans="1:4" ht="30" x14ac:dyDescent="0.25">
      <c r="A37" s="175">
        <v>8</v>
      </c>
      <c r="B37" s="174" t="s">
        <v>56</v>
      </c>
      <c r="C37" s="174" t="s">
        <v>290</v>
      </c>
      <c r="D37" s="174" t="s">
        <v>291</v>
      </c>
    </row>
    <row r="38" spans="1:4" ht="30" x14ac:dyDescent="0.25">
      <c r="A38" s="175">
        <v>9</v>
      </c>
      <c r="B38" s="174" t="s">
        <v>57</v>
      </c>
      <c r="C38" s="174" t="s">
        <v>292</v>
      </c>
      <c r="D38" s="174" t="s">
        <v>293</v>
      </c>
    </row>
    <row r="39" spans="1:4" ht="30" x14ac:dyDescent="0.25">
      <c r="A39" s="175">
        <v>10</v>
      </c>
      <c r="B39" s="174" t="s">
        <v>294</v>
      </c>
      <c r="C39" s="174" t="s">
        <v>295</v>
      </c>
      <c r="D39" s="174" t="s">
        <v>362</v>
      </c>
    </row>
    <row r="40" spans="1:4" x14ac:dyDescent="0.25">
      <c r="A40" s="175">
        <v>11</v>
      </c>
      <c r="B40" s="174" t="s">
        <v>296</v>
      </c>
      <c r="C40" s="174" t="s">
        <v>297</v>
      </c>
      <c r="D40" s="174" t="s">
        <v>298</v>
      </c>
    </row>
    <row r="41" spans="1:4" ht="45" x14ac:dyDescent="0.25">
      <c r="A41" s="175">
        <v>12</v>
      </c>
      <c r="B41" s="174" t="s">
        <v>299</v>
      </c>
      <c r="C41" s="174" t="s">
        <v>300</v>
      </c>
      <c r="D41" s="174" t="s">
        <v>301</v>
      </c>
    </row>
    <row r="42" spans="1:4" ht="45" x14ac:dyDescent="0.25">
      <c r="A42" s="175">
        <v>13</v>
      </c>
      <c r="B42" s="174" t="s">
        <v>363</v>
      </c>
      <c r="C42" s="174" t="s">
        <v>307</v>
      </c>
      <c r="D42" s="174" t="s">
        <v>308</v>
      </c>
    </row>
    <row r="43" spans="1:4" ht="30" x14ac:dyDescent="0.25">
      <c r="A43" s="175">
        <v>14</v>
      </c>
      <c r="B43" s="174" t="s">
        <v>345</v>
      </c>
      <c r="C43" s="174" t="s">
        <v>346</v>
      </c>
      <c r="D43" s="174" t="s">
        <v>347</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0D72-D96E-43A5-8574-1C17EC1A3876}">
  <dimension ref="A1:F40"/>
  <sheetViews>
    <sheetView showGridLines="0" workbookViewId="0"/>
  </sheetViews>
  <sheetFormatPr defaultRowHeight="15" x14ac:dyDescent="0.25"/>
  <cols>
    <col min="1" max="1" width="27.5703125" customWidth="1"/>
    <col min="2" max="2" width="18.140625" customWidth="1"/>
    <col min="3" max="4" width="40" customWidth="1"/>
    <col min="5" max="5" width="13.28515625" customWidth="1"/>
    <col min="6" max="6" width="62.85546875" customWidth="1"/>
  </cols>
  <sheetData>
    <row r="1" spans="1:6" ht="23.25" x14ac:dyDescent="0.35">
      <c r="A1" s="4" t="s">
        <v>364</v>
      </c>
      <c r="B1" s="3"/>
      <c r="C1" s="3"/>
      <c r="D1" s="3"/>
      <c r="E1" s="3"/>
      <c r="F1" s="3"/>
    </row>
    <row r="2" spans="1:6" x14ac:dyDescent="0.25">
      <c r="A2" s="5" t="s">
        <v>365</v>
      </c>
      <c r="B2" s="3"/>
      <c r="C2" s="3"/>
      <c r="D2" s="3"/>
      <c r="E2" s="3"/>
      <c r="F2" s="3"/>
    </row>
    <row r="3" spans="1:6" x14ac:dyDescent="0.25">
      <c r="A3" s="3"/>
      <c r="B3" s="3"/>
      <c r="C3" s="3"/>
      <c r="D3" s="3"/>
      <c r="E3" s="3"/>
      <c r="F3" s="3"/>
    </row>
    <row r="4" spans="1:6" ht="30" x14ac:dyDescent="0.25">
      <c r="A4" s="14" t="s">
        <v>61</v>
      </c>
      <c r="B4" s="14" t="s">
        <v>62</v>
      </c>
      <c r="C4" s="14" t="s">
        <v>48</v>
      </c>
      <c r="D4" s="14" t="s">
        <v>63</v>
      </c>
      <c r="E4" s="16" t="s">
        <v>64</v>
      </c>
      <c r="F4" s="14" t="s">
        <v>65</v>
      </c>
    </row>
    <row r="5" spans="1:6" ht="30" x14ac:dyDescent="0.25">
      <c r="A5" s="15" t="s">
        <v>0</v>
      </c>
      <c r="B5" s="6" t="s">
        <v>66</v>
      </c>
      <c r="C5" s="6" t="s">
        <v>67</v>
      </c>
      <c r="D5" s="6" t="s">
        <v>68</v>
      </c>
      <c r="E5" s="18">
        <f>COUNTA(_xlfn.UNIQUE(_xlfn.XLOOKUP(tbl_Dictionary[[#This Row],[Field]],Raw_Data!$A$1:$M$1,Raw_Data!$A$2:$M$1027)))</f>
        <v>1000</v>
      </c>
      <c r="F5" s="6" t="s">
        <v>69</v>
      </c>
    </row>
    <row r="6" spans="1:6" x14ac:dyDescent="0.25">
      <c r="A6" s="15" t="s">
        <v>1</v>
      </c>
      <c r="B6" s="6" t="s">
        <v>70</v>
      </c>
      <c r="C6" s="6" t="s">
        <v>71</v>
      </c>
      <c r="D6" s="6" t="s">
        <v>72</v>
      </c>
      <c r="E6" s="18">
        <f>COUNTA(_xlfn.UNIQUE(_xlfn.XLOOKUP(tbl_Dictionary[[#This Row],[Field]],Raw_Data!$A$1:$M$1,Raw_Data!$A$2:$M$1027)))</f>
        <v>2</v>
      </c>
      <c r="F6" s="6" t="s">
        <v>73</v>
      </c>
    </row>
    <row r="7" spans="1:6" x14ac:dyDescent="0.25">
      <c r="A7" s="15" t="s">
        <v>2</v>
      </c>
      <c r="B7" s="6" t="s">
        <v>70</v>
      </c>
      <c r="C7" s="6" t="s">
        <v>74</v>
      </c>
      <c r="D7" s="6" t="s">
        <v>75</v>
      </c>
      <c r="E7" s="18">
        <f>COUNTA(_xlfn.UNIQUE(_xlfn.XLOOKUP(tbl_Dictionary[[#This Row],[Field]],Raw_Data!$A$1:$M$1,Raw_Data!$A$2:$M$1027)))</f>
        <v>2</v>
      </c>
      <c r="F7" s="6" t="s">
        <v>76</v>
      </c>
    </row>
    <row r="8" spans="1:6" ht="30" x14ac:dyDescent="0.25">
      <c r="A8" s="15" t="s">
        <v>3</v>
      </c>
      <c r="B8" s="6" t="s">
        <v>77</v>
      </c>
      <c r="C8" s="6" t="s">
        <v>78</v>
      </c>
      <c r="D8" s="6" t="s">
        <v>79</v>
      </c>
      <c r="E8" s="18">
        <f>COUNTA(_xlfn.UNIQUE(_xlfn.XLOOKUP(tbl_Dictionary[[#This Row],[Field]],Raw_Data!$A$1:$M$1,Raw_Data!$A$2:$M$1027)))</f>
        <v>16</v>
      </c>
      <c r="F8" s="6" t="s">
        <v>80</v>
      </c>
    </row>
    <row r="9" spans="1:6" x14ac:dyDescent="0.25">
      <c r="A9" s="15" t="s">
        <v>4</v>
      </c>
      <c r="B9" s="6" t="s">
        <v>66</v>
      </c>
      <c r="C9" s="6" t="s">
        <v>81</v>
      </c>
      <c r="D9" s="6" t="s">
        <v>82</v>
      </c>
      <c r="E9" s="18">
        <f>COUNTA(_xlfn.UNIQUE(_xlfn.XLOOKUP(tbl_Dictionary[[#This Row],[Field]],Raw_Data!$A$1:$M$1,Raw_Data!$A$2:$M$1027)))</f>
        <v>6</v>
      </c>
      <c r="F9" s="6" t="s">
        <v>83</v>
      </c>
    </row>
    <row r="10" spans="1:6" ht="45" x14ac:dyDescent="0.25">
      <c r="A10" s="15" t="s">
        <v>5</v>
      </c>
      <c r="B10" s="6" t="s">
        <v>84</v>
      </c>
      <c r="C10" s="6" t="s">
        <v>85</v>
      </c>
      <c r="D10" s="6" t="s">
        <v>86</v>
      </c>
      <c r="E10" s="18">
        <f>COUNTA(_xlfn.UNIQUE(_xlfn.XLOOKUP(tbl_Dictionary[[#This Row],[Field]],Raw_Data!$A$1:$M$1,Raw_Data!$A$2:$M$1027)))</f>
        <v>5</v>
      </c>
      <c r="F10" s="6" t="s">
        <v>87</v>
      </c>
    </row>
    <row r="11" spans="1:6" ht="30" x14ac:dyDescent="0.25">
      <c r="A11" s="15" t="s">
        <v>6</v>
      </c>
      <c r="B11" s="6" t="s">
        <v>84</v>
      </c>
      <c r="C11" s="6" t="s">
        <v>88</v>
      </c>
      <c r="D11" s="6" t="s">
        <v>89</v>
      </c>
      <c r="E11" s="18">
        <f>COUNTA(_xlfn.UNIQUE(_xlfn.XLOOKUP(tbl_Dictionary[[#This Row],[Field]],Raw_Data!$A$1:$M$1,Raw_Data!$A$2:$M$1027)))</f>
        <v>5</v>
      </c>
      <c r="F11" s="6" t="s">
        <v>83</v>
      </c>
    </row>
    <row r="12" spans="1:6" x14ac:dyDescent="0.25">
      <c r="A12" s="15" t="s">
        <v>7</v>
      </c>
      <c r="B12" s="6" t="s">
        <v>90</v>
      </c>
      <c r="C12" s="6" t="s">
        <v>91</v>
      </c>
      <c r="D12" s="6" t="s">
        <v>92</v>
      </c>
      <c r="E12" s="18">
        <f>COUNTA(_xlfn.UNIQUE(_xlfn.XLOOKUP(tbl_Dictionary[[#This Row],[Field]],Raw_Data!$A$1:$M$1,Raw_Data!$A$2:$M$1027)))</f>
        <v>2</v>
      </c>
      <c r="F12" s="6" t="s">
        <v>83</v>
      </c>
    </row>
    <row r="13" spans="1:6" x14ac:dyDescent="0.25">
      <c r="A13" s="15" t="s">
        <v>8</v>
      </c>
      <c r="B13" s="6" t="s">
        <v>66</v>
      </c>
      <c r="C13" s="6" t="s">
        <v>93</v>
      </c>
      <c r="D13" s="6" t="s">
        <v>94</v>
      </c>
      <c r="E13" s="18">
        <f>COUNTA(_xlfn.UNIQUE(_xlfn.XLOOKUP(tbl_Dictionary[[#This Row],[Field]],Raw_Data!$A$1:$M$1,Raw_Data!$A$2:$M$1027)))</f>
        <v>5</v>
      </c>
      <c r="F13" s="6" t="s">
        <v>83</v>
      </c>
    </row>
    <row r="14" spans="1:6" ht="30" x14ac:dyDescent="0.25">
      <c r="A14" s="15" t="s">
        <v>9</v>
      </c>
      <c r="B14" s="6" t="s">
        <v>84</v>
      </c>
      <c r="C14" s="6" t="s">
        <v>95</v>
      </c>
      <c r="D14" s="6" t="s">
        <v>96</v>
      </c>
      <c r="E14" s="18">
        <f>COUNTA(_xlfn.UNIQUE(_xlfn.XLOOKUP(tbl_Dictionary[[#This Row],[Field]],Raw_Data!$A$1:$M$1,Raw_Data!$A$2:$M$1027)))</f>
        <v>5</v>
      </c>
      <c r="F14" s="6" t="s">
        <v>97</v>
      </c>
    </row>
    <row r="15" spans="1:6" x14ac:dyDescent="0.25">
      <c r="A15" s="15" t="s">
        <v>10</v>
      </c>
      <c r="B15" s="6" t="s">
        <v>84</v>
      </c>
      <c r="C15" s="6" t="s">
        <v>98</v>
      </c>
      <c r="D15" s="6" t="s">
        <v>99</v>
      </c>
      <c r="E15" s="18">
        <f>COUNTA(_xlfn.UNIQUE(_xlfn.XLOOKUP(tbl_Dictionary[[#This Row],[Field]],Raw_Data!$A$1:$M$1,Raw_Data!$A$2:$M$1027)))</f>
        <v>3</v>
      </c>
      <c r="F15" s="6" t="s">
        <v>83</v>
      </c>
    </row>
    <row r="16" spans="1:6" x14ac:dyDescent="0.25">
      <c r="A16" s="15" t="s">
        <v>11</v>
      </c>
      <c r="B16" s="6" t="s">
        <v>66</v>
      </c>
      <c r="C16" s="6" t="s">
        <v>100</v>
      </c>
      <c r="D16" s="6" t="s">
        <v>101</v>
      </c>
      <c r="E16" s="18">
        <f>COUNTA(_xlfn.UNIQUE(_xlfn.XLOOKUP(tbl_Dictionary[[#This Row],[Field]],Raw_Data!$A$1:$M$1,Raw_Data!$A$2:$M$1027)))</f>
        <v>53</v>
      </c>
      <c r="F16" s="6" t="s">
        <v>102</v>
      </c>
    </row>
    <row r="17" spans="1:6" ht="30" x14ac:dyDescent="0.25">
      <c r="A17" s="15" t="s">
        <v>12</v>
      </c>
      <c r="B17" s="6" t="s">
        <v>90</v>
      </c>
      <c r="C17" s="6" t="s">
        <v>103</v>
      </c>
      <c r="D17" s="6" t="s">
        <v>92</v>
      </c>
      <c r="E17" s="18">
        <f>COUNTA(_xlfn.UNIQUE(_xlfn.XLOOKUP(tbl_Dictionary[[#This Row],[Field]],Raw_Data!$A$1:$M$1,Raw_Data!$A$2:$M$1027)))</f>
        <v>2</v>
      </c>
      <c r="F17" s="6" t="s">
        <v>366</v>
      </c>
    </row>
    <row r="18" spans="1:6" x14ac:dyDescent="0.25">
      <c r="A18" s="3"/>
      <c r="B18" s="3"/>
      <c r="C18" s="3"/>
      <c r="D18" s="3"/>
      <c r="E18" s="3"/>
      <c r="F18" s="3"/>
    </row>
    <row r="19" spans="1:6" ht="18.75" x14ac:dyDescent="0.3">
      <c r="A19" s="9" t="s">
        <v>367</v>
      </c>
      <c r="B19" s="3"/>
      <c r="C19" s="3"/>
      <c r="D19" s="3"/>
      <c r="E19" s="3"/>
      <c r="F19" s="3"/>
    </row>
    <row r="20" spans="1:6" x14ac:dyDescent="0.25">
      <c r="A20" s="13" t="s">
        <v>104</v>
      </c>
      <c r="B20" s="12">
        <f>ROWS(Raw_Data!$A$2:$A$1027)</f>
        <v>1026</v>
      </c>
      <c r="C20" s="11" t="s">
        <v>108</v>
      </c>
      <c r="D20" s="3"/>
      <c r="E20" s="3"/>
      <c r="F20" s="3"/>
    </row>
    <row r="21" spans="1:6" x14ac:dyDescent="0.25">
      <c r="A21" s="13" t="s">
        <v>105</v>
      </c>
      <c r="B21" s="12">
        <f>COUNTA(_xlfn.UNIQUE(Raw_Data!$A$2:$A$1027))</f>
        <v>1000</v>
      </c>
      <c r="C21" s="11" t="s">
        <v>109</v>
      </c>
      <c r="D21" s="3"/>
      <c r="E21" s="3"/>
      <c r="F21" s="3"/>
    </row>
    <row r="22" spans="1:6" x14ac:dyDescent="0.25">
      <c r="A22" s="13" t="s">
        <v>106</v>
      </c>
      <c r="B22" s="12">
        <f>ROWS(Raw_Data!$A$2:$M$1027)-ROWS(_xlfn.UNIQUE(Raw_Data!$A$2:$M$1027))</f>
        <v>26</v>
      </c>
      <c r="C22" s="11" t="s">
        <v>110</v>
      </c>
      <c r="D22" s="3"/>
      <c r="E22" s="3"/>
      <c r="F22" s="3"/>
    </row>
    <row r="23" spans="1:6" x14ac:dyDescent="0.25">
      <c r="A23" s="13" t="s">
        <v>107</v>
      </c>
      <c r="B23" s="12">
        <f>COUNTBLANK(Raw_Data!$A$2:$M$1027)</f>
        <v>0</v>
      </c>
      <c r="C23" s="11" t="s">
        <v>368</v>
      </c>
      <c r="D23" s="3"/>
      <c r="E23" s="3"/>
      <c r="F23" s="3"/>
    </row>
    <row r="24" spans="1:6" x14ac:dyDescent="0.25">
      <c r="A24" s="3"/>
      <c r="B24" s="3"/>
      <c r="C24" s="3"/>
      <c r="D24" s="3"/>
      <c r="E24" s="3"/>
      <c r="F24" s="3"/>
    </row>
    <row r="25" spans="1:6" x14ac:dyDescent="0.25">
      <c r="A25" s="3"/>
      <c r="B25" s="3"/>
      <c r="C25" s="3"/>
      <c r="D25" s="3"/>
      <c r="E25" s="3"/>
      <c r="F25" s="3"/>
    </row>
    <row r="26" spans="1:6" x14ac:dyDescent="0.25">
      <c r="A26" s="3"/>
      <c r="B26" s="3"/>
      <c r="C26" s="3"/>
      <c r="D26" s="3"/>
      <c r="E26" s="3"/>
      <c r="F26" s="3"/>
    </row>
    <row r="27" spans="1:6" x14ac:dyDescent="0.25">
      <c r="A27" s="3"/>
      <c r="B27" s="3"/>
      <c r="C27" s="3"/>
      <c r="D27" s="3"/>
      <c r="E27" s="3"/>
      <c r="F27" s="3"/>
    </row>
    <row r="28" spans="1:6" x14ac:dyDescent="0.25">
      <c r="A28" s="3"/>
      <c r="B28" s="3"/>
      <c r="C28" s="3"/>
      <c r="D28" s="3"/>
      <c r="E28" s="3"/>
      <c r="F28" s="3"/>
    </row>
    <row r="29" spans="1:6" x14ac:dyDescent="0.25">
      <c r="A29" s="3"/>
      <c r="B29" s="3"/>
      <c r="C29" s="3"/>
      <c r="D29" s="3"/>
      <c r="E29" s="3"/>
      <c r="F29" s="3"/>
    </row>
    <row r="30" spans="1:6" x14ac:dyDescent="0.25">
      <c r="A30" s="3"/>
      <c r="B30" s="3"/>
      <c r="C30" s="3"/>
      <c r="D30" s="3"/>
      <c r="E30" s="3"/>
      <c r="F30" s="3"/>
    </row>
    <row r="31" spans="1:6" x14ac:dyDescent="0.25">
      <c r="A31" s="3"/>
      <c r="B31" s="3"/>
      <c r="C31" s="3"/>
      <c r="D31" s="3"/>
      <c r="E31" s="3"/>
      <c r="F31" s="3"/>
    </row>
    <row r="32" spans="1:6" x14ac:dyDescent="0.25">
      <c r="A32" s="3"/>
      <c r="B32" s="3"/>
      <c r="C32" s="3"/>
      <c r="D32" s="3"/>
      <c r="E32" s="3"/>
      <c r="F32" s="3"/>
    </row>
    <row r="33" spans="1:6" x14ac:dyDescent="0.25">
      <c r="A33" s="3"/>
      <c r="B33" s="3"/>
      <c r="C33" s="3"/>
      <c r="D33" s="3"/>
      <c r="E33" s="3"/>
      <c r="F33" s="3"/>
    </row>
    <row r="34" spans="1:6" x14ac:dyDescent="0.25">
      <c r="A34" s="3"/>
      <c r="B34" s="3"/>
      <c r="C34" s="3"/>
      <c r="D34" s="3"/>
      <c r="E34" s="3"/>
      <c r="F34" s="3"/>
    </row>
    <row r="35" spans="1:6" x14ac:dyDescent="0.25">
      <c r="A35" s="3"/>
      <c r="B35" s="3"/>
      <c r="C35" s="3"/>
      <c r="D35" s="3"/>
      <c r="E35" s="3"/>
      <c r="F35" s="3"/>
    </row>
    <row r="36" spans="1:6" x14ac:dyDescent="0.25">
      <c r="A36" s="3"/>
      <c r="B36" s="3"/>
      <c r="C36" s="3"/>
      <c r="D36" s="3"/>
      <c r="E36" s="3"/>
      <c r="F36" s="3"/>
    </row>
    <row r="37" spans="1:6" x14ac:dyDescent="0.25">
      <c r="A37" s="3"/>
      <c r="B37" s="3"/>
      <c r="C37" s="3"/>
      <c r="D37" s="3"/>
      <c r="E37" s="3"/>
      <c r="F37" s="3"/>
    </row>
    <row r="38" spans="1:6" x14ac:dyDescent="0.25">
      <c r="A38" s="3"/>
      <c r="B38" s="3"/>
      <c r="C38" s="3"/>
      <c r="D38" s="3"/>
      <c r="E38" s="3"/>
      <c r="F38" s="3"/>
    </row>
    <row r="39" spans="1:6" x14ac:dyDescent="0.25">
      <c r="A39" s="3"/>
      <c r="B39" s="3"/>
      <c r="C39" s="3"/>
      <c r="D39" s="3"/>
      <c r="E39" s="3"/>
      <c r="F39" s="3"/>
    </row>
    <row r="40" spans="1:6" x14ac:dyDescent="0.25">
      <c r="A40" s="3"/>
      <c r="B40" s="3"/>
      <c r="C40" s="3"/>
      <c r="D40" s="3"/>
      <c r="E40" s="3"/>
      <c r="F40"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6EDC3-8EDF-4769-943F-E55897EA66E0}">
  <dimension ref="A1:H24"/>
  <sheetViews>
    <sheetView showGridLines="0" zoomScale="60" zoomScaleNormal="60" workbookViewId="0">
      <selection activeCell="B22" sqref="B22"/>
    </sheetView>
  </sheetViews>
  <sheetFormatPr defaultRowHeight="15" x14ac:dyDescent="0.25"/>
  <cols>
    <col min="1" max="1" width="7.5703125" customWidth="1"/>
    <col min="2" max="2" width="47.5703125" customWidth="1"/>
    <col min="3" max="3" width="32.42578125" customWidth="1"/>
    <col min="4" max="6" width="14.28515625" customWidth="1"/>
    <col min="7" max="8" width="57.140625" customWidth="1"/>
  </cols>
  <sheetData>
    <row r="1" spans="1:8" ht="23.25" x14ac:dyDescent="0.35">
      <c r="A1" s="4" t="s">
        <v>369</v>
      </c>
      <c r="B1" s="3"/>
      <c r="C1" s="3"/>
      <c r="D1" s="3"/>
      <c r="E1" s="3"/>
      <c r="F1" s="3"/>
      <c r="G1" s="3"/>
      <c r="H1" s="3"/>
    </row>
    <row r="2" spans="1:8" x14ac:dyDescent="0.25">
      <c r="A2" s="5" t="s">
        <v>169</v>
      </c>
      <c r="B2" s="3"/>
      <c r="C2" s="3"/>
      <c r="D2" s="3"/>
      <c r="E2" s="3"/>
      <c r="F2" s="3"/>
      <c r="G2" s="3"/>
      <c r="H2" s="3"/>
    </row>
    <row r="3" spans="1:8" x14ac:dyDescent="0.25">
      <c r="A3" s="3"/>
      <c r="B3" s="3"/>
      <c r="C3" s="3"/>
      <c r="D3" s="3"/>
      <c r="E3" s="3"/>
      <c r="F3" s="3"/>
      <c r="G3" s="3"/>
      <c r="H3" s="3"/>
    </row>
    <row r="4" spans="1:8" ht="32.1" customHeight="1" x14ac:dyDescent="0.25">
      <c r="A4" s="14" t="s">
        <v>123</v>
      </c>
      <c r="B4" s="14" t="s">
        <v>124</v>
      </c>
      <c r="C4" s="14" t="s">
        <v>125</v>
      </c>
      <c r="D4" s="16" t="s">
        <v>126</v>
      </c>
      <c r="E4" s="16" t="s">
        <v>127</v>
      </c>
      <c r="F4" s="16" t="s">
        <v>128</v>
      </c>
      <c r="G4" s="14" t="s">
        <v>129</v>
      </c>
      <c r="H4" s="14" t="s">
        <v>130</v>
      </c>
    </row>
    <row r="5" spans="1:8" x14ac:dyDescent="0.25">
      <c r="A5" s="23">
        <v>1</v>
      </c>
      <c r="B5" s="21" t="s">
        <v>131</v>
      </c>
      <c r="C5" s="21" t="s">
        <v>132</v>
      </c>
      <c r="D5" s="25">
        <f>ROWS(Raw_Data!$A$2:$A$1027)</f>
        <v>1026</v>
      </c>
      <c r="E5" s="25">
        <v>0</v>
      </c>
      <c r="F5" s="25">
        <f>D5-E5</f>
        <v>1026</v>
      </c>
      <c r="G5" s="21" t="s">
        <v>144</v>
      </c>
      <c r="H5" s="21" t="s">
        <v>145</v>
      </c>
    </row>
    <row r="6" spans="1:8" ht="30" x14ac:dyDescent="0.25">
      <c r="A6" s="17">
        <v>2</v>
      </c>
      <c r="B6" s="6" t="s">
        <v>133</v>
      </c>
      <c r="C6" s="6" t="s">
        <v>132</v>
      </c>
      <c r="D6" s="18">
        <f>ROWS(Raw_Data!$A$2:$A$1027)</f>
        <v>1026</v>
      </c>
      <c r="E6" s="18">
        <f>COUNTBLANK(Raw_Data!$A$2:$M$1027)</f>
        <v>0</v>
      </c>
      <c r="F6" s="18">
        <f>ROWS(Raw_Data!$A$2:$A$1027)</f>
        <v>1026</v>
      </c>
      <c r="G6" s="6" t="s">
        <v>146</v>
      </c>
      <c r="H6" s="6" t="s">
        <v>147</v>
      </c>
    </row>
    <row r="7" spans="1:8" ht="45" x14ac:dyDescent="0.25">
      <c r="A7" s="24">
        <v>3</v>
      </c>
      <c r="B7" s="22" t="s">
        <v>134</v>
      </c>
      <c r="C7" s="22" t="s">
        <v>132</v>
      </c>
      <c r="D7" s="26">
        <f>ROWS(Raw_Data!$A$2:$A$1027)</f>
        <v>1026</v>
      </c>
      <c r="E7" s="26">
        <f>ROWS(Raw_Data!$A$2:$A$1027)-ROWS(_xlfn.UNIQUE(Raw_Data!$A$2:$M$1027))</f>
        <v>26</v>
      </c>
      <c r="F7" s="26">
        <f>ROWS(tbl_Clean[])</f>
        <v>1000</v>
      </c>
      <c r="G7" s="22" t="s">
        <v>148</v>
      </c>
      <c r="H7" s="22" t="s">
        <v>149</v>
      </c>
    </row>
    <row r="8" spans="1:8" x14ac:dyDescent="0.25">
      <c r="A8" s="17">
        <v>4</v>
      </c>
      <c r="B8" s="6" t="s">
        <v>135</v>
      </c>
      <c r="C8" s="6" t="s">
        <v>0</v>
      </c>
      <c r="D8" s="18">
        <f>ROWS(tbl_Clean[ID])</f>
        <v>1000</v>
      </c>
      <c r="E8" s="18">
        <f>ROWS(tbl_Clean[ID])-ROWS(_xlfn.UNIQUE(tbl_Clean[ID]))</f>
        <v>0</v>
      </c>
      <c r="F8" s="18">
        <f>D8-E8</f>
        <v>1000</v>
      </c>
      <c r="G8" s="6" t="s">
        <v>150</v>
      </c>
      <c r="H8" s="6" t="s">
        <v>151</v>
      </c>
    </row>
    <row r="9" spans="1:8" ht="30" x14ac:dyDescent="0.25">
      <c r="A9" s="24">
        <v>5</v>
      </c>
      <c r="B9" s="22" t="s">
        <v>136</v>
      </c>
      <c r="C9" s="22" t="s">
        <v>137</v>
      </c>
      <c r="D9" s="26">
        <f>ROWS(tbl_Clean[])</f>
        <v>1000</v>
      </c>
      <c r="E9" s="26" cm="1">
        <f t="array" ref="E9">SUM(COUNTIFS(tbl_Clean[Age],{"&lt;25","&gt;89"}),COUNTIFS(tbl_Clean[Income],{"&lt;10000","&gt;170000"}),COUNTIFS(tbl_Clean[Children],{"&lt;0","&gt;5"}),COUNTIFS(tbl_Clean[Cars],{"&lt;0","&gt;4"}))</f>
        <v>0</v>
      </c>
      <c r="F9" s="26">
        <f>D9-E9</f>
        <v>1000</v>
      </c>
      <c r="G9" s="22" t="s">
        <v>152</v>
      </c>
      <c r="H9" s="22" t="s">
        <v>153</v>
      </c>
    </row>
    <row r="10" spans="1:8" ht="60" x14ac:dyDescent="0.25">
      <c r="A10" s="17">
        <v>6</v>
      </c>
      <c r="B10" s="6" t="s">
        <v>138</v>
      </c>
      <c r="C10" s="6" t="s">
        <v>139</v>
      </c>
      <c r="D10" s="18">
        <f>ROWS(tbl_Clean[])</f>
        <v>1000</v>
      </c>
      <c r="E10" s="18" cm="1">
        <f t="array" ref="E10">SUMPRODUCT(--(LEN(tbl_Clean[[Marital Status]:[Purchased Bike]])&lt;&gt;LEN(TRIM(tbl_Clean[[Marital Status]:[Purchased Bike]]))))</f>
        <v>0</v>
      </c>
      <c r="F10" s="18">
        <f>D10-E10</f>
        <v>1000</v>
      </c>
      <c r="G10" s="6" t="s">
        <v>370</v>
      </c>
      <c r="H10" s="6" t="s">
        <v>154</v>
      </c>
    </row>
    <row r="11" spans="1:8" ht="30" x14ac:dyDescent="0.25">
      <c r="A11" s="24">
        <v>7</v>
      </c>
      <c r="B11" s="22" t="s">
        <v>140</v>
      </c>
      <c r="C11" s="22" t="s">
        <v>141</v>
      </c>
      <c r="D11" s="26">
        <f>ROWS(tbl_Clean[])</f>
        <v>1000</v>
      </c>
      <c r="E11" s="26" cm="1">
        <f t="array" ref="E11">SUM(COUNTIFS(tbl_Clean[Marital Status],{"Married","Single"}))</f>
        <v>1000</v>
      </c>
      <c r="F11" s="26">
        <f>ROWS(tbl_Clean[])</f>
        <v>1000</v>
      </c>
      <c r="G11" s="22" t="s">
        <v>155</v>
      </c>
      <c r="H11" s="22" t="s">
        <v>423</v>
      </c>
    </row>
    <row r="12" spans="1:8" ht="45" x14ac:dyDescent="0.25">
      <c r="A12" s="17">
        <v>8</v>
      </c>
      <c r="B12" s="6" t="s">
        <v>142</v>
      </c>
      <c r="C12" s="6" t="s">
        <v>143</v>
      </c>
      <c r="D12" s="18">
        <f>ROWS(tbl_Clean[])</f>
        <v>1000</v>
      </c>
      <c r="E12" s="18">
        <f>ROWS(tbl_Clean[])</f>
        <v>1000</v>
      </c>
      <c r="F12" s="18">
        <f>ROWS(tbl_Clean[])</f>
        <v>1000</v>
      </c>
      <c r="G12" s="6" t="s">
        <v>156</v>
      </c>
      <c r="H12" s="6" t="s">
        <v>157</v>
      </c>
    </row>
    <row r="13" spans="1:8" x14ac:dyDescent="0.25">
      <c r="A13" s="3"/>
      <c r="B13" s="3"/>
      <c r="C13" s="3"/>
      <c r="D13" s="3"/>
      <c r="E13" s="3"/>
      <c r="F13" s="3"/>
      <c r="G13" s="3"/>
      <c r="H13" s="3"/>
    </row>
    <row r="14" spans="1:8" ht="18.75" x14ac:dyDescent="0.3">
      <c r="A14" s="3"/>
      <c r="B14" s="9" t="s">
        <v>371</v>
      </c>
      <c r="C14" s="3"/>
      <c r="D14" s="3"/>
      <c r="E14" s="3"/>
      <c r="F14" s="3"/>
      <c r="G14" s="3"/>
      <c r="H14" s="3"/>
    </row>
    <row r="15" spans="1:8" ht="20.100000000000001" customHeight="1" x14ac:dyDescent="0.25">
      <c r="A15" s="3"/>
      <c r="B15" s="14" t="s">
        <v>158</v>
      </c>
      <c r="C15" s="14" t="s">
        <v>159</v>
      </c>
      <c r="D15" s="14" t="s">
        <v>160</v>
      </c>
      <c r="E15" s="14" t="s">
        <v>161</v>
      </c>
      <c r="F15" s="3"/>
      <c r="G15" s="3"/>
      <c r="H15" s="3"/>
    </row>
    <row r="16" spans="1:8" x14ac:dyDescent="0.25">
      <c r="A16" s="3"/>
      <c r="B16" s="6" t="s">
        <v>162</v>
      </c>
      <c r="C16" s="18">
        <v>1000</v>
      </c>
      <c r="D16" s="18">
        <f>ROWS(tbl_Clean[])</f>
        <v>1000</v>
      </c>
      <c r="E16" s="27" t="str">
        <f>IF(tbl_Validation[[#This Row],[Actual]]=tbl_Validation[[#This Row],[Expected]],"PASS","FAIL")</f>
        <v>PASS</v>
      </c>
      <c r="F16" s="3"/>
      <c r="G16" s="3"/>
      <c r="H16" s="3"/>
    </row>
    <row r="17" spans="1:8" x14ac:dyDescent="0.25">
      <c r="A17" s="3"/>
      <c r="B17" s="6" t="s">
        <v>163</v>
      </c>
      <c r="C17" s="18">
        <v>1000</v>
      </c>
      <c r="D17" s="18">
        <f>ROWS(_xlfn.UNIQUE(tbl_Clean[ID]))</f>
        <v>1000</v>
      </c>
      <c r="E17" s="27" t="str">
        <f>IF(tbl_Validation[[#This Row],[Actual]]=tbl_Validation[[#This Row],[Expected]],"PASS","FAIL")</f>
        <v>PASS</v>
      </c>
      <c r="F17" s="3"/>
      <c r="G17" s="3"/>
      <c r="H17" s="3"/>
    </row>
    <row r="18" spans="1:8" x14ac:dyDescent="0.25">
      <c r="A18" s="3"/>
      <c r="B18" s="6" t="s">
        <v>164</v>
      </c>
      <c r="C18" s="18">
        <v>0</v>
      </c>
      <c r="D18" s="18">
        <f>COUNTBLANK(tbl_Clean[])</f>
        <v>0</v>
      </c>
      <c r="E18" s="27" t="str">
        <f>IF(tbl_Validation[[#This Row],[Actual]]=tbl_Validation[[#This Row],[Expected]],"PASS","FAIL")</f>
        <v>PASS</v>
      </c>
      <c r="F18" s="3"/>
      <c r="G18" s="3"/>
      <c r="H18" s="3"/>
    </row>
    <row r="19" spans="1:8" x14ac:dyDescent="0.25">
      <c r="A19" s="3"/>
      <c r="B19" s="6" t="s">
        <v>165</v>
      </c>
      <c r="C19" s="18">
        <f>ROWS(_xlfn.UNIQUE(Raw_Data!$A$2:$M$1027))</f>
        <v>1000</v>
      </c>
      <c r="D19" s="18">
        <f>ROWS(tbl_Clean[])</f>
        <v>1000</v>
      </c>
      <c r="E19" s="27" t="str">
        <f>IF(tbl_Validation[[#This Row],[Actual]]=tbl_Validation[[#This Row],[Expected]],"PASS","FAIL")</f>
        <v>PASS</v>
      </c>
      <c r="F19" s="3"/>
      <c r="G19" s="3"/>
      <c r="H19" s="3"/>
    </row>
    <row r="20" spans="1:8" x14ac:dyDescent="0.25">
      <c r="A20" s="3"/>
      <c r="B20" s="6" t="s">
        <v>166</v>
      </c>
      <c r="C20" s="18">
        <f>COUNTIFS(tbl_Clean[Purchased Bike],"Yes")</f>
        <v>481</v>
      </c>
      <c r="D20" s="18">
        <f>SUM(tbl_Clean[Purchased Flag])</f>
        <v>481</v>
      </c>
      <c r="E20" s="27" t="str">
        <f>IF(tbl_Validation[[#This Row],[Actual]]=tbl_Validation[[#This Row],[Expected]],"PASS","FAIL")</f>
        <v>PASS</v>
      </c>
      <c r="F20" s="3"/>
      <c r="G20" s="3"/>
      <c r="H20" s="3"/>
    </row>
    <row r="21" spans="1:8" ht="30" x14ac:dyDescent="0.25">
      <c r="A21" s="3"/>
      <c r="B21" s="6" t="s">
        <v>167</v>
      </c>
      <c r="C21" s="18">
        <v>0</v>
      </c>
      <c r="D21" s="18" cm="1">
        <f t="array" ref="D21">2*ROWS(tbl_Clean[])-SUM(COUNTIFS(tbl_Clean[Marital Status],{"Married","Single"}))-SUM(COUNTIFS(tbl_Clean[Gender],{"Male","Female"}))</f>
        <v>0</v>
      </c>
      <c r="E21" s="27" t="str">
        <f>IF(tbl_Validation[[#This Row],[Actual]]=tbl_Validation[[#This Row],[Expected]],"PASS","FAIL")</f>
        <v>PASS</v>
      </c>
      <c r="F21" s="3"/>
      <c r="G21" s="3"/>
      <c r="H21" s="3"/>
    </row>
    <row r="22" spans="1:8" ht="30" x14ac:dyDescent="0.25">
      <c r="A22" s="3"/>
      <c r="B22" s="6" t="s">
        <v>168</v>
      </c>
      <c r="C22" s="18">
        <v>0</v>
      </c>
      <c r="D22" s="18">
        <f>2*ROWS(tbl_Clean[])-COUNTIF(tbl_Clean[Age Band],"?*")-COUNTIF(tbl_Clean[Income Band],"?*")</f>
        <v>0</v>
      </c>
      <c r="E22" s="27" t="str">
        <f>IF(tbl_Validation[[#This Row],[Actual]]=tbl_Validation[[#This Row],[Expected]],"PASS","FAIL")</f>
        <v>PASS</v>
      </c>
      <c r="F22" s="3"/>
      <c r="G22" s="3"/>
      <c r="H22" s="3"/>
    </row>
    <row r="23" spans="1:8" x14ac:dyDescent="0.25">
      <c r="A23" s="3"/>
      <c r="B23" s="3"/>
      <c r="C23" s="3"/>
      <c r="D23" s="3"/>
      <c r="E23" s="3"/>
      <c r="F23" s="3"/>
      <c r="G23" s="3"/>
      <c r="H23" s="3"/>
    </row>
    <row r="24" spans="1:8" x14ac:dyDescent="0.25">
      <c r="A24" s="3"/>
      <c r="B24" s="28" t="s">
        <v>372</v>
      </c>
      <c r="C24" s="29" t="str">
        <f>IF(COUNTIF(tbl_Validation[Status],"FAIL")=0,"ALL CHECKS PASSED",COUNTIF(tbl_Validation[Status],"FAIL")&amp;" CHECK(S) FAILED")</f>
        <v>ALL CHECKS PASSED</v>
      </c>
      <c r="D24" s="3"/>
      <c r="E24" s="3"/>
      <c r="F24" s="3"/>
      <c r="G24" s="3"/>
      <c r="H24" s="3"/>
    </row>
  </sheetData>
  <conditionalFormatting sqref="C24">
    <cfRule type="containsText" dxfId="28" priority="3" operator="containsText" text="ALL CHECKS PASSED">
      <formula>NOT(ISERROR(SEARCH("ALL CHECKS PASSED",C24)))</formula>
    </cfRule>
    <cfRule type="containsText" dxfId="27" priority="4" operator="containsText" text="FAILED">
      <formula>NOT(ISERROR(SEARCH("FAILED",C24)))</formula>
    </cfRule>
  </conditionalFormatting>
  <conditionalFormatting sqref="E16:E22">
    <cfRule type="containsText" dxfId="26" priority="1" operator="containsText" text="PASS">
      <formula>NOT(ISERROR(SEARCH("PASS",E16)))</formula>
    </cfRule>
    <cfRule type="containsText" dxfId="25" priority="2" operator="containsText" text="FAIL">
      <formula>NOT(ISERROR(SEARCH("FAIL",E16)))</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08EC-939C-405A-B4AA-8BB017B3F74A}">
  <dimension ref="A1:U1004"/>
  <sheetViews>
    <sheetView showGridLines="0" workbookViewId="0">
      <pane ySplit="4" topLeftCell="A5" activePane="bottomLeft" state="frozen"/>
      <selection pane="bottomLeft"/>
    </sheetView>
  </sheetViews>
  <sheetFormatPr defaultRowHeight="15" x14ac:dyDescent="0.25"/>
  <cols>
    <col min="1" max="1" width="17.5703125" customWidth="1"/>
    <col min="2" max="2" width="21.85546875" customWidth="1"/>
    <col min="3" max="5" width="17.5703125" customWidth="1"/>
    <col min="6" max="7" width="21.85546875" customWidth="1"/>
    <col min="8" max="8" width="21.140625" customWidth="1"/>
    <col min="9" max="9" width="17.5703125" customWidth="1"/>
    <col min="10" max="10" width="26.42578125" customWidth="1"/>
    <col min="11" max="11" width="17.85546875" customWidth="1"/>
    <col min="12" max="12" width="17.5703125" customWidth="1"/>
    <col min="13" max="13" width="23" customWidth="1"/>
    <col min="14" max="14" width="17.7109375" customWidth="1"/>
    <col min="15" max="15" width="21.85546875" customWidth="1"/>
    <col min="16" max="16" width="20.85546875" customWidth="1"/>
    <col min="17" max="17" width="25" customWidth="1"/>
    <col min="18" max="18" width="22.5703125" customWidth="1"/>
    <col min="19" max="20" width="22.28515625" customWidth="1"/>
    <col min="21" max="21" width="22.7109375" customWidth="1"/>
  </cols>
  <sheetData>
    <row r="1" spans="1:21" ht="23.25" x14ac:dyDescent="0.35">
      <c r="A1" s="4" t="s">
        <v>373</v>
      </c>
      <c r="B1" s="3"/>
      <c r="C1" s="3"/>
      <c r="D1" s="3"/>
      <c r="E1" s="3"/>
      <c r="F1" s="3"/>
      <c r="G1" s="3"/>
      <c r="H1" s="3"/>
      <c r="I1" s="3"/>
      <c r="J1" s="3"/>
      <c r="K1" s="3"/>
      <c r="L1" s="3"/>
      <c r="M1" s="3"/>
      <c r="N1" s="3"/>
      <c r="O1" s="3"/>
      <c r="P1" s="3"/>
      <c r="Q1" s="3"/>
      <c r="R1" s="3"/>
      <c r="S1" s="3"/>
      <c r="T1" s="3"/>
      <c r="U1" s="3"/>
    </row>
    <row r="2" spans="1:21" x14ac:dyDescent="0.25">
      <c r="A2" s="5" t="s">
        <v>374</v>
      </c>
      <c r="B2" s="3"/>
      <c r="C2" s="3"/>
      <c r="D2" s="3"/>
      <c r="E2" s="3"/>
      <c r="F2" s="3"/>
      <c r="G2" s="3"/>
      <c r="H2" s="3"/>
      <c r="I2" s="3"/>
      <c r="J2" s="3"/>
      <c r="K2" s="3"/>
      <c r="L2" s="3"/>
      <c r="M2" s="3"/>
      <c r="N2" s="3"/>
      <c r="O2" s="3"/>
      <c r="P2" s="3"/>
      <c r="Q2" s="3"/>
      <c r="R2" s="3"/>
      <c r="S2" s="3"/>
      <c r="T2" s="3"/>
      <c r="U2" s="3"/>
    </row>
    <row r="3" spans="1:21" x14ac:dyDescent="0.25">
      <c r="A3" s="3"/>
      <c r="B3" s="3"/>
      <c r="C3" s="3"/>
      <c r="D3" s="3"/>
      <c r="E3" s="3"/>
      <c r="F3" s="3"/>
      <c r="G3" s="3"/>
      <c r="H3" s="3"/>
      <c r="I3" s="3"/>
      <c r="J3" s="3"/>
      <c r="K3" s="3"/>
      <c r="L3" s="3"/>
      <c r="M3" s="3"/>
      <c r="N3" s="3"/>
      <c r="O3" s="3"/>
      <c r="P3" s="3"/>
      <c r="Q3" s="3"/>
      <c r="R3" s="3"/>
      <c r="S3" s="3"/>
      <c r="T3" s="3"/>
      <c r="U3" s="3"/>
    </row>
    <row r="4" spans="1:21" ht="32.1" customHeight="1" x14ac:dyDescent="0.25">
      <c r="A4" s="16" t="s">
        <v>0</v>
      </c>
      <c r="B4" s="16" t="s">
        <v>1</v>
      </c>
      <c r="C4" s="16" t="s">
        <v>2</v>
      </c>
      <c r="D4" s="16" t="s">
        <v>3</v>
      </c>
      <c r="E4" s="16" t="s">
        <v>4</v>
      </c>
      <c r="F4" s="16" t="s">
        <v>5</v>
      </c>
      <c r="G4" s="16" t="s">
        <v>6</v>
      </c>
      <c r="H4" s="16" t="s">
        <v>7</v>
      </c>
      <c r="I4" s="16" t="s">
        <v>8</v>
      </c>
      <c r="J4" s="16" t="s">
        <v>9</v>
      </c>
      <c r="K4" s="16" t="s">
        <v>10</v>
      </c>
      <c r="L4" s="16" t="s">
        <v>11</v>
      </c>
      <c r="M4" s="16" t="s">
        <v>12</v>
      </c>
      <c r="N4" s="16" t="s">
        <v>115</v>
      </c>
      <c r="O4" s="16" t="s">
        <v>116</v>
      </c>
      <c r="P4" s="16" t="s">
        <v>117</v>
      </c>
      <c r="Q4" s="16" t="s">
        <v>118</v>
      </c>
      <c r="R4" s="16" t="s">
        <v>119</v>
      </c>
      <c r="S4" s="16" t="s">
        <v>120</v>
      </c>
      <c r="T4" s="16" t="s">
        <v>121</v>
      </c>
      <c r="U4" s="16" t="s">
        <v>122</v>
      </c>
    </row>
    <row r="5" spans="1:21" x14ac:dyDescent="0.25">
      <c r="A5" s="20">
        <v>12496</v>
      </c>
      <c r="B5" s="3" t="s">
        <v>111</v>
      </c>
      <c r="C5" s="3" t="s">
        <v>112</v>
      </c>
      <c r="D5" s="19">
        <v>40000</v>
      </c>
      <c r="E5" s="20">
        <v>1</v>
      </c>
      <c r="F5" s="3" t="s">
        <v>15</v>
      </c>
      <c r="G5" s="3" t="s">
        <v>16</v>
      </c>
      <c r="H5" s="3" t="s">
        <v>17</v>
      </c>
      <c r="I5" s="20">
        <v>0</v>
      </c>
      <c r="J5" s="3" t="s">
        <v>18</v>
      </c>
      <c r="K5" s="3" t="s">
        <v>19</v>
      </c>
      <c r="L5" s="20">
        <v>42</v>
      </c>
      <c r="M5" s="3" t="s">
        <v>20</v>
      </c>
      <c r="N5" s="20" t="str" cm="1">
        <f t="array" ref="N5">_xlfn.IFS(tbl_Clean[[#This Row],[Age]]&lt;=30,"25-30",tbl_Clean[[#This Row],[Age]]&lt;=40,"31-40",tbl_Clean[[#This Row],[Age]]&lt;=50,"41-50",tbl_Clean[[#This Row],[Age]]&lt;=60,"51-60",TRUE,"61+")</f>
        <v>41-50</v>
      </c>
      <c r="O5" s="20">
        <f>_xlfn.XMATCH(tbl_Clean[[#This Row],[Age Band]],{"25-30","31-40","41-50","51-60","61+"})</f>
        <v>3</v>
      </c>
      <c r="P5" s="20" t="str" cm="1">
        <f t="array" ref="P5">_xlfn.IFS(tbl_Clean[[#This Row],[Income]]&lt;=30000,"$10k-30k",tbl_Clean[[#This Row],[Income]]&lt;=60000,"$40k-60k",tbl_Clean[[#This Row],[Income]]&lt;=90000,"$70k-90k",TRUE,"$100k+")</f>
        <v>$40k-60k</v>
      </c>
      <c r="Q5" s="20">
        <f>_xlfn.XMATCH(tbl_Clean[[#This Row],[Income Band]],{"$10k-30k","$40k-60k","$70k-90k","$100k+"})</f>
        <v>2</v>
      </c>
      <c r="R5" s="20" t="str">
        <f>IF(tbl_Clean[[#This Row],[Cars]]&lt;=1,"0-1 Cars","2+ Cars")</f>
        <v>0-1 Cars</v>
      </c>
      <c r="S5" s="20">
        <f>_xlfn.XMATCH(tbl_Clean[[#This Row],[Commute Distance]],{"0-1 Miles","1-2 Miles","2-5 Miles","5-10 Miles","10+ Miles"})</f>
        <v>1</v>
      </c>
      <c r="T5" s="20">
        <f>_xlfn.XMATCH(tbl_Clean[[#This Row],[Education]],{"Partial High School","High School","Partial College","Bachelors","Graduate Degree"})</f>
        <v>4</v>
      </c>
      <c r="U5" s="20">
        <f>IF(tbl_Clean[[#This Row],[Purchased Bike]]="Yes",1,0)</f>
        <v>0</v>
      </c>
    </row>
    <row r="6" spans="1:21" x14ac:dyDescent="0.25">
      <c r="A6" s="20">
        <v>24107</v>
      </c>
      <c r="B6" s="3" t="s">
        <v>111</v>
      </c>
      <c r="C6" s="3" t="s">
        <v>113</v>
      </c>
      <c r="D6" s="19">
        <v>30000</v>
      </c>
      <c r="E6" s="20">
        <v>3</v>
      </c>
      <c r="F6" s="3" t="s">
        <v>21</v>
      </c>
      <c r="G6" s="3" t="s">
        <v>22</v>
      </c>
      <c r="H6" s="3" t="s">
        <v>17</v>
      </c>
      <c r="I6" s="20">
        <v>1</v>
      </c>
      <c r="J6" s="3" t="s">
        <v>18</v>
      </c>
      <c r="K6" s="3" t="s">
        <v>19</v>
      </c>
      <c r="L6" s="20">
        <v>43</v>
      </c>
      <c r="M6" s="3" t="s">
        <v>20</v>
      </c>
      <c r="N6" s="20" t="str" cm="1">
        <f t="array" ref="N6">_xlfn.IFS(tbl_Clean[[#This Row],[Age]]&lt;=30,"25-30",tbl_Clean[[#This Row],[Age]]&lt;=40,"31-40",tbl_Clean[[#This Row],[Age]]&lt;=50,"41-50",tbl_Clean[[#This Row],[Age]]&lt;=60,"51-60",TRUE,"61+")</f>
        <v>41-50</v>
      </c>
      <c r="O6" s="20">
        <f>_xlfn.XMATCH(tbl_Clean[[#This Row],[Age Band]],{"25-30","31-40","41-50","51-60","61+"})</f>
        <v>3</v>
      </c>
      <c r="P6" s="20" t="str" cm="1">
        <f t="array" ref="P6">_xlfn.IFS(tbl_Clean[[#This Row],[Income]]&lt;=30000,"$10k-30k",tbl_Clean[[#This Row],[Income]]&lt;=60000,"$40k-60k",tbl_Clean[[#This Row],[Income]]&lt;=90000,"$70k-90k",TRUE,"$100k+")</f>
        <v>$10k-30k</v>
      </c>
      <c r="Q6" s="20">
        <f>_xlfn.XMATCH(tbl_Clean[[#This Row],[Income Band]],{"$10k-30k","$40k-60k","$70k-90k","$100k+"})</f>
        <v>1</v>
      </c>
      <c r="R6" s="20" t="str">
        <f>IF(tbl_Clean[[#This Row],[Cars]]&lt;=1,"0-1 Cars","2+ Cars")</f>
        <v>0-1 Cars</v>
      </c>
      <c r="S6" s="20">
        <f>_xlfn.XMATCH(tbl_Clean[[#This Row],[Commute Distance]],{"0-1 Miles","1-2 Miles","2-5 Miles","5-10 Miles","10+ Miles"})</f>
        <v>1</v>
      </c>
      <c r="T6" s="20">
        <f>_xlfn.XMATCH(tbl_Clean[[#This Row],[Education]],{"Partial High School","High School","Partial College","Bachelors","Graduate Degree"})</f>
        <v>3</v>
      </c>
      <c r="U6" s="20">
        <f>IF(tbl_Clean[[#This Row],[Purchased Bike]]="Yes",1,0)</f>
        <v>0</v>
      </c>
    </row>
    <row r="7" spans="1:21" x14ac:dyDescent="0.25">
      <c r="A7" s="20">
        <v>14177</v>
      </c>
      <c r="B7" s="3" t="s">
        <v>111</v>
      </c>
      <c r="C7" s="3" t="s">
        <v>113</v>
      </c>
      <c r="D7" s="19">
        <v>80000</v>
      </c>
      <c r="E7" s="20">
        <v>5</v>
      </c>
      <c r="F7" s="3" t="s">
        <v>21</v>
      </c>
      <c r="G7" s="3" t="s">
        <v>23</v>
      </c>
      <c r="H7" s="3" t="s">
        <v>20</v>
      </c>
      <c r="I7" s="20">
        <v>2</v>
      </c>
      <c r="J7" s="3" t="s">
        <v>24</v>
      </c>
      <c r="K7" s="3" t="s">
        <v>19</v>
      </c>
      <c r="L7" s="20">
        <v>60</v>
      </c>
      <c r="M7" s="3" t="s">
        <v>20</v>
      </c>
      <c r="N7" s="20" t="str" cm="1">
        <f t="array" ref="N7">_xlfn.IFS(tbl_Clean[[#This Row],[Age]]&lt;=30,"25-30",tbl_Clean[[#This Row],[Age]]&lt;=40,"31-40",tbl_Clean[[#This Row],[Age]]&lt;=50,"41-50",tbl_Clean[[#This Row],[Age]]&lt;=60,"51-60",TRUE,"61+")</f>
        <v>51-60</v>
      </c>
      <c r="O7" s="20">
        <f>_xlfn.XMATCH(tbl_Clean[[#This Row],[Age Band]],{"25-30","31-40","41-50","51-60","61+"})</f>
        <v>4</v>
      </c>
      <c r="P7" s="20" t="str" cm="1">
        <f t="array" ref="P7">_xlfn.IFS(tbl_Clean[[#This Row],[Income]]&lt;=30000,"$10k-30k",tbl_Clean[[#This Row],[Income]]&lt;=60000,"$40k-60k",tbl_Clean[[#This Row],[Income]]&lt;=90000,"$70k-90k",TRUE,"$100k+")</f>
        <v>$70k-90k</v>
      </c>
      <c r="Q7" s="20">
        <f>_xlfn.XMATCH(tbl_Clean[[#This Row],[Income Band]],{"$10k-30k","$40k-60k","$70k-90k","$100k+"})</f>
        <v>3</v>
      </c>
      <c r="R7" s="20" t="str">
        <f>IF(tbl_Clean[[#This Row],[Cars]]&lt;=1,"0-1 Cars","2+ Cars")</f>
        <v>2+ Cars</v>
      </c>
      <c r="S7" s="20">
        <f>_xlfn.XMATCH(tbl_Clean[[#This Row],[Commute Distance]],{"0-1 Miles","1-2 Miles","2-5 Miles","5-10 Miles","10+ Miles"})</f>
        <v>3</v>
      </c>
      <c r="T7" s="20">
        <f>_xlfn.XMATCH(tbl_Clean[[#This Row],[Education]],{"Partial High School","High School","Partial College","Bachelors","Graduate Degree"})</f>
        <v>3</v>
      </c>
      <c r="U7" s="20">
        <f>IF(tbl_Clean[[#This Row],[Purchased Bike]]="Yes",1,0)</f>
        <v>0</v>
      </c>
    </row>
    <row r="8" spans="1:21" x14ac:dyDescent="0.25">
      <c r="A8" s="20">
        <v>24381</v>
      </c>
      <c r="B8" s="3" t="s">
        <v>114</v>
      </c>
      <c r="C8" s="3" t="s">
        <v>113</v>
      </c>
      <c r="D8" s="19">
        <v>70000</v>
      </c>
      <c r="E8" s="20">
        <v>0</v>
      </c>
      <c r="F8" s="3" t="s">
        <v>15</v>
      </c>
      <c r="G8" s="3" t="s">
        <v>23</v>
      </c>
      <c r="H8" s="3" t="s">
        <v>17</v>
      </c>
      <c r="I8" s="20">
        <v>1</v>
      </c>
      <c r="J8" s="3" t="s">
        <v>26</v>
      </c>
      <c r="K8" s="3" t="s">
        <v>27</v>
      </c>
      <c r="L8" s="20">
        <v>41</v>
      </c>
      <c r="M8" s="3" t="s">
        <v>17</v>
      </c>
      <c r="N8" s="20" t="str" cm="1">
        <f t="array" ref="N8">_xlfn.IFS(tbl_Clean[[#This Row],[Age]]&lt;=30,"25-30",tbl_Clean[[#This Row],[Age]]&lt;=40,"31-40",tbl_Clean[[#This Row],[Age]]&lt;=50,"41-50",tbl_Clean[[#This Row],[Age]]&lt;=60,"51-60",TRUE,"61+")</f>
        <v>41-50</v>
      </c>
      <c r="O8" s="20">
        <f>_xlfn.XMATCH(tbl_Clean[[#This Row],[Age Band]],{"25-30","31-40","41-50","51-60","61+"})</f>
        <v>3</v>
      </c>
      <c r="P8" s="20" t="str" cm="1">
        <f t="array" ref="P8">_xlfn.IFS(tbl_Clean[[#This Row],[Income]]&lt;=30000,"$10k-30k",tbl_Clean[[#This Row],[Income]]&lt;=60000,"$40k-60k",tbl_Clean[[#This Row],[Income]]&lt;=90000,"$70k-90k",TRUE,"$100k+")</f>
        <v>$70k-90k</v>
      </c>
      <c r="Q8" s="20">
        <f>_xlfn.XMATCH(tbl_Clean[[#This Row],[Income Band]],{"$10k-30k","$40k-60k","$70k-90k","$100k+"})</f>
        <v>3</v>
      </c>
      <c r="R8" s="20" t="str">
        <f>IF(tbl_Clean[[#This Row],[Cars]]&lt;=1,"0-1 Cars","2+ Cars")</f>
        <v>0-1 Cars</v>
      </c>
      <c r="S8" s="20">
        <f>_xlfn.XMATCH(tbl_Clean[[#This Row],[Commute Distance]],{"0-1 Miles","1-2 Miles","2-5 Miles","5-10 Miles","10+ Miles"})</f>
        <v>4</v>
      </c>
      <c r="T8" s="20">
        <f>_xlfn.XMATCH(tbl_Clean[[#This Row],[Education]],{"Partial High School","High School","Partial College","Bachelors","Graduate Degree"})</f>
        <v>4</v>
      </c>
      <c r="U8" s="20">
        <f>IF(tbl_Clean[[#This Row],[Purchased Bike]]="Yes",1,0)</f>
        <v>1</v>
      </c>
    </row>
    <row r="9" spans="1:21" x14ac:dyDescent="0.25">
      <c r="A9" s="20">
        <v>25597</v>
      </c>
      <c r="B9" s="3" t="s">
        <v>114</v>
      </c>
      <c r="C9" s="3" t="s">
        <v>113</v>
      </c>
      <c r="D9" s="19">
        <v>30000</v>
      </c>
      <c r="E9" s="20">
        <v>0</v>
      </c>
      <c r="F9" s="3" t="s">
        <v>15</v>
      </c>
      <c r="G9" s="3" t="s">
        <v>22</v>
      </c>
      <c r="H9" s="3" t="s">
        <v>20</v>
      </c>
      <c r="I9" s="20">
        <v>0</v>
      </c>
      <c r="J9" s="3" t="s">
        <v>18</v>
      </c>
      <c r="K9" s="3" t="s">
        <v>19</v>
      </c>
      <c r="L9" s="20">
        <v>36</v>
      </c>
      <c r="M9" s="3" t="s">
        <v>17</v>
      </c>
      <c r="N9" s="20" t="str" cm="1">
        <f t="array" ref="N9">_xlfn.IFS(tbl_Clean[[#This Row],[Age]]&lt;=30,"25-30",tbl_Clean[[#This Row],[Age]]&lt;=40,"31-40",tbl_Clean[[#This Row],[Age]]&lt;=50,"41-50",tbl_Clean[[#This Row],[Age]]&lt;=60,"51-60",TRUE,"61+")</f>
        <v>31-40</v>
      </c>
      <c r="O9" s="20">
        <f>_xlfn.XMATCH(tbl_Clean[[#This Row],[Age Band]],{"25-30","31-40","41-50","51-60","61+"})</f>
        <v>2</v>
      </c>
      <c r="P9" s="20" t="str" cm="1">
        <f t="array" ref="P9">_xlfn.IFS(tbl_Clean[[#This Row],[Income]]&lt;=30000,"$10k-30k",tbl_Clean[[#This Row],[Income]]&lt;=60000,"$40k-60k",tbl_Clean[[#This Row],[Income]]&lt;=90000,"$70k-90k",TRUE,"$100k+")</f>
        <v>$10k-30k</v>
      </c>
      <c r="Q9" s="20">
        <f>_xlfn.XMATCH(tbl_Clean[[#This Row],[Income Band]],{"$10k-30k","$40k-60k","$70k-90k","$100k+"})</f>
        <v>1</v>
      </c>
      <c r="R9" s="20" t="str">
        <f>IF(tbl_Clean[[#This Row],[Cars]]&lt;=1,"0-1 Cars","2+ Cars")</f>
        <v>0-1 Cars</v>
      </c>
      <c r="S9" s="20">
        <f>_xlfn.XMATCH(tbl_Clean[[#This Row],[Commute Distance]],{"0-1 Miles","1-2 Miles","2-5 Miles","5-10 Miles","10+ Miles"})</f>
        <v>1</v>
      </c>
      <c r="T9" s="20">
        <f>_xlfn.XMATCH(tbl_Clean[[#This Row],[Education]],{"Partial High School","High School","Partial College","Bachelors","Graduate Degree"})</f>
        <v>4</v>
      </c>
      <c r="U9" s="20">
        <f>IF(tbl_Clean[[#This Row],[Purchased Bike]]="Yes",1,0)</f>
        <v>1</v>
      </c>
    </row>
    <row r="10" spans="1:21" x14ac:dyDescent="0.25">
      <c r="A10" s="20">
        <v>13507</v>
      </c>
      <c r="B10" s="3" t="s">
        <v>111</v>
      </c>
      <c r="C10" s="3" t="s">
        <v>112</v>
      </c>
      <c r="D10" s="19">
        <v>10000</v>
      </c>
      <c r="E10" s="20">
        <v>2</v>
      </c>
      <c r="F10" s="3" t="s">
        <v>21</v>
      </c>
      <c r="G10" s="3" t="s">
        <v>28</v>
      </c>
      <c r="H10" s="3" t="s">
        <v>17</v>
      </c>
      <c r="I10" s="20">
        <v>0</v>
      </c>
      <c r="J10" s="3" t="s">
        <v>29</v>
      </c>
      <c r="K10" s="3" t="s">
        <v>19</v>
      </c>
      <c r="L10" s="20">
        <v>50</v>
      </c>
      <c r="M10" s="3" t="s">
        <v>20</v>
      </c>
      <c r="N10" s="20" t="str" cm="1">
        <f t="array" ref="N10">_xlfn.IFS(tbl_Clean[[#This Row],[Age]]&lt;=30,"25-30",tbl_Clean[[#This Row],[Age]]&lt;=40,"31-40",tbl_Clean[[#This Row],[Age]]&lt;=50,"41-50",tbl_Clean[[#This Row],[Age]]&lt;=60,"51-60",TRUE,"61+")</f>
        <v>41-50</v>
      </c>
      <c r="O10" s="20">
        <f>_xlfn.XMATCH(tbl_Clean[[#This Row],[Age Band]],{"25-30","31-40","41-50","51-60","61+"})</f>
        <v>3</v>
      </c>
      <c r="P10" s="20" t="str" cm="1">
        <f t="array" ref="P10">_xlfn.IFS(tbl_Clean[[#This Row],[Income]]&lt;=30000,"$10k-30k",tbl_Clean[[#This Row],[Income]]&lt;=60000,"$40k-60k",tbl_Clean[[#This Row],[Income]]&lt;=90000,"$70k-90k",TRUE,"$100k+")</f>
        <v>$10k-30k</v>
      </c>
      <c r="Q10" s="20">
        <f>_xlfn.XMATCH(tbl_Clean[[#This Row],[Income Band]],{"$10k-30k","$40k-60k","$70k-90k","$100k+"})</f>
        <v>1</v>
      </c>
      <c r="R10" s="20" t="str">
        <f>IF(tbl_Clean[[#This Row],[Cars]]&lt;=1,"0-1 Cars","2+ Cars")</f>
        <v>0-1 Cars</v>
      </c>
      <c r="S10" s="20">
        <f>_xlfn.XMATCH(tbl_Clean[[#This Row],[Commute Distance]],{"0-1 Miles","1-2 Miles","2-5 Miles","5-10 Miles","10+ Miles"})</f>
        <v>2</v>
      </c>
      <c r="T10" s="20">
        <f>_xlfn.XMATCH(tbl_Clean[[#This Row],[Education]],{"Partial High School","High School","Partial College","Bachelors","Graduate Degree"})</f>
        <v>3</v>
      </c>
      <c r="U10" s="20">
        <f>IF(tbl_Clean[[#This Row],[Purchased Bike]]="Yes",1,0)</f>
        <v>0</v>
      </c>
    </row>
    <row r="11" spans="1:21" x14ac:dyDescent="0.25">
      <c r="A11" s="20">
        <v>27974</v>
      </c>
      <c r="B11" s="3" t="s">
        <v>114</v>
      </c>
      <c r="C11" s="3" t="s">
        <v>113</v>
      </c>
      <c r="D11" s="19">
        <v>160000</v>
      </c>
      <c r="E11" s="20">
        <v>2</v>
      </c>
      <c r="F11" s="3" t="s">
        <v>30</v>
      </c>
      <c r="G11" s="3" t="s">
        <v>31</v>
      </c>
      <c r="H11" s="3" t="s">
        <v>17</v>
      </c>
      <c r="I11" s="20">
        <v>4</v>
      </c>
      <c r="J11" s="3" t="s">
        <v>18</v>
      </c>
      <c r="K11" s="3" t="s">
        <v>27</v>
      </c>
      <c r="L11" s="20">
        <v>33</v>
      </c>
      <c r="M11" s="3" t="s">
        <v>17</v>
      </c>
      <c r="N11" s="20" t="str" cm="1">
        <f t="array" ref="N11">_xlfn.IFS(tbl_Clean[[#This Row],[Age]]&lt;=30,"25-30",tbl_Clean[[#This Row],[Age]]&lt;=40,"31-40",tbl_Clean[[#This Row],[Age]]&lt;=50,"41-50",tbl_Clean[[#This Row],[Age]]&lt;=60,"51-60",TRUE,"61+")</f>
        <v>31-40</v>
      </c>
      <c r="O11" s="20">
        <f>_xlfn.XMATCH(tbl_Clean[[#This Row],[Age Band]],{"25-30","31-40","41-50","51-60","61+"})</f>
        <v>2</v>
      </c>
      <c r="P11" s="20" t="str" cm="1">
        <f t="array" ref="P11">_xlfn.IFS(tbl_Clean[[#This Row],[Income]]&lt;=30000,"$10k-30k",tbl_Clean[[#This Row],[Income]]&lt;=60000,"$40k-60k",tbl_Clean[[#This Row],[Income]]&lt;=90000,"$70k-90k",TRUE,"$100k+")</f>
        <v>$100k+</v>
      </c>
      <c r="Q11" s="20">
        <f>_xlfn.XMATCH(tbl_Clean[[#This Row],[Income Band]],{"$10k-30k","$40k-60k","$70k-90k","$100k+"})</f>
        <v>4</v>
      </c>
      <c r="R11" s="20" t="str">
        <f>IF(tbl_Clean[[#This Row],[Cars]]&lt;=1,"0-1 Cars","2+ Cars")</f>
        <v>2+ Cars</v>
      </c>
      <c r="S11" s="20">
        <f>_xlfn.XMATCH(tbl_Clean[[#This Row],[Commute Distance]],{"0-1 Miles","1-2 Miles","2-5 Miles","5-10 Miles","10+ Miles"})</f>
        <v>1</v>
      </c>
      <c r="T11" s="20">
        <f>_xlfn.XMATCH(tbl_Clean[[#This Row],[Education]],{"Partial High School","High School","Partial College","Bachelors","Graduate Degree"})</f>
        <v>2</v>
      </c>
      <c r="U11" s="20">
        <f>IF(tbl_Clean[[#This Row],[Purchased Bike]]="Yes",1,0)</f>
        <v>1</v>
      </c>
    </row>
    <row r="12" spans="1:21" x14ac:dyDescent="0.25">
      <c r="A12" s="20">
        <v>19364</v>
      </c>
      <c r="B12" s="3" t="s">
        <v>111</v>
      </c>
      <c r="C12" s="3" t="s">
        <v>113</v>
      </c>
      <c r="D12" s="19">
        <v>40000</v>
      </c>
      <c r="E12" s="20">
        <v>1</v>
      </c>
      <c r="F12" s="3" t="s">
        <v>15</v>
      </c>
      <c r="G12" s="3" t="s">
        <v>16</v>
      </c>
      <c r="H12" s="3" t="s">
        <v>17</v>
      </c>
      <c r="I12" s="20">
        <v>0</v>
      </c>
      <c r="J12" s="3" t="s">
        <v>18</v>
      </c>
      <c r="K12" s="3" t="s">
        <v>19</v>
      </c>
      <c r="L12" s="20">
        <v>43</v>
      </c>
      <c r="M12" s="3" t="s">
        <v>17</v>
      </c>
      <c r="N12" s="20" t="str" cm="1">
        <f t="array" ref="N12">_xlfn.IFS(tbl_Clean[[#This Row],[Age]]&lt;=30,"25-30",tbl_Clean[[#This Row],[Age]]&lt;=40,"31-40",tbl_Clean[[#This Row],[Age]]&lt;=50,"41-50",tbl_Clean[[#This Row],[Age]]&lt;=60,"51-60",TRUE,"61+")</f>
        <v>41-50</v>
      </c>
      <c r="O12" s="20">
        <f>_xlfn.XMATCH(tbl_Clean[[#This Row],[Age Band]],{"25-30","31-40","41-50","51-60","61+"})</f>
        <v>3</v>
      </c>
      <c r="P12" s="20" t="str" cm="1">
        <f t="array" ref="P12">_xlfn.IFS(tbl_Clean[[#This Row],[Income]]&lt;=30000,"$10k-30k",tbl_Clean[[#This Row],[Income]]&lt;=60000,"$40k-60k",tbl_Clean[[#This Row],[Income]]&lt;=90000,"$70k-90k",TRUE,"$100k+")</f>
        <v>$40k-60k</v>
      </c>
      <c r="Q12" s="20">
        <f>_xlfn.XMATCH(tbl_Clean[[#This Row],[Income Band]],{"$10k-30k","$40k-60k","$70k-90k","$100k+"})</f>
        <v>2</v>
      </c>
      <c r="R12" s="20" t="str">
        <f>IF(tbl_Clean[[#This Row],[Cars]]&lt;=1,"0-1 Cars","2+ Cars")</f>
        <v>0-1 Cars</v>
      </c>
      <c r="S12" s="20">
        <f>_xlfn.XMATCH(tbl_Clean[[#This Row],[Commute Distance]],{"0-1 Miles","1-2 Miles","2-5 Miles","5-10 Miles","10+ Miles"})</f>
        <v>1</v>
      </c>
      <c r="T12" s="20">
        <f>_xlfn.XMATCH(tbl_Clean[[#This Row],[Education]],{"Partial High School","High School","Partial College","Bachelors","Graduate Degree"})</f>
        <v>4</v>
      </c>
      <c r="U12" s="20">
        <f>IF(tbl_Clean[[#This Row],[Purchased Bike]]="Yes",1,0)</f>
        <v>1</v>
      </c>
    </row>
    <row r="13" spans="1:21" x14ac:dyDescent="0.25">
      <c r="A13" s="20">
        <v>22155</v>
      </c>
      <c r="B13" s="3" t="s">
        <v>111</v>
      </c>
      <c r="C13" s="3" t="s">
        <v>113</v>
      </c>
      <c r="D13" s="19">
        <v>20000</v>
      </c>
      <c r="E13" s="20">
        <v>2</v>
      </c>
      <c r="F13" s="3" t="s">
        <v>32</v>
      </c>
      <c r="G13" s="3" t="s">
        <v>22</v>
      </c>
      <c r="H13" s="3" t="s">
        <v>17</v>
      </c>
      <c r="I13" s="20">
        <v>2</v>
      </c>
      <c r="J13" s="3" t="s">
        <v>26</v>
      </c>
      <c r="K13" s="3" t="s">
        <v>27</v>
      </c>
      <c r="L13" s="20">
        <v>58</v>
      </c>
      <c r="M13" s="3" t="s">
        <v>20</v>
      </c>
      <c r="N13" s="20" t="str" cm="1">
        <f t="array" ref="N13">_xlfn.IFS(tbl_Clean[[#This Row],[Age]]&lt;=30,"25-30",tbl_Clean[[#This Row],[Age]]&lt;=40,"31-40",tbl_Clean[[#This Row],[Age]]&lt;=50,"41-50",tbl_Clean[[#This Row],[Age]]&lt;=60,"51-60",TRUE,"61+")</f>
        <v>51-60</v>
      </c>
      <c r="O13" s="20">
        <f>_xlfn.XMATCH(tbl_Clean[[#This Row],[Age Band]],{"25-30","31-40","41-50","51-60","61+"})</f>
        <v>4</v>
      </c>
      <c r="P13" s="20" t="str" cm="1">
        <f t="array" ref="P13">_xlfn.IFS(tbl_Clean[[#This Row],[Income]]&lt;=30000,"$10k-30k",tbl_Clean[[#This Row],[Income]]&lt;=60000,"$40k-60k",tbl_Clean[[#This Row],[Income]]&lt;=90000,"$70k-90k",TRUE,"$100k+")</f>
        <v>$10k-30k</v>
      </c>
      <c r="Q13" s="20">
        <f>_xlfn.XMATCH(tbl_Clean[[#This Row],[Income Band]],{"$10k-30k","$40k-60k","$70k-90k","$100k+"})</f>
        <v>1</v>
      </c>
      <c r="R13" s="20" t="str">
        <f>IF(tbl_Clean[[#This Row],[Cars]]&lt;=1,"0-1 Cars","2+ Cars")</f>
        <v>2+ Cars</v>
      </c>
      <c r="S13" s="20">
        <f>_xlfn.XMATCH(tbl_Clean[[#This Row],[Commute Distance]],{"0-1 Miles","1-2 Miles","2-5 Miles","5-10 Miles","10+ Miles"})</f>
        <v>4</v>
      </c>
      <c r="T13" s="20">
        <f>_xlfn.XMATCH(tbl_Clean[[#This Row],[Education]],{"Partial High School","High School","Partial College","Bachelors","Graduate Degree"})</f>
        <v>1</v>
      </c>
      <c r="U13" s="20">
        <f>IF(tbl_Clean[[#This Row],[Purchased Bike]]="Yes",1,0)</f>
        <v>0</v>
      </c>
    </row>
    <row r="14" spans="1:21" x14ac:dyDescent="0.25">
      <c r="A14" s="20">
        <v>19280</v>
      </c>
      <c r="B14" s="3" t="s">
        <v>111</v>
      </c>
      <c r="C14" s="3" t="s">
        <v>113</v>
      </c>
      <c r="D14" s="19">
        <v>120000</v>
      </c>
      <c r="E14" s="20">
        <v>2</v>
      </c>
      <c r="F14" s="3" t="s">
        <v>21</v>
      </c>
      <c r="G14" s="3" t="s">
        <v>28</v>
      </c>
      <c r="H14" s="3" t="s">
        <v>17</v>
      </c>
      <c r="I14" s="20">
        <v>1</v>
      </c>
      <c r="J14" s="3" t="s">
        <v>18</v>
      </c>
      <c r="K14" s="3" t="s">
        <v>19</v>
      </c>
      <c r="L14" s="20">
        <v>40</v>
      </c>
      <c r="M14" s="3" t="s">
        <v>17</v>
      </c>
      <c r="N14" s="20" t="str" cm="1">
        <f t="array" ref="N14">_xlfn.IFS(tbl_Clean[[#This Row],[Age]]&lt;=30,"25-30",tbl_Clean[[#This Row],[Age]]&lt;=40,"31-40",tbl_Clean[[#This Row],[Age]]&lt;=50,"41-50",tbl_Clean[[#This Row],[Age]]&lt;=60,"51-60",TRUE,"61+")</f>
        <v>31-40</v>
      </c>
      <c r="O14" s="20">
        <f>_xlfn.XMATCH(tbl_Clean[[#This Row],[Age Band]],{"25-30","31-40","41-50","51-60","61+"})</f>
        <v>2</v>
      </c>
      <c r="P14" s="20" t="str" cm="1">
        <f t="array" ref="P14">_xlfn.IFS(tbl_Clean[[#This Row],[Income]]&lt;=30000,"$10k-30k",tbl_Clean[[#This Row],[Income]]&lt;=60000,"$40k-60k",tbl_Clean[[#This Row],[Income]]&lt;=90000,"$70k-90k",TRUE,"$100k+")</f>
        <v>$100k+</v>
      </c>
      <c r="Q14" s="20">
        <f>_xlfn.XMATCH(tbl_Clean[[#This Row],[Income Band]],{"$10k-30k","$40k-60k","$70k-90k","$100k+"})</f>
        <v>4</v>
      </c>
      <c r="R14" s="20" t="str">
        <f>IF(tbl_Clean[[#This Row],[Cars]]&lt;=1,"0-1 Cars","2+ Cars")</f>
        <v>0-1 Cars</v>
      </c>
      <c r="S14" s="20">
        <f>_xlfn.XMATCH(tbl_Clean[[#This Row],[Commute Distance]],{"0-1 Miles","1-2 Miles","2-5 Miles","5-10 Miles","10+ Miles"})</f>
        <v>1</v>
      </c>
      <c r="T14" s="20">
        <f>_xlfn.XMATCH(tbl_Clean[[#This Row],[Education]],{"Partial High School","High School","Partial College","Bachelors","Graduate Degree"})</f>
        <v>3</v>
      </c>
      <c r="U14" s="20">
        <f>IF(tbl_Clean[[#This Row],[Purchased Bike]]="Yes",1,0)</f>
        <v>1</v>
      </c>
    </row>
    <row r="15" spans="1:21" x14ac:dyDescent="0.25">
      <c r="A15" s="20">
        <v>22173</v>
      </c>
      <c r="B15" s="3" t="s">
        <v>111</v>
      </c>
      <c r="C15" s="3" t="s">
        <v>112</v>
      </c>
      <c r="D15" s="19">
        <v>30000</v>
      </c>
      <c r="E15" s="20">
        <v>3</v>
      </c>
      <c r="F15" s="3" t="s">
        <v>30</v>
      </c>
      <c r="G15" s="3" t="s">
        <v>16</v>
      </c>
      <c r="H15" s="3" t="s">
        <v>20</v>
      </c>
      <c r="I15" s="20">
        <v>2</v>
      </c>
      <c r="J15" s="3" t="s">
        <v>29</v>
      </c>
      <c r="K15" s="3" t="s">
        <v>27</v>
      </c>
      <c r="L15" s="20">
        <v>54</v>
      </c>
      <c r="M15" s="3" t="s">
        <v>17</v>
      </c>
      <c r="N15" s="20" t="str" cm="1">
        <f t="array" ref="N15">_xlfn.IFS(tbl_Clean[[#This Row],[Age]]&lt;=30,"25-30",tbl_Clean[[#This Row],[Age]]&lt;=40,"31-40",tbl_Clean[[#This Row],[Age]]&lt;=50,"41-50",tbl_Clean[[#This Row],[Age]]&lt;=60,"51-60",TRUE,"61+")</f>
        <v>51-60</v>
      </c>
      <c r="O15" s="20">
        <f>_xlfn.XMATCH(tbl_Clean[[#This Row],[Age Band]],{"25-30","31-40","41-50","51-60","61+"})</f>
        <v>4</v>
      </c>
      <c r="P15" s="20" t="str" cm="1">
        <f t="array" ref="P15">_xlfn.IFS(tbl_Clean[[#This Row],[Income]]&lt;=30000,"$10k-30k",tbl_Clean[[#This Row],[Income]]&lt;=60000,"$40k-60k",tbl_Clean[[#This Row],[Income]]&lt;=90000,"$70k-90k",TRUE,"$100k+")</f>
        <v>$10k-30k</v>
      </c>
      <c r="Q15" s="20">
        <f>_xlfn.XMATCH(tbl_Clean[[#This Row],[Income Band]],{"$10k-30k","$40k-60k","$70k-90k","$100k+"})</f>
        <v>1</v>
      </c>
      <c r="R15" s="20" t="str">
        <f>IF(tbl_Clean[[#This Row],[Cars]]&lt;=1,"0-1 Cars","2+ Cars")</f>
        <v>2+ Cars</v>
      </c>
      <c r="S15" s="20">
        <f>_xlfn.XMATCH(tbl_Clean[[#This Row],[Commute Distance]],{"0-1 Miles","1-2 Miles","2-5 Miles","5-10 Miles","10+ Miles"})</f>
        <v>2</v>
      </c>
      <c r="T15" s="20">
        <f>_xlfn.XMATCH(tbl_Clean[[#This Row],[Education]],{"Partial High School","High School","Partial College","Bachelors","Graduate Degree"})</f>
        <v>2</v>
      </c>
      <c r="U15" s="20">
        <f>IF(tbl_Clean[[#This Row],[Purchased Bike]]="Yes",1,0)</f>
        <v>1</v>
      </c>
    </row>
    <row r="16" spans="1:21" x14ac:dyDescent="0.25">
      <c r="A16" s="20">
        <v>12697</v>
      </c>
      <c r="B16" s="3" t="s">
        <v>114</v>
      </c>
      <c r="C16" s="3" t="s">
        <v>112</v>
      </c>
      <c r="D16" s="19">
        <v>90000</v>
      </c>
      <c r="E16" s="20">
        <v>0</v>
      </c>
      <c r="F16" s="3" t="s">
        <v>15</v>
      </c>
      <c r="G16" s="3" t="s">
        <v>23</v>
      </c>
      <c r="H16" s="3" t="s">
        <v>20</v>
      </c>
      <c r="I16" s="20">
        <v>4</v>
      </c>
      <c r="J16" s="3" t="s">
        <v>33</v>
      </c>
      <c r="K16" s="3" t="s">
        <v>27</v>
      </c>
      <c r="L16" s="20">
        <v>36</v>
      </c>
      <c r="M16" s="3" t="s">
        <v>20</v>
      </c>
      <c r="N16" s="20" t="str" cm="1">
        <f t="array" ref="N16">_xlfn.IFS(tbl_Clean[[#This Row],[Age]]&lt;=30,"25-30",tbl_Clean[[#This Row],[Age]]&lt;=40,"31-40",tbl_Clean[[#This Row],[Age]]&lt;=50,"41-50",tbl_Clean[[#This Row],[Age]]&lt;=60,"51-60",TRUE,"61+")</f>
        <v>31-40</v>
      </c>
      <c r="O16" s="20">
        <f>_xlfn.XMATCH(tbl_Clean[[#This Row],[Age Band]],{"25-30","31-40","41-50","51-60","61+"})</f>
        <v>2</v>
      </c>
      <c r="P16" s="20" t="str" cm="1">
        <f t="array" ref="P16">_xlfn.IFS(tbl_Clean[[#This Row],[Income]]&lt;=30000,"$10k-30k",tbl_Clean[[#This Row],[Income]]&lt;=60000,"$40k-60k",tbl_Clean[[#This Row],[Income]]&lt;=90000,"$70k-90k",TRUE,"$100k+")</f>
        <v>$70k-90k</v>
      </c>
      <c r="Q16" s="20">
        <f>_xlfn.XMATCH(tbl_Clean[[#This Row],[Income Band]],{"$10k-30k","$40k-60k","$70k-90k","$100k+"})</f>
        <v>3</v>
      </c>
      <c r="R16" s="20" t="str">
        <f>IF(tbl_Clean[[#This Row],[Cars]]&lt;=1,"0-1 Cars","2+ Cars")</f>
        <v>2+ Cars</v>
      </c>
      <c r="S16" s="20">
        <f>_xlfn.XMATCH(tbl_Clean[[#This Row],[Commute Distance]],{"0-1 Miles","1-2 Miles","2-5 Miles","5-10 Miles","10+ Miles"})</f>
        <v>5</v>
      </c>
      <c r="T16" s="20">
        <f>_xlfn.XMATCH(tbl_Clean[[#This Row],[Education]],{"Partial High School","High School","Partial College","Bachelors","Graduate Degree"})</f>
        <v>4</v>
      </c>
      <c r="U16" s="20">
        <f>IF(tbl_Clean[[#This Row],[Purchased Bike]]="Yes",1,0)</f>
        <v>0</v>
      </c>
    </row>
    <row r="17" spans="1:21" x14ac:dyDescent="0.25">
      <c r="A17" s="20">
        <v>11434</v>
      </c>
      <c r="B17" s="3" t="s">
        <v>111</v>
      </c>
      <c r="C17" s="3" t="s">
        <v>113</v>
      </c>
      <c r="D17" s="19">
        <v>170000</v>
      </c>
      <c r="E17" s="20">
        <v>5</v>
      </c>
      <c r="F17" s="3" t="s">
        <v>21</v>
      </c>
      <c r="G17" s="3" t="s">
        <v>23</v>
      </c>
      <c r="H17" s="3" t="s">
        <v>17</v>
      </c>
      <c r="I17" s="20">
        <v>0</v>
      </c>
      <c r="J17" s="3" t="s">
        <v>18</v>
      </c>
      <c r="K17" s="3" t="s">
        <v>19</v>
      </c>
      <c r="L17" s="20">
        <v>55</v>
      </c>
      <c r="M17" s="3" t="s">
        <v>20</v>
      </c>
      <c r="N17" s="20" t="str" cm="1">
        <f t="array" ref="N17">_xlfn.IFS(tbl_Clean[[#This Row],[Age]]&lt;=30,"25-30",tbl_Clean[[#This Row],[Age]]&lt;=40,"31-40",tbl_Clean[[#This Row],[Age]]&lt;=50,"41-50",tbl_Clean[[#This Row],[Age]]&lt;=60,"51-60",TRUE,"61+")</f>
        <v>51-60</v>
      </c>
      <c r="O17" s="20">
        <f>_xlfn.XMATCH(tbl_Clean[[#This Row],[Age Band]],{"25-30","31-40","41-50","51-60","61+"})</f>
        <v>4</v>
      </c>
      <c r="P17" s="20" t="str" cm="1">
        <f t="array" ref="P17">_xlfn.IFS(tbl_Clean[[#This Row],[Income]]&lt;=30000,"$10k-30k",tbl_Clean[[#This Row],[Income]]&lt;=60000,"$40k-60k",tbl_Clean[[#This Row],[Income]]&lt;=90000,"$70k-90k",TRUE,"$100k+")</f>
        <v>$100k+</v>
      </c>
      <c r="Q17" s="20">
        <f>_xlfn.XMATCH(tbl_Clean[[#This Row],[Income Band]],{"$10k-30k","$40k-60k","$70k-90k","$100k+"})</f>
        <v>4</v>
      </c>
      <c r="R17" s="20" t="str">
        <f>IF(tbl_Clean[[#This Row],[Cars]]&lt;=1,"0-1 Cars","2+ Cars")</f>
        <v>0-1 Cars</v>
      </c>
      <c r="S17" s="20">
        <f>_xlfn.XMATCH(tbl_Clean[[#This Row],[Commute Distance]],{"0-1 Miles","1-2 Miles","2-5 Miles","5-10 Miles","10+ Miles"})</f>
        <v>1</v>
      </c>
      <c r="T17" s="20">
        <f>_xlfn.XMATCH(tbl_Clean[[#This Row],[Education]],{"Partial High School","High School","Partial College","Bachelors","Graduate Degree"})</f>
        <v>3</v>
      </c>
      <c r="U17" s="20">
        <f>IF(tbl_Clean[[#This Row],[Purchased Bike]]="Yes",1,0)</f>
        <v>0</v>
      </c>
    </row>
    <row r="18" spans="1:21" x14ac:dyDescent="0.25">
      <c r="A18" s="20">
        <v>25323</v>
      </c>
      <c r="B18" s="3" t="s">
        <v>111</v>
      </c>
      <c r="C18" s="3" t="s">
        <v>113</v>
      </c>
      <c r="D18" s="19">
        <v>40000</v>
      </c>
      <c r="E18" s="20">
        <v>2</v>
      </c>
      <c r="F18" s="3" t="s">
        <v>21</v>
      </c>
      <c r="G18" s="3" t="s">
        <v>22</v>
      </c>
      <c r="H18" s="3" t="s">
        <v>17</v>
      </c>
      <c r="I18" s="20">
        <v>1</v>
      </c>
      <c r="J18" s="3" t="s">
        <v>29</v>
      </c>
      <c r="K18" s="3" t="s">
        <v>19</v>
      </c>
      <c r="L18" s="20">
        <v>35</v>
      </c>
      <c r="M18" s="3" t="s">
        <v>17</v>
      </c>
      <c r="N18" s="20" t="str" cm="1">
        <f t="array" ref="N18">_xlfn.IFS(tbl_Clean[[#This Row],[Age]]&lt;=30,"25-30",tbl_Clean[[#This Row],[Age]]&lt;=40,"31-40",tbl_Clean[[#This Row],[Age]]&lt;=50,"41-50",tbl_Clean[[#This Row],[Age]]&lt;=60,"51-60",TRUE,"61+")</f>
        <v>31-40</v>
      </c>
      <c r="O18" s="20">
        <f>_xlfn.XMATCH(tbl_Clean[[#This Row],[Age Band]],{"25-30","31-40","41-50","51-60","61+"})</f>
        <v>2</v>
      </c>
      <c r="P18" s="20" t="str" cm="1">
        <f t="array" ref="P18">_xlfn.IFS(tbl_Clean[[#This Row],[Income]]&lt;=30000,"$10k-30k",tbl_Clean[[#This Row],[Income]]&lt;=60000,"$40k-60k",tbl_Clean[[#This Row],[Income]]&lt;=90000,"$70k-90k",TRUE,"$100k+")</f>
        <v>$40k-60k</v>
      </c>
      <c r="Q18" s="20">
        <f>_xlfn.XMATCH(tbl_Clean[[#This Row],[Income Band]],{"$10k-30k","$40k-60k","$70k-90k","$100k+"})</f>
        <v>2</v>
      </c>
      <c r="R18" s="20" t="str">
        <f>IF(tbl_Clean[[#This Row],[Cars]]&lt;=1,"0-1 Cars","2+ Cars")</f>
        <v>0-1 Cars</v>
      </c>
      <c r="S18" s="20">
        <f>_xlfn.XMATCH(tbl_Clean[[#This Row],[Commute Distance]],{"0-1 Miles","1-2 Miles","2-5 Miles","5-10 Miles","10+ Miles"})</f>
        <v>2</v>
      </c>
      <c r="T18" s="20">
        <f>_xlfn.XMATCH(tbl_Clean[[#This Row],[Education]],{"Partial High School","High School","Partial College","Bachelors","Graduate Degree"})</f>
        <v>3</v>
      </c>
      <c r="U18" s="20">
        <f>IF(tbl_Clean[[#This Row],[Purchased Bike]]="Yes",1,0)</f>
        <v>1</v>
      </c>
    </row>
    <row r="19" spans="1:21" x14ac:dyDescent="0.25">
      <c r="A19" s="20">
        <v>23542</v>
      </c>
      <c r="B19" s="3" t="s">
        <v>114</v>
      </c>
      <c r="C19" s="3" t="s">
        <v>113</v>
      </c>
      <c r="D19" s="19">
        <v>60000</v>
      </c>
      <c r="E19" s="20">
        <v>1</v>
      </c>
      <c r="F19" s="3" t="s">
        <v>21</v>
      </c>
      <c r="G19" s="3" t="s">
        <v>16</v>
      </c>
      <c r="H19" s="3" t="s">
        <v>20</v>
      </c>
      <c r="I19" s="20">
        <v>1</v>
      </c>
      <c r="J19" s="3" t="s">
        <v>18</v>
      </c>
      <c r="K19" s="3" t="s">
        <v>27</v>
      </c>
      <c r="L19" s="20">
        <v>45</v>
      </c>
      <c r="M19" s="3" t="s">
        <v>17</v>
      </c>
      <c r="N19" s="20" t="str" cm="1">
        <f t="array" ref="N19">_xlfn.IFS(tbl_Clean[[#This Row],[Age]]&lt;=30,"25-30",tbl_Clean[[#This Row],[Age]]&lt;=40,"31-40",tbl_Clean[[#This Row],[Age]]&lt;=50,"41-50",tbl_Clean[[#This Row],[Age]]&lt;=60,"51-60",TRUE,"61+")</f>
        <v>41-50</v>
      </c>
      <c r="O19" s="20">
        <f>_xlfn.XMATCH(tbl_Clean[[#This Row],[Age Band]],{"25-30","31-40","41-50","51-60","61+"})</f>
        <v>3</v>
      </c>
      <c r="P19" s="20" t="str" cm="1">
        <f t="array" ref="P19">_xlfn.IFS(tbl_Clean[[#This Row],[Income]]&lt;=30000,"$10k-30k",tbl_Clean[[#This Row],[Income]]&lt;=60000,"$40k-60k",tbl_Clean[[#This Row],[Income]]&lt;=90000,"$70k-90k",TRUE,"$100k+")</f>
        <v>$40k-60k</v>
      </c>
      <c r="Q19" s="20">
        <f>_xlfn.XMATCH(tbl_Clean[[#This Row],[Income Band]],{"$10k-30k","$40k-60k","$70k-90k","$100k+"})</f>
        <v>2</v>
      </c>
      <c r="R19" s="20" t="str">
        <f>IF(tbl_Clean[[#This Row],[Cars]]&lt;=1,"0-1 Cars","2+ Cars")</f>
        <v>0-1 Cars</v>
      </c>
      <c r="S19" s="20">
        <f>_xlfn.XMATCH(tbl_Clean[[#This Row],[Commute Distance]],{"0-1 Miles","1-2 Miles","2-5 Miles","5-10 Miles","10+ Miles"})</f>
        <v>1</v>
      </c>
      <c r="T19" s="20">
        <f>_xlfn.XMATCH(tbl_Clean[[#This Row],[Education]],{"Partial High School","High School","Partial College","Bachelors","Graduate Degree"})</f>
        <v>3</v>
      </c>
      <c r="U19" s="20">
        <f>IF(tbl_Clean[[#This Row],[Purchased Bike]]="Yes",1,0)</f>
        <v>1</v>
      </c>
    </row>
    <row r="20" spans="1:21" x14ac:dyDescent="0.25">
      <c r="A20" s="20">
        <v>20870</v>
      </c>
      <c r="B20" s="3" t="s">
        <v>114</v>
      </c>
      <c r="C20" s="3" t="s">
        <v>112</v>
      </c>
      <c r="D20" s="19">
        <v>10000</v>
      </c>
      <c r="E20" s="20">
        <v>2</v>
      </c>
      <c r="F20" s="3" t="s">
        <v>30</v>
      </c>
      <c r="G20" s="3" t="s">
        <v>28</v>
      </c>
      <c r="H20" s="3" t="s">
        <v>17</v>
      </c>
      <c r="I20" s="20">
        <v>1</v>
      </c>
      <c r="J20" s="3" t="s">
        <v>18</v>
      </c>
      <c r="K20" s="3" t="s">
        <v>19</v>
      </c>
      <c r="L20" s="20">
        <v>38</v>
      </c>
      <c r="M20" s="3" t="s">
        <v>17</v>
      </c>
      <c r="N20" s="20" t="str" cm="1">
        <f t="array" ref="N20">_xlfn.IFS(tbl_Clean[[#This Row],[Age]]&lt;=30,"25-30",tbl_Clean[[#This Row],[Age]]&lt;=40,"31-40",tbl_Clean[[#This Row],[Age]]&lt;=50,"41-50",tbl_Clean[[#This Row],[Age]]&lt;=60,"51-60",TRUE,"61+")</f>
        <v>31-40</v>
      </c>
      <c r="O20" s="20">
        <f>_xlfn.XMATCH(tbl_Clean[[#This Row],[Age Band]],{"25-30","31-40","41-50","51-60","61+"})</f>
        <v>2</v>
      </c>
      <c r="P20" s="20" t="str" cm="1">
        <f t="array" ref="P20">_xlfn.IFS(tbl_Clean[[#This Row],[Income]]&lt;=30000,"$10k-30k",tbl_Clean[[#This Row],[Income]]&lt;=60000,"$40k-60k",tbl_Clean[[#This Row],[Income]]&lt;=90000,"$70k-90k",TRUE,"$100k+")</f>
        <v>$10k-30k</v>
      </c>
      <c r="Q20" s="20">
        <f>_xlfn.XMATCH(tbl_Clean[[#This Row],[Income Band]],{"$10k-30k","$40k-60k","$70k-90k","$100k+"})</f>
        <v>1</v>
      </c>
      <c r="R20" s="20" t="str">
        <f>IF(tbl_Clean[[#This Row],[Cars]]&lt;=1,"0-1 Cars","2+ Cars")</f>
        <v>0-1 Cars</v>
      </c>
      <c r="S20" s="20">
        <f>_xlfn.XMATCH(tbl_Clean[[#This Row],[Commute Distance]],{"0-1 Miles","1-2 Miles","2-5 Miles","5-10 Miles","10+ Miles"})</f>
        <v>1</v>
      </c>
      <c r="T20" s="20">
        <f>_xlfn.XMATCH(tbl_Clean[[#This Row],[Education]],{"Partial High School","High School","Partial College","Bachelors","Graduate Degree"})</f>
        <v>2</v>
      </c>
      <c r="U20" s="20">
        <f>IF(tbl_Clean[[#This Row],[Purchased Bike]]="Yes",1,0)</f>
        <v>1</v>
      </c>
    </row>
    <row r="21" spans="1:21" x14ac:dyDescent="0.25">
      <c r="A21" s="20">
        <v>23316</v>
      </c>
      <c r="B21" s="3" t="s">
        <v>114</v>
      </c>
      <c r="C21" s="3" t="s">
        <v>113</v>
      </c>
      <c r="D21" s="19">
        <v>30000</v>
      </c>
      <c r="E21" s="20">
        <v>3</v>
      </c>
      <c r="F21" s="3" t="s">
        <v>21</v>
      </c>
      <c r="G21" s="3" t="s">
        <v>22</v>
      </c>
      <c r="H21" s="3" t="s">
        <v>20</v>
      </c>
      <c r="I21" s="20">
        <v>2</v>
      </c>
      <c r="J21" s="3" t="s">
        <v>29</v>
      </c>
      <c r="K21" s="3" t="s">
        <v>27</v>
      </c>
      <c r="L21" s="20">
        <v>59</v>
      </c>
      <c r="M21" s="3" t="s">
        <v>17</v>
      </c>
      <c r="N21" s="20" t="str" cm="1">
        <f t="array" ref="N21">_xlfn.IFS(tbl_Clean[[#This Row],[Age]]&lt;=30,"25-30",tbl_Clean[[#This Row],[Age]]&lt;=40,"31-40",tbl_Clean[[#This Row],[Age]]&lt;=50,"41-50",tbl_Clean[[#This Row],[Age]]&lt;=60,"51-60",TRUE,"61+")</f>
        <v>51-60</v>
      </c>
      <c r="O21" s="20">
        <f>_xlfn.XMATCH(tbl_Clean[[#This Row],[Age Band]],{"25-30","31-40","41-50","51-60","61+"})</f>
        <v>4</v>
      </c>
      <c r="P21" s="20" t="str" cm="1">
        <f t="array" ref="P21">_xlfn.IFS(tbl_Clean[[#This Row],[Income]]&lt;=30000,"$10k-30k",tbl_Clean[[#This Row],[Income]]&lt;=60000,"$40k-60k",tbl_Clean[[#This Row],[Income]]&lt;=90000,"$70k-90k",TRUE,"$100k+")</f>
        <v>$10k-30k</v>
      </c>
      <c r="Q21" s="20">
        <f>_xlfn.XMATCH(tbl_Clean[[#This Row],[Income Band]],{"$10k-30k","$40k-60k","$70k-90k","$100k+"})</f>
        <v>1</v>
      </c>
      <c r="R21" s="20" t="str">
        <f>IF(tbl_Clean[[#This Row],[Cars]]&lt;=1,"0-1 Cars","2+ Cars")</f>
        <v>2+ Cars</v>
      </c>
      <c r="S21" s="20">
        <f>_xlfn.XMATCH(tbl_Clean[[#This Row],[Commute Distance]],{"0-1 Miles","1-2 Miles","2-5 Miles","5-10 Miles","10+ Miles"})</f>
        <v>2</v>
      </c>
      <c r="T21" s="20">
        <f>_xlfn.XMATCH(tbl_Clean[[#This Row],[Education]],{"Partial High School","High School","Partial College","Bachelors","Graduate Degree"})</f>
        <v>3</v>
      </c>
      <c r="U21" s="20">
        <f>IF(tbl_Clean[[#This Row],[Purchased Bike]]="Yes",1,0)</f>
        <v>1</v>
      </c>
    </row>
    <row r="22" spans="1:21" x14ac:dyDescent="0.25">
      <c r="A22" s="20">
        <v>12610</v>
      </c>
      <c r="B22" s="3" t="s">
        <v>111</v>
      </c>
      <c r="C22" s="3" t="s">
        <v>112</v>
      </c>
      <c r="D22" s="19">
        <v>30000</v>
      </c>
      <c r="E22" s="20">
        <v>1</v>
      </c>
      <c r="F22" s="3" t="s">
        <v>15</v>
      </c>
      <c r="G22" s="3" t="s">
        <v>22</v>
      </c>
      <c r="H22" s="3" t="s">
        <v>17</v>
      </c>
      <c r="I22" s="20">
        <v>0</v>
      </c>
      <c r="J22" s="3" t="s">
        <v>18</v>
      </c>
      <c r="K22" s="3" t="s">
        <v>19</v>
      </c>
      <c r="L22" s="20">
        <v>47</v>
      </c>
      <c r="M22" s="3" t="s">
        <v>20</v>
      </c>
      <c r="N22" s="20" t="str" cm="1">
        <f t="array" ref="N22">_xlfn.IFS(tbl_Clean[[#This Row],[Age]]&lt;=30,"25-30",tbl_Clean[[#This Row],[Age]]&lt;=40,"31-40",tbl_Clean[[#This Row],[Age]]&lt;=50,"41-50",tbl_Clean[[#This Row],[Age]]&lt;=60,"51-60",TRUE,"61+")</f>
        <v>41-50</v>
      </c>
      <c r="O22" s="20">
        <f>_xlfn.XMATCH(tbl_Clean[[#This Row],[Age Band]],{"25-30","31-40","41-50","51-60","61+"})</f>
        <v>3</v>
      </c>
      <c r="P22" s="20" t="str" cm="1">
        <f t="array" ref="P22">_xlfn.IFS(tbl_Clean[[#This Row],[Income]]&lt;=30000,"$10k-30k",tbl_Clean[[#This Row],[Income]]&lt;=60000,"$40k-60k",tbl_Clean[[#This Row],[Income]]&lt;=90000,"$70k-90k",TRUE,"$100k+")</f>
        <v>$10k-30k</v>
      </c>
      <c r="Q22" s="20">
        <f>_xlfn.XMATCH(tbl_Clean[[#This Row],[Income Band]],{"$10k-30k","$40k-60k","$70k-90k","$100k+"})</f>
        <v>1</v>
      </c>
      <c r="R22" s="20" t="str">
        <f>IF(tbl_Clean[[#This Row],[Cars]]&lt;=1,"0-1 Cars","2+ Cars")</f>
        <v>0-1 Cars</v>
      </c>
      <c r="S22" s="20">
        <f>_xlfn.XMATCH(tbl_Clean[[#This Row],[Commute Distance]],{"0-1 Miles","1-2 Miles","2-5 Miles","5-10 Miles","10+ Miles"})</f>
        <v>1</v>
      </c>
      <c r="T22" s="20">
        <f>_xlfn.XMATCH(tbl_Clean[[#This Row],[Education]],{"Partial High School","High School","Partial College","Bachelors","Graduate Degree"})</f>
        <v>4</v>
      </c>
      <c r="U22" s="20">
        <f>IF(tbl_Clean[[#This Row],[Purchased Bike]]="Yes",1,0)</f>
        <v>0</v>
      </c>
    </row>
    <row r="23" spans="1:21" x14ac:dyDescent="0.25">
      <c r="A23" s="20">
        <v>27183</v>
      </c>
      <c r="B23" s="3" t="s">
        <v>114</v>
      </c>
      <c r="C23" s="3" t="s">
        <v>113</v>
      </c>
      <c r="D23" s="19">
        <v>40000</v>
      </c>
      <c r="E23" s="20">
        <v>2</v>
      </c>
      <c r="F23" s="3" t="s">
        <v>21</v>
      </c>
      <c r="G23" s="3" t="s">
        <v>22</v>
      </c>
      <c r="H23" s="3" t="s">
        <v>17</v>
      </c>
      <c r="I23" s="20">
        <v>1</v>
      </c>
      <c r="J23" s="3" t="s">
        <v>29</v>
      </c>
      <c r="K23" s="3" t="s">
        <v>19</v>
      </c>
      <c r="L23" s="20">
        <v>35</v>
      </c>
      <c r="M23" s="3" t="s">
        <v>17</v>
      </c>
      <c r="N23" s="20" t="str" cm="1">
        <f t="array" ref="N23">_xlfn.IFS(tbl_Clean[[#This Row],[Age]]&lt;=30,"25-30",tbl_Clean[[#This Row],[Age]]&lt;=40,"31-40",tbl_Clean[[#This Row],[Age]]&lt;=50,"41-50",tbl_Clean[[#This Row],[Age]]&lt;=60,"51-60",TRUE,"61+")</f>
        <v>31-40</v>
      </c>
      <c r="O23" s="20">
        <f>_xlfn.XMATCH(tbl_Clean[[#This Row],[Age Band]],{"25-30","31-40","41-50","51-60","61+"})</f>
        <v>2</v>
      </c>
      <c r="P23" s="20" t="str" cm="1">
        <f t="array" ref="P23">_xlfn.IFS(tbl_Clean[[#This Row],[Income]]&lt;=30000,"$10k-30k",tbl_Clean[[#This Row],[Income]]&lt;=60000,"$40k-60k",tbl_Clean[[#This Row],[Income]]&lt;=90000,"$70k-90k",TRUE,"$100k+")</f>
        <v>$40k-60k</v>
      </c>
      <c r="Q23" s="20">
        <f>_xlfn.XMATCH(tbl_Clean[[#This Row],[Income Band]],{"$10k-30k","$40k-60k","$70k-90k","$100k+"})</f>
        <v>2</v>
      </c>
      <c r="R23" s="20" t="str">
        <f>IF(tbl_Clean[[#This Row],[Cars]]&lt;=1,"0-1 Cars","2+ Cars")</f>
        <v>0-1 Cars</v>
      </c>
      <c r="S23" s="20">
        <f>_xlfn.XMATCH(tbl_Clean[[#This Row],[Commute Distance]],{"0-1 Miles","1-2 Miles","2-5 Miles","5-10 Miles","10+ Miles"})</f>
        <v>2</v>
      </c>
      <c r="T23" s="20">
        <f>_xlfn.XMATCH(tbl_Clean[[#This Row],[Education]],{"Partial High School","High School","Partial College","Bachelors","Graduate Degree"})</f>
        <v>3</v>
      </c>
      <c r="U23" s="20">
        <f>IF(tbl_Clean[[#This Row],[Purchased Bike]]="Yes",1,0)</f>
        <v>1</v>
      </c>
    </row>
    <row r="24" spans="1:21" x14ac:dyDescent="0.25">
      <c r="A24" s="20">
        <v>25940</v>
      </c>
      <c r="B24" s="3" t="s">
        <v>114</v>
      </c>
      <c r="C24" s="3" t="s">
        <v>113</v>
      </c>
      <c r="D24" s="19">
        <v>20000</v>
      </c>
      <c r="E24" s="20">
        <v>2</v>
      </c>
      <c r="F24" s="3" t="s">
        <v>32</v>
      </c>
      <c r="G24" s="3" t="s">
        <v>22</v>
      </c>
      <c r="H24" s="3" t="s">
        <v>17</v>
      </c>
      <c r="I24" s="20">
        <v>2</v>
      </c>
      <c r="J24" s="3" t="s">
        <v>26</v>
      </c>
      <c r="K24" s="3" t="s">
        <v>27</v>
      </c>
      <c r="L24" s="20">
        <v>55</v>
      </c>
      <c r="M24" s="3" t="s">
        <v>17</v>
      </c>
      <c r="N24" s="20" t="str" cm="1">
        <f t="array" ref="N24">_xlfn.IFS(tbl_Clean[[#This Row],[Age]]&lt;=30,"25-30",tbl_Clean[[#This Row],[Age]]&lt;=40,"31-40",tbl_Clean[[#This Row],[Age]]&lt;=50,"41-50",tbl_Clean[[#This Row],[Age]]&lt;=60,"51-60",TRUE,"61+")</f>
        <v>51-60</v>
      </c>
      <c r="O24" s="20">
        <f>_xlfn.XMATCH(tbl_Clean[[#This Row],[Age Band]],{"25-30","31-40","41-50","51-60","61+"})</f>
        <v>4</v>
      </c>
      <c r="P24" s="20" t="str" cm="1">
        <f t="array" ref="P24">_xlfn.IFS(tbl_Clean[[#This Row],[Income]]&lt;=30000,"$10k-30k",tbl_Clean[[#This Row],[Income]]&lt;=60000,"$40k-60k",tbl_Clean[[#This Row],[Income]]&lt;=90000,"$70k-90k",TRUE,"$100k+")</f>
        <v>$10k-30k</v>
      </c>
      <c r="Q24" s="20">
        <f>_xlfn.XMATCH(tbl_Clean[[#This Row],[Income Band]],{"$10k-30k","$40k-60k","$70k-90k","$100k+"})</f>
        <v>1</v>
      </c>
      <c r="R24" s="20" t="str">
        <f>IF(tbl_Clean[[#This Row],[Cars]]&lt;=1,"0-1 Cars","2+ Cars")</f>
        <v>2+ Cars</v>
      </c>
      <c r="S24" s="20">
        <f>_xlfn.XMATCH(tbl_Clean[[#This Row],[Commute Distance]],{"0-1 Miles","1-2 Miles","2-5 Miles","5-10 Miles","10+ Miles"})</f>
        <v>4</v>
      </c>
      <c r="T24" s="20">
        <f>_xlfn.XMATCH(tbl_Clean[[#This Row],[Education]],{"Partial High School","High School","Partial College","Bachelors","Graduate Degree"})</f>
        <v>1</v>
      </c>
      <c r="U24" s="20">
        <f>IF(tbl_Clean[[#This Row],[Purchased Bike]]="Yes",1,0)</f>
        <v>1</v>
      </c>
    </row>
    <row r="25" spans="1:21" x14ac:dyDescent="0.25">
      <c r="A25" s="20">
        <v>25598</v>
      </c>
      <c r="B25" s="3" t="s">
        <v>111</v>
      </c>
      <c r="C25" s="3" t="s">
        <v>112</v>
      </c>
      <c r="D25" s="19">
        <v>40000</v>
      </c>
      <c r="E25" s="20">
        <v>0</v>
      </c>
      <c r="F25" s="3" t="s">
        <v>34</v>
      </c>
      <c r="G25" s="3" t="s">
        <v>22</v>
      </c>
      <c r="H25" s="3" t="s">
        <v>17</v>
      </c>
      <c r="I25" s="20">
        <v>0</v>
      </c>
      <c r="J25" s="3" t="s">
        <v>18</v>
      </c>
      <c r="K25" s="3" t="s">
        <v>19</v>
      </c>
      <c r="L25" s="20">
        <v>36</v>
      </c>
      <c r="M25" s="3" t="s">
        <v>17</v>
      </c>
      <c r="N25" s="20" t="str" cm="1">
        <f t="array" ref="N25">_xlfn.IFS(tbl_Clean[[#This Row],[Age]]&lt;=30,"25-30",tbl_Clean[[#This Row],[Age]]&lt;=40,"31-40",tbl_Clean[[#This Row],[Age]]&lt;=50,"41-50",tbl_Clean[[#This Row],[Age]]&lt;=60,"51-60",TRUE,"61+")</f>
        <v>31-40</v>
      </c>
      <c r="O25" s="20">
        <f>_xlfn.XMATCH(tbl_Clean[[#This Row],[Age Band]],{"25-30","31-40","41-50","51-60","61+"})</f>
        <v>2</v>
      </c>
      <c r="P25" s="20" t="str" cm="1">
        <f t="array" ref="P25">_xlfn.IFS(tbl_Clean[[#This Row],[Income]]&lt;=30000,"$10k-30k",tbl_Clean[[#This Row],[Income]]&lt;=60000,"$40k-60k",tbl_Clean[[#This Row],[Income]]&lt;=90000,"$70k-90k",TRUE,"$100k+")</f>
        <v>$40k-60k</v>
      </c>
      <c r="Q25" s="20">
        <f>_xlfn.XMATCH(tbl_Clean[[#This Row],[Income Band]],{"$10k-30k","$40k-60k","$70k-90k","$100k+"})</f>
        <v>2</v>
      </c>
      <c r="R25" s="20" t="str">
        <f>IF(tbl_Clean[[#This Row],[Cars]]&lt;=1,"0-1 Cars","2+ Cars")</f>
        <v>0-1 Cars</v>
      </c>
      <c r="S25" s="20">
        <f>_xlfn.XMATCH(tbl_Clean[[#This Row],[Commute Distance]],{"0-1 Miles","1-2 Miles","2-5 Miles","5-10 Miles","10+ Miles"})</f>
        <v>1</v>
      </c>
      <c r="T25" s="20">
        <f>_xlfn.XMATCH(tbl_Clean[[#This Row],[Education]],{"Partial High School","High School","Partial College","Bachelors","Graduate Degree"})</f>
        <v>5</v>
      </c>
      <c r="U25" s="20">
        <f>IF(tbl_Clean[[#This Row],[Purchased Bike]]="Yes",1,0)</f>
        <v>1</v>
      </c>
    </row>
    <row r="26" spans="1:21" x14ac:dyDescent="0.25">
      <c r="A26" s="20">
        <v>21564</v>
      </c>
      <c r="B26" s="3" t="s">
        <v>114</v>
      </c>
      <c r="C26" s="3" t="s">
        <v>112</v>
      </c>
      <c r="D26" s="19">
        <v>80000</v>
      </c>
      <c r="E26" s="20">
        <v>0</v>
      </c>
      <c r="F26" s="3" t="s">
        <v>15</v>
      </c>
      <c r="G26" s="3" t="s">
        <v>23</v>
      </c>
      <c r="H26" s="3" t="s">
        <v>17</v>
      </c>
      <c r="I26" s="20">
        <v>4</v>
      </c>
      <c r="J26" s="3" t="s">
        <v>33</v>
      </c>
      <c r="K26" s="3" t="s">
        <v>27</v>
      </c>
      <c r="L26" s="20">
        <v>35</v>
      </c>
      <c r="M26" s="3" t="s">
        <v>20</v>
      </c>
      <c r="N26" s="20" t="str" cm="1">
        <f t="array" ref="N26">_xlfn.IFS(tbl_Clean[[#This Row],[Age]]&lt;=30,"25-30",tbl_Clean[[#This Row],[Age]]&lt;=40,"31-40",tbl_Clean[[#This Row],[Age]]&lt;=50,"41-50",tbl_Clean[[#This Row],[Age]]&lt;=60,"51-60",TRUE,"61+")</f>
        <v>31-40</v>
      </c>
      <c r="O26" s="20">
        <f>_xlfn.XMATCH(tbl_Clean[[#This Row],[Age Band]],{"25-30","31-40","41-50","51-60","61+"})</f>
        <v>2</v>
      </c>
      <c r="P26" s="20" t="str" cm="1">
        <f t="array" ref="P26">_xlfn.IFS(tbl_Clean[[#This Row],[Income]]&lt;=30000,"$10k-30k",tbl_Clean[[#This Row],[Income]]&lt;=60000,"$40k-60k",tbl_Clean[[#This Row],[Income]]&lt;=90000,"$70k-90k",TRUE,"$100k+")</f>
        <v>$70k-90k</v>
      </c>
      <c r="Q26" s="20">
        <f>_xlfn.XMATCH(tbl_Clean[[#This Row],[Income Band]],{"$10k-30k","$40k-60k","$70k-90k","$100k+"})</f>
        <v>3</v>
      </c>
      <c r="R26" s="20" t="str">
        <f>IF(tbl_Clean[[#This Row],[Cars]]&lt;=1,"0-1 Cars","2+ Cars")</f>
        <v>2+ Cars</v>
      </c>
      <c r="S26" s="20">
        <f>_xlfn.XMATCH(tbl_Clean[[#This Row],[Commute Distance]],{"0-1 Miles","1-2 Miles","2-5 Miles","5-10 Miles","10+ Miles"})</f>
        <v>5</v>
      </c>
      <c r="T26" s="20">
        <f>_xlfn.XMATCH(tbl_Clean[[#This Row],[Education]],{"Partial High School","High School","Partial College","Bachelors","Graduate Degree"})</f>
        <v>4</v>
      </c>
      <c r="U26" s="20">
        <f>IF(tbl_Clean[[#This Row],[Purchased Bike]]="Yes",1,0)</f>
        <v>0</v>
      </c>
    </row>
    <row r="27" spans="1:21" x14ac:dyDescent="0.25">
      <c r="A27" s="20">
        <v>19193</v>
      </c>
      <c r="B27" s="3" t="s">
        <v>114</v>
      </c>
      <c r="C27" s="3" t="s">
        <v>113</v>
      </c>
      <c r="D27" s="19">
        <v>40000</v>
      </c>
      <c r="E27" s="20">
        <v>2</v>
      </c>
      <c r="F27" s="3" t="s">
        <v>21</v>
      </c>
      <c r="G27" s="3" t="s">
        <v>22</v>
      </c>
      <c r="H27" s="3" t="s">
        <v>17</v>
      </c>
      <c r="I27" s="20">
        <v>0</v>
      </c>
      <c r="J27" s="3" t="s">
        <v>29</v>
      </c>
      <c r="K27" s="3" t="s">
        <v>19</v>
      </c>
      <c r="L27" s="20">
        <v>35</v>
      </c>
      <c r="M27" s="3" t="s">
        <v>17</v>
      </c>
      <c r="N27" s="20" t="str" cm="1">
        <f t="array" ref="N27">_xlfn.IFS(tbl_Clean[[#This Row],[Age]]&lt;=30,"25-30",tbl_Clean[[#This Row],[Age]]&lt;=40,"31-40",tbl_Clean[[#This Row],[Age]]&lt;=50,"41-50",tbl_Clean[[#This Row],[Age]]&lt;=60,"51-60",TRUE,"61+")</f>
        <v>31-40</v>
      </c>
      <c r="O27" s="20">
        <f>_xlfn.XMATCH(tbl_Clean[[#This Row],[Age Band]],{"25-30","31-40","41-50","51-60","61+"})</f>
        <v>2</v>
      </c>
      <c r="P27" s="20" t="str" cm="1">
        <f t="array" ref="P27">_xlfn.IFS(tbl_Clean[[#This Row],[Income]]&lt;=30000,"$10k-30k",tbl_Clean[[#This Row],[Income]]&lt;=60000,"$40k-60k",tbl_Clean[[#This Row],[Income]]&lt;=90000,"$70k-90k",TRUE,"$100k+")</f>
        <v>$40k-60k</v>
      </c>
      <c r="Q27" s="20">
        <f>_xlfn.XMATCH(tbl_Clean[[#This Row],[Income Band]],{"$10k-30k","$40k-60k","$70k-90k","$100k+"})</f>
        <v>2</v>
      </c>
      <c r="R27" s="20" t="str">
        <f>IF(tbl_Clean[[#This Row],[Cars]]&lt;=1,"0-1 Cars","2+ Cars")</f>
        <v>0-1 Cars</v>
      </c>
      <c r="S27" s="20">
        <f>_xlfn.XMATCH(tbl_Clean[[#This Row],[Commute Distance]],{"0-1 Miles","1-2 Miles","2-5 Miles","5-10 Miles","10+ Miles"})</f>
        <v>2</v>
      </c>
      <c r="T27" s="20">
        <f>_xlfn.XMATCH(tbl_Clean[[#This Row],[Education]],{"Partial High School","High School","Partial College","Bachelors","Graduate Degree"})</f>
        <v>3</v>
      </c>
      <c r="U27" s="20">
        <f>IF(tbl_Clean[[#This Row],[Purchased Bike]]="Yes",1,0)</f>
        <v>1</v>
      </c>
    </row>
    <row r="28" spans="1:21" x14ac:dyDescent="0.25">
      <c r="A28" s="20">
        <v>26412</v>
      </c>
      <c r="B28" s="3" t="s">
        <v>111</v>
      </c>
      <c r="C28" s="3" t="s">
        <v>112</v>
      </c>
      <c r="D28" s="19">
        <v>80000</v>
      </c>
      <c r="E28" s="20">
        <v>5</v>
      </c>
      <c r="F28" s="3" t="s">
        <v>30</v>
      </c>
      <c r="G28" s="3" t="s">
        <v>31</v>
      </c>
      <c r="H28" s="3" t="s">
        <v>20</v>
      </c>
      <c r="I28" s="20">
        <v>3</v>
      </c>
      <c r="J28" s="3" t="s">
        <v>26</v>
      </c>
      <c r="K28" s="3" t="s">
        <v>19</v>
      </c>
      <c r="L28" s="20">
        <v>56</v>
      </c>
      <c r="M28" s="3" t="s">
        <v>20</v>
      </c>
      <c r="N28" s="20" t="str" cm="1">
        <f t="array" ref="N28">_xlfn.IFS(tbl_Clean[[#This Row],[Age]]&lt;=30,"25-30",tbl_Clean[[#This Row],[Age]]&lt;=40,"31-40",tbl_Clean[[#This Row],[Age]]&lt;=50,"41-50",tbl_Clean[[#This Row],[Age]]&lt;=60,"51-60",TRUE,"61+")</f>
        <v>51-60</v>
      </c>
      <c r="O28" s="20">
        <f>_xlfn.XMATCH(tbl_Clean[[#This Row],[Age Band]],{"25-30","31-40","41-50","51-60","61+"})</f>
        <v>4</v>
      </c>
      <c r="P28" s="20" t="str" cm="1">
        <f t="array" ref="P28">_xlfn.IFS(tbl_Clean[[#This Row],[Income]]&lt;=30000,"$10k-30k",tbl_Clean[[#This Row],[Income]]&lt;=60000,"$40k-60k",tbl_Clean[[#This Row],[Income]]&lt;=90000,"$70k-90k",TRUE,"$100k+")</f>
        <v>$70k-90k</v>
      </c>
      <c r="Q28" s="20">
        <f>_xlfn.XMATCH(tbl_Clean[[#This Row],[Income Band]],{"$10k-30k","$40k-60k","$70k-90k","$100k+"})</f>
        <v>3</v>
      </c>
      <c r="R28" s="20" t="str">
        <f>IF(tbl_Clean[[#This Row],[Cars]]&lt;=1,"0-1 Cars","2+ Cars")</f>
        <v>2+ Cars</v>
      </c>
      <c r="S28" s="20">
        <f>_xlfn.XMATCH(tbl_Clean[[#This Row],[Commute Distance]],{"0-1 Miles","1-2 Miles","2-5 Miles","5-10 Miles","10+ Miles"})</f>
        <v>4</v>
      </c>
      <c r="T28" s="20">
        <f>_xlfn.XMATCH(tbl_Clean[[#This Row],[Education]],{"Partial High School","High School","Partial College","Bachelors","Graduate Degree"})</f>
        <v>2</v>
      </c>
      <c r="U28" s="20">
        <f>IF(tbl_Clean[[#This Row],[Purchased Bike]]="Yes",1,0)</f>
        <v>0</v>
      </c>
    </row>
    <row r="29" spans="1:21" x14ac:dyDescent="0.25">
      <c r="A29" s="20">
        <v>27184</v>
      </c>
      <c r="B29" s="3" t="s">
        <v>114</v>
      </c>
      <c r="C29" s="3" t="s">
        <v>113</v>
      </c>
      <c r="D29" s="19">
        <v>40000</v>
      </c>
      <c r="E29" s="20">
        <v>2</v>
      </c>
      <c r="F29" s="3" t="s">
        <v>21</v>
      </c>
      <c r="G29" s="3" t="s">
        <v>22</v>
      </c>
      <c r="H29" s="3" t="s">
        <v>20</v>
      </c>
      <c r="I29" s="20">
        <v>1</v>
      </c>
      <c r="J29" s="3" t="s">
        <v>18</v>
      </c>
      <c r="K29" s="3" t="s">
        <v>19</v>
      </c>
      <c r="L29" s="20">
        <v>34</v>
      </c>
      <c r="M29" s="3" t="s">
        <v>20</v>
      </c>
      <c r="N29" s="20" t="str" cm="1">
        <f t="array" ref="N29">_xlfn.IFS(tbl_Clean[[#This Row],[Age]]&lt;=30,"25-30",tbl_Clean[[#This Row],[Age]]&lt;=40,"31-40",tbl_Clean[[#This Row],[Age]]&lt;=50,"41-50",tbl_Clean[[#This Row],[Age]]&lt;=60,"51-60",TRUE,"61+")</f>
        <v>31-40</v>
      </c>
      <c r="O29" s="20">
        <f>_xlfn.XMATCH(tbl_Clean[[#This Row],[Age Band]],{"25-30","31-40","41-50","51-60","61+"})</f>
        <v>2</v>
      </c>
      <c r="P29" s="20" t="str" cm="1">
        <f t="array" ref="P29">_xlfn.IFS(tbl_Clean[[#This Row],[Income]]&lt;=30000,"$10k-30k",tbl_Clean[[#This Row],[Income]]&lt;=60000,"$40k-60k",tbl_Clean[[#This Row],[Income]]&lt;=90000,"$70k-90k",TRUE,"$100k+")</f>
        <v>$40k-60k</v>
      </c>
      <c r="Q29" s="20">
        <f>_xlfn.XMATCH(tbl_Clean[[#This Row],[Income Band]],{"$10k-30k","$40k-60k","$70k-90k","$100k+"})</f>
        <v>2</v>
      </c>
      <c r="R29" s="20" t="str">
        <f>IF(tbl_Clean[[#This Row],[Cars]]&lt;=1,"0-1 Cars","2+ Cars")</f>
        <v>0-1 Cars</v>
      </c>
      <c r="S29" s="20">
        <f>_xlfn.XMATCH(tbl_Clean[[#This Row],[Commute Distance]],{"0-1 Miles","1-2 Miles","2-5 Miles","5-10 Miles","10+ Miles"})</f>
        <v>1</v>
      </c>
      <c r="T29" s="20">
        <f>_xlfn.XMATCH(tbl_Clean[[#This Row],[Education]],{"Partial High School","High School","Partial College","Bachelors","Graduate Degree"})</f>
        <v>3</v>
      </c>
      <c r="U29" s="20">
        <f>IF(tbl_Clean[[#This Row],[Purchased Bike]]="Yes",1,0)</f>
        <v>0</v>
      </c>
    </row>
    <row r="30" spans="1:21" x14ac:dyDescent="0.25">
      <c r="A30" s="20">
        <v>12590</v>
      </c>
      <c r="B30" s="3" t="s">
        <v>114</v>
      </c>
      <c r="C30" s="3" t="s">
        <v>113</v>
      </c>
      <c r="D30" s="19">
        <v>30000</v>
      </c>
      <c r="E30" s="20">
        <v>1</v>
      </c>
      <c r="F30" s="3" t="s">
        <v>15</v>
      </c>
      <c r="G30" s="3" t="s">
        <v>22</v>
      </c>
      <c r="H30" s="3" t="s">
        <v>17</v>
      </c>
      <c r="I30" s="20">
        <v>0</v>
      </c>
      <c r="J30" s="3" t="s">
        <v>18</v>
      </c>
      <c r="K30" s="3" t="s">
        <v>19</v>
      </c>
      <c r="L30" s="20">
        <v>63</v>
      </c>
      <c r="M30" s="3" t="s">
        <v>20</v>
      </c>
      <c r="N30" s="20" t="str" cm="1">
        <f t="array" ref="N30">_xlfn.IFS(tbl_Clean[[#This Row],[Age]]&lt;=30,"25-30",tbl_Clean[[#This Row],[Age]]&lt;=40,"31-40",tbl_Clean[[#This Row],[Age]]&lt;=50,"41-50",tbl_Clean[[#This Row],[Age]]&lt;=60,"51-60",TRUE,"61+")</f>
        <v>61+</v>
      </c>
      <c r="O30" s="20">
        <f>_xlfn.XMATCH(tbl_Clean[[#This Row],[Age Band]],{"25-30","31-40","41-50","51-60","61+"})</f>
        <v>5</v>
      </c>
      <c r="P30" s="20" t="str" cm="1">
        <f t="array" ref="P30">_xlfn.IFS(tbl_Clean[[#This Row],[Income]]&lt;=30000,"$10k-30k",tbl_Clean[[#This Row],[Income]]&lt;=60000,"$40k-60k",tbl_Clean[[#This Row],[Income]]&lt;=90000,"$70k-90k",TRUE,"$100k+")</f>
        <v>$10k-30k</v>
      </c>
      <c r="Q30" s="20">
        <f>_xlfn.XMATCH(tbl_Clean[[#This Row],[Income Band]],{"$10k-30k","$40k-60k","$70k-90k","$100k+"})</f>
        <v>1</v>
      </c>
      <c r="R30" s="20" t="str">
        <f>IF(tbl_Clean[[#This Row],[Cars]]&lt;=1,"0-1 Cars","2+ Cars")</f>
        <v>0-1 Cars</v>
      </c>
      <c r="S30" s="20">
        <f>_xlfn.XMATCH(tbl_Clean[[#This Row],[Commute Distance]],{"0-1 Miles","1-2 Miles","2-5 Miles","5-10 Miles","10+ Miles"})</f>
        <v>1</v>
      </c>
      <c r="T30" s="20">
        <f>_xlfn.XMATCH(tbl_Clean[[#This Row],[Education]],{"Partial High School","High School","Partial College","Bachelors","Graduate Degree"})</f>
        <v>4</v>
      </c>
      <c r="U30" s="20">
        <f>IF(tbl_Clean[[#This Row],[Purchased Bike]]="Yes",1,0)</f>
        <v>0</v>
      </c>
    </row>
    <row r="31" spans="1:21" x14ac:dyDescent="0.25">
      <c r="A31" s="20">
        <v>17841</v>
      </c>
      <c r="B31" s="3" t="s">
        <v>114</v>
      </c>
      <c r="C31" s="3" t="s">
        <v>113</v>
      </c>
      <c r="D31" s="19">
        <v>30000</v>
      </c>
      <c r="E31" s="20">
        <v>0</v>
      </c>
      <c r="F31" s="3" t="s">
        <v>21</v>
      </c>
      <c r="G31" s="3" t="s">
        <v>22</v>
      </c>
      <c r="H31" s="3" t="s">
        <v>20</v>
      </c>
      <c r="I31" s="20">
        <v>1</v>
      </c>
      <c r="J31" s="3" t="s">
        <v>18</v>
      </c>
      <c r="K31" s="3" t="s">
        <v>19</v>
      </c>
      <c r="L31" s="20">
        <v>29</v>
      </c>
      <c r="M31" s="3" t="s">
        <v>17</v>
      </c>
      <c r="N31" s="20" t="str" cm="1">
        <f t="array" ref="N31">_xlfn.IFS(tbl_Clean[[#This Row],[Age]]&lt;=30,"25-30",tbl_Clean[[#This Row],[Age]]&lt;=40,"31-40",tbl_Clean[[#This Row],[Age]]&lt;=50,"41-50",tbl_Clean[[#This Row],[Age]]&lt;=60,"51-60",TRUE,"61+")</f>
        <v>25-30</v>
      </c>
      <c r="O31" s="20">
        <f>_xlfn.XMATCH(tbl_Clean[[#This Row],[Age Band]],{"25-30","31-40","41-50","51-60","61+"})</f>
        <v>1</v>
      </c>
      <c r="P31" s="20" t="str" cm="1">
        <f t="array" ref="P31">_xlfn.IFS(tbl_Clean[[#This Row],[Income]]&lt;=30000,"$10k-30k",tbl_Clean[[#This Row],[Income]]&lt;=60000,"$40k-60k",tbl_Clean[[#This Row],[Income]]&lt;=90000,"$70k-90k",TRUE,"$100k+")</f>
        <v>$10k-30k</v>
      </c>
      <c r="Q31" s="20">
        <f>_xlfn.XMATCH(tbl_Clean[[#This Row],[Income Band]],{"$10k-30k","$40k-60k","$70k-90k","$100k+"})</f>
        <v>1</v>
      </c>
      <c r="R31" s="20" t="str">
        <f>IF(tbl_Clean[[#This Row],[Cars]]&lt;=1,"0-1 Cars","2+ Cars")</f>
        <v>0-1 Cars</v>
      </c>
      <c r="S31" s="20">
        <f>_xlfn.XMATCH(tbl_Clean[[#This Row],[Commute Distance]],{"0-1 Miles","1-2 Miles","2-5 Miles","5-10 Miles","10+ Miles"})</f>
        <v>1</v>
      </c>
      <c r="T31" s="20">
        <f>_xlfn.XMATCH(tbl_Clean[[#This Row],[Education]],{"Partial High School","High School","Partial College","Bachelors","Graduate Degree"})</f>
        <v>3</v>
      </c>
      <c r="U31" s="20">
        <f>IF(tbl_Clean[[#This Row],[Purchased Bike]]="Yes",1,0)</f>
        <v>1</v>
      </c>
    </row>
    <row r="32" spans="1:21" x14ac:dyDescent="0.25">
      <c r="A32" s="20">
        <v>18283</v>
      </c>
      <c r="B32" s="3" t="s">
        <v>114</v>
      </c>
      <c r="C32" s="3" t="s">
        <v>112</v>
      </c>
      <c r="D32" s="19">
        <v>100000</v>
      </c>
      <c r="E32" s="20">
        <v>0</v>
      </c>
      <c r="F32" s="3" t="s">
        <v>15</v>
      </c>
      <c r="G32" s="3" t="s">
        <v>23</v>
      </c>
      <c r="H32" s="3" t="s">
        <v>20</v>
      </c>
      <c r="I32" s="20">
        <v>1</v>
      </c>
      <c r="J32" s="3" t="s">
        <v>26</v>
      </c>
      <c r="K32" s="3" t="s">
        <v>27</v>
      </c>
      <c r="L32" s="20">
        <v>40</v>
      </c>
      <c r="M32" s="3" t="s">
        <v>20</v>
      </c>
      <c r="N32" s="20" t="str" cm="1">
        <f t="array" ref="N32">_xlfn.IFS(tbl_Clean[[#This Row],[Age]]&lt;=30,"25-30",tbl_Clean[[#This Row],[Age]]&lt;=40,"31-40",tbl_Clean[[#This Row],[Age]]&lt;=50,"41-50",tbl_Clean[[#This Row],[Age]]&lt;=60,"51-60",TRUE,"61+")</f>
        <v>31-40</v>
      </c>
      <c r="O32" s="20">
        <f>_xlfn.XMATCH(tbl_Clean[[#This Row],[Age Band]],{"25-30","31-40","41-50","51-60","61+"})</f>
        <v>2</v>
      </c>
      <c r="P32" s="20" t="str" cm="1">
        <f t="array" ref="P32">_xlfn.IFS(tbl_Clean[[#This Row],[Income]]&lt;=30000,"$10k-30k",tbl_Clean[[#This Row],[Income]]&lt;=60000,"$40k-60k",tbl_Clean[[#This Row],[Income]]&lt;=90000,"$70k-90k",TRUE,"$100k+")</f>
        <v>$100k+</v>
      </c>
      <c r="Q32" s="20">
        <f>_xlfn.XMATCH(tbl_Clean[[#This Row],[Income Band]],{"$10k-30k","$40k-60k","$70k-90k","$100k+"})</f>
        <v>4</v>
      </c>
      <c r="R32" s="20" t="str">
        <f>IF(tbl_Clean[[#This Row],[Cars]]&lt;=1,"0-1 Cars","2+ Cars")</f>
        <v>0-1 Cars</v>
      </c>
      <c r="S32" s="20">
        <f>_xlfn.XMATCH(tbl_Clean[[#This Row],[Commute Distance]],{"0-1 Miles","1-2 Miles","2-5 Miles","5-10 Miles","10+ Miles"})</f>
        <v>4</v>
      </c>
      <c r="T32" s="20">
        <f>_xlfn.XMATCH(tbl_Clean[[#This Row],[Education]],{"Partial High School","High School","Partial College","Bachelors","Graduate Degree"})</f>
        <v>4</v>
      </c>
      <c r="U32" s="20">
        <f>IF(tbl_Clean[[#This Row],[Purchased Bike]]="Yes",1,0)</f>
        <v>0</v>
      </c>
    </row>
    <row r="33" spans="1:21" x14ac:dyDescent="0.25">
      <c r="A33" s="20">
        <v>18299</v>
      </c>
      <c r="B33" s="3" t="s">
        <v>111</v>
      </c>
      <c r="C33" s="3" t="s">
        <v>113</v>
      </c>
      <c r="D33" s="19">
        <v>70000</v>
      </c>
      <c r="E33" s="20">
        <v>5</v>
      </c>
      <c r="F33" s="3" t="s">
        <v>21</v>
      </c>
      <c r="G33" s="3" t="s">
        <v>16</v>
      </c>
      <c r="H33" s="3" t="s">
        <v>17</v>
      </c>
      <c r="I33" s="20">
        <v>2</v>
      </c>
      <c r="J33" s="3" t="s">
        <v>26</v>
      </c>
      <c r="K33" s="3" t="s">
        <v>27</v>
      </c>
      <c r="L33" s="20">
        <v>44</v>
      </c>
      <c r="M33" s="3" t="s">
        <v>20</v>
      </c>
      <c r="N33" s="20" t="str" cm="1">
        <f t="array" ref="N33">_xlfn.IFS(tbl_Clean[[#This Row],[Age]]&lt;=30,"25-30",tbl_Clean[[#This Row],[Age]]&lt;=40,"31-40",tbl_Clean[[#This Row],[Age]]&lt;=50,"41-50",tbl_Clean[[#This Row],[Age]]&lt;=60,"51-60",TRUE,"61+")</f>
        <v>41-50</v>
      </c>
      <c r="O33" s="20">
        <f>_xlfn.XMATCH(tbl_Clean[[#This Row],[Age Band]],{"25-30","31-40","41-50","51-60","61+"})</f>
        <v>3</v>
      </c>
      <c r="P33" s="20" t="str" cm="1">
        <f t="array" ref="P33">_xlfn.IFS(tbl_Clean[[#This Row],[Income]]&lt;=30000,"$10k-30k",tbl_Clean[[#This Row],[Income]]&lt;=60000,"$40k-60k",tbl_Clean[[#This Row],[Income]]&lt;=90000,"$70k-90k",TRUE,"$100k+")</f>
        <v>$70k-90k</v>
      </c>
      <c r="Q33" s="20">
        <f>_xlfn.XMATCH(tbl_Clean[[#This Row],[Income Band]],{"$10k-30k","$40k-60k","$70k-90k","$100k+"})</f>
        <v>3</v>
      </c>
      <c r="R33" s="20" t="str">
        <f>IF(tbl_Clean[[#This Row],[Cars]]&lt;=1,"0-1 Cars","2+ Cars")</f>
        <v>2+ Cars</v>
      </c>
      <c r="S33" s="20">
        <f>_xlfn.XMATCH(tbl_Clean[[#This Row],[Commute Distance]],{"0-1 Miles","1-2 Miles","2-5 Miles","5-10 Miles","10+ Miles"})</f>
        <v>4</v>
      </c>
      <c r="T33" s="20">
        <f>_xlfn.XMATCH(tbl_Clean[[#This Row],[Education]],{"Partial High School","High School","Partial College","Bachelors","Graduate Degree"})</f>
        <v>3</v>
      </c>
      <c r="U33" s="20">
        <f>IF(tbl_Clean[[#This Row],[Purchased Bike]]="Yes",1,0)</f>
        <v>0</v>
      </c>
    </row>
    <row r="34" spans="1:21" x14ac:dyDescent="0.25">
      <c r="A34" s="20">
        <v>16466</v>
      </c>
      <c r="B34" s="3" t="s">
        <v>114</v>
      </c>
      <c r="C34" s="3" t="s">
        <v>112</v>
      </c>
      <c r="D34" s="19">
        <v>20000</v>
      </c>
      <c r="E34" s="20">
        <v>0</v>
      </c>
      <c r="F34" s="3" t="s">
        <v>32</v>
      </c>
      <c r="G34" s="3" t="s">
        <v>28</v>
      </c>
      <c r="H34" s="3" t="s">
        <v>20</v>
      </c>
      <c r="I34" s="20">
        <v>2</v>
      </c>
      <c r="J34" s="3" t="s">
        <v>18</v>
      </c>
      <c r="K34" s="3" t="s">
        <v>19</v>
      </c>
      <c r="L34" s="20">
        <v>32</v>
      </c>
      <c r="M34" s="3" t="s">
        <v>17</v>
      </c>
      <c r="N34" s="20" t="str" cm="1">
        <f t="array" ref="N34">_xlfn.IFS(tbl_Clean[[#This Row],[Age]]&lt;=30,"25-30",tbl_Clean[[#This Row],[Age]]&lt;=40,"31-40",tbl_Clean[[#This Row],[Age]]&lt;=50,"41-50",tbl_Clean[[#This Row],[Age]]&lt;=60,"51-60",TRUE,"61+")</f>
        <v>31-40</v>
      </c>
      <c r="O34" s="20">
        <f>_xlfn.XMATCH(tbl_Clean[[#This Row],[Age Band]],{"25-30","31-40","41-50","51-60","61+"})</f>
        <v>2</v>
      </c>
      <c r="P34" s="20" t="str" cm="1">
        <f t="array" ref="P34">_xlfn.IFS(tbl_Clean[[#This Row],[Income]]&lt;=30000,"$10k-30k",tbl_Clean[[#This Row],[Income]]&lt;=60000,"$40k-60k",tbl_Clean[[#This Row],[Income]]&lt;=90000,"$70k-90k",TRUE,"$100k+")</f>
        <v>$10k-30k</v>
      </c>
      <c r="Q34" s="20">
        <f>_xlfn.XMATCH(tbl_Clean[[#This Row],[Income Band]],{"$10k-30k","$40k-60k","$70k-90k","$100k+"})</f>
        <v>1</v>
      </c>
      <c r="R34" s="20" t="str">
        <f>IF(tbl_Clean[[#This Row],[Cars]]&lt;=1,"0-1 Cars","2+ Cars")</f>
        <v>2+ Cars</v>
      </c>
      <c r="S34" s="20">
        <f>_xlfn.XMATCH(tbl_Clean[[#This Row],[Commute Distance]],{"0-1 Miles","1-2 Miles","2-5 Miles","5-10 Miles","10+ Miles"})</f>
        <v>1</v>
      </c>
      <c r="T34" s="20">
        <f>_xlfn.XMATCH(tbl_Clean[[#This Row],[Education]],{"Partial High School","High School","Partial College","Bachelors","Graduate Degree"})</f>
        <v>1</v>
      </c>
      <c r="U34" s="20">
        <f>IF(tbl_Clean[[#This Row],[Purchased Bike]]="Yes",1,0)</f>
        <v>1</v>
      </c>
    </row>
    <row r="35" spans="1:21" x14ac:dyDescent="0.25">
      <c r="A35" s="20">
        <v>19273</v>
      </c>
      <c r="B35" s="3" t="s">
        <v>111</v>
      </c>
      <c r="C35" s="3" t="s">
        <v>112</v>
      </c>
      <c r="D35" s="19">
        <v>20000</v>
      </c>
      <c r="E35" s="20">
        <v>2</v>
      </c>
      <c r="F35" s="3" t="s">
        <v>21</v>
      </c>
      <c r="G35" s="3" t="s">
        <v>28</v>
      </c>
      <c r="H35" s="3" t="s">
        <v>17</v>
      </c>
      <c r="I35" s="20">
        <v>0</v>
      </c>
      <c r="J35" s="3" t="s">
        <v>18</v>
      </c>
      <c r="K35" s="3" t="s">
        <v>19</v>
      </c>
      <c r="L35" s="20">
        <v>63</v>
      </c>
      <c r="M35" s="3" t="s">
        <v>20</v>
      </c>
      <c r="N35" s="20" t="str" cm="1">
        <f t="array" ref="N35">_xlfn.IFS(tbl_Clean[[#This Row],[Age]]&lt;=30,"25-30",tbl_Clean[[#This Row],[Age]]&lt;=40,"31-40",tbl_Clean[[#This Row],[Age]]&lt;=50,"41-50",tbl_Clean[[#This Row],[Age]]&lt;=60,"51-60",TRUE,"61+")</f>
        <v>61+</v>
      </c>
      <c r="O35" s="20">
        <f>_xlfn.XMATCH(tbl_Clean[[#This Row],[Age Band]],{"25-30","31-40","41-50","51-60","61+"})</f>
        <v>5</v>
      </c>
      <c r="P35" s="20" t="str" cm="1">
        <f t="array" ref="P35">_xlfn.IFS(tbl_Clean[[#This Row],[Income]]&lt;=30000,"$10k-30k",tbl_Clean[[#This Row],[Income]]&lt;=60000,"$40k-60k",tbl_Clean[[#This Row],[Income]]&lt;=90000,"$70k-90k",TRUE,"$100k+")</f>
        <v>$10k-30k</v>
      </c>
      <c r="Q35" s="20">
        <f>_xlfn.XMATCH(tbl_Clean[[#This Row],[Income Band]],{"$10k-30k","$40k-60k","$70k-90k","$100k+"})</f>
        <v>1</v>
      </c>
      <c r="R35" s="20" t="str">
        <f>IF(tbl_Clean[[#This Row],[Cars]]&lt;=1,"0-1 Cars","2+ Cars")</f>
        <v>0-1 Cars</v>
      </c>
      <c r="S35" s="20">
        <f>_xlfn.XMATCH(tbl_Clean[[#This Row],[Commute Distance]],{"0-1 Miles","1-2 Miles","2-5 Miles","5-10 Miles","10+ Miles"})</f>
        <v>1</v>
      </c>
      <c r="T35" s="20">
        <f>_xlfn.XMATCH(tbl_Clean[[#This Row],[Education]],{"Partial High School","High School","Partial College","Bachelors","Graduate Degree"})</f>
        <v>3</v>
      </c>
      <c r="U35" s="20">
        <f>IF(tbl_Clean[[#This Row],[Purchased Bike]]="Yes",1,0)</f>
        <v>0</v>
      </c>
    </row>
    <row r="36" spans="1:21" x14ac:dyDescent="0.25">
      <c r="A36" s="20">
        <v>22400</v>
      </c>
      <c r="B36" s="3" t="s">
        <v>111</v>
      </c>
      <c r="C36" s="3" t="s">
        <v>113</v>
      </c>
      <c r="D36" s="19">
        <v>10000</v>
      </c>
      <c r="E36" s="20">
        <v>0</v>
      </c>
      <c r="F36" s="3" t="s">
        <v>21</v>
      </c>
      <c r="G36" s="3" t="s">
        <v>28</v>
      </c>
      <c r="H36" s="3" t="s">
        <v>20</v>
      </c>
      <c r="I36" s="20">
        <v>1</v>
      </c>
      <c r="J36" s="3" t="s">
        <v>18</v>
      </c>
      <c r="K36" s="3" t="s">
        <v>27</v>
      </c>
      <c r="L36" s="20">
        <v>26</v>
      </c>
      <c r="M36" s="3" t="s">
        <v>17</v>
      </c>
      <c r="N36" s="20" t="str" cm="1">
        <f t="array" ref="N36">_xlfn.IFS(tbl_Clean[[#This Row],[Age]]&lt;=30,"25-30",tbl_Clean[[#This Row],[Age]]&lt;=40,"31-40",tbl_Clean[[#This Row],[Age]]&lt;=50,"41-50",tbl_Clean[[#This Row],[Age]]&lt;=60,"51-60",TRUE,"61+")</f>
        <v>25-30</v>
      </c>
      <c r="O36" s="20">
        <f>_xlfn.XMATCH(tbl_Clean[[#This Row],[Age Band]],{"25-30","31-40","41-50","51-60","61+"})</f>
        <v>1</v>
      </c>
      <c r="P36" s="20" t="str" cm="1">
        <f t="array" ref="P36">_xlfn.IFS(tbl_Clean[[#This Row],[Income]]&lt;=30000,"$10k-30k",tbl_Clean[[#This Row],[Income]]&lt;=60000,"$40k-60k",tbl_Clean[[#This Row],[Income]]&lt;=90000,"$70k-90k",TRUE,"$100k+")</f>
        <v>$10k-30k</v>
      </c>
      <c r="Q36" s="20">
        <f>_xlfn.XMATCH(tbl_Clean[[#This Row],[Income Band]],{"$10k-30k","$40k-60k","$70k-90k","$100k+"})</f>
        <v>1</v>
      </c>
      <c r="R36" s="20" t="str">
        <f>IF(tbl_Clean[[#This Row],[Cars]]&lt;=1,"0-1 Cars","2+ Cars")</f>
        <v>0-1 Cars</v>
      </c>
      <c r="S36" s="20">
        <f>_xlfn.XMATCH(tbl_Clean[[#This Row],[Commute Distance]],{"0-1 Miles","1-2 Miles","2-5 Miles","5-10 Miles","10+ Miles"})</f>
        <v>1</v>
      </c>
      <c r="T36" s="20">
        <f>_xlfn.XMATCH(tbl_Clean[[#This Row],[Education]],{"Partial High School","High School","Partial College","Bachelors","Graduate Degree"})</f>
        <v>3</v>
      </c>
      <c r="U36" s="20">
        <f>IF(tbl_Clean[[#This Row],[Purchased Bike]]="Yes",1,0)</f>
        <v>1</v>
      </c>
    </row>
    <row r="37" spans="1:21" x14ac:dyDescent="0.25">
      <c r="A37" s="20">
        <v>20942</v>
      </c>
      <c r="B37" s="3" t="s">
        <v>114</v>
      </c>
      <c r="C37" s="3" t="s">
        <v>112</v>
      </c>
      <c r="D37" s="19">
        <v>20000</v>
      </c>
      <c r="E37" s="20">
        <v>0</v>
      </c>
      <c r="F37" s="3" t="s">
        <v>30</v>
      </c>
      <c r="G37" s="3" t="s">
        <v>28</v>
      </c>
      <c r="H37" s="3" t="s">
        <v>20</v>
      </c>
      <c r="I37" s="20">
        <v>1</v>
      </c>
      <c r="J37" s="3" t="s">
        <v>26</v>
      </c>
      <c r="K37" s="3" t="s">
        <v>19</v>
      </c>
      <c r="L37" s="20">
        <v>31</v>
      </c>
      <c r="M37" s="3" t="s">
        <v>20</v>
      </c>
      <c r="N37" s="20" t="str" cm="1">
        <f t="array" ref="N37">_xlfn.IFS(tbl_Clean[[#This Row],[Age]]&lt;=30,"25-30",tbl_Clean[[#This Row],[Age]]&lt;=40,"31-40",tbl_Clean[[#This Row],[Age]]&lt;=50,"41-50",tbl_Clean[[#This Row],[Age]]&lt;=60,"51-60",TRUE,"61+")</f>
        <v>31-40</v>
      </c>
      <c r="O37" s="20">
        <f>_xlfn.XMATCH(tbl_Clean[[#This Row],[Age Band]],{"25-30","31-40","41-50","51-60","61+"})</f>
        <v>2</v>
      </c>
      <c r="P37" s="20" t="str" cm="1">
        <f t="array" ref="P37">_xlfn.IFS(tbl_Clean[[#This Row],[Income]]&lt;=30000,"$10k-30k",tbl_Clean[[#This Row],[Income]]&lt;=60000,"$40k-60k",tbl_Clean[[#This Row],[Income]]&lt;=90000,"$70k-90k",TRUE,"$100k+")</f>
        <v>$10k-30k</v>
      </c>
      <c r="Q37" s="20">
        <f>_xlfn.XMATCH(tbl_Clean[[#This Row],[Income Band]],{"$10k-30k","$40k-60k","$70k-90k","$100k+"})</f>
        <v>1</v>
      </c>
      <c r="R37" s="20" t="str">
        <f>IF(tbl_Clean[[#This Row],[Cars]]&lt;=1,"0-1 Cars","2+ Cars")</f>
        <v>0-1 Cars</v>
      </c>
      <c r="S37" s="20">
        <f>_xlfn.XMATCH(tbl_Clean[[#This Row],[Commute Distance]],{"0-1 Miles","1-2 Miles","2-5 Miles","5-10 Miles","10+ Miles"})</f>
        <v>4</v>
      </c>
      <c r="T37" s="20">
        <f>_xlfn.XMATCH(tbl_Clean[[#This Row],[Education]],{"Partial High School","High School","Partial College","Bachelors","Graduate Degree"})</f>
        <v>2</v>
      </c>
      <c r="U37" s="20">
        <f>IF(tbl_Clean[[#This Row],[Purchased Bike]]="Yes",1,0)</f>
        <v>0</v>
      </c>
    </row>
    <row r="38" spans="1:21" x14ac:dyDescent="0.25">
      <c r="A38" s="20">
        <v>18484</v>
      </c>
      <c r="B38" s="3" t="s">
        <v>114</v>
      </c>
      <c r="C38" s="3" t="s">
        <v>113</v>
      </c>
      <c r="D38" s="19">
        <v>80000</v>
      </c>
      <c r="E38" s="20">
        <v>2</v>
      </c>
      <c r="F38" s="3" t="s">
        <v>30</v>
      </c>
      <c r="G38" s="3" t="s">
        <v>16</v>
      </c>
      <c r="H38" s="3" t="s">
        <v>20</v>
      </c>
      <c r="I38" s="20">
        <v>2</v>
      </c>
      <c r="J38" s="3" t="s">
        <v>29</v>
      </c>
      <c r="K38" s="3" t="s">
        <v>27</v>
      </c>
      <c r="L38" s="20">
        <v>50</v>
      </c>
      <c r="M38" s="3" t="s">
        <v>17</v>
      </c>
      <c r="N38" s="20" t="str" cm="1">
        <f t="array" ref="N38">_xlfn.IFS(tbl_Clean[[#This Row],[Age]]&lt;=30,"25-30",tbl_Clean[[#This Row],[Age]]&lt;=40,"31-40",tbl_Clean[[#This Row],[Age]]&lt;=50,"41-50",tbl_Clean[[#This Row],[Age]]&lt;=60,"51-60",TRUE,"61+")</f>
        <v>41-50</v>
      </c>
      <c r="O38" s="20">
        <f>_xlfn.XMATCH(tbl_Clean[[#This Row],[Age Band]],{"25-30","31-40","41-50","51-60","61+"})</f>
        <v>3</v>
      </c>
      <c r="P38" s="20" t="str" cm="1">
        <f t="array" ref="P38">_xlfn.IFS(tbl_Clean[[#This Row],[Income]]&lt;=30000,"$10k-30k",tbl_Clean[[#This Row],[Income]]&lt;=60000,"$40k-60k",tbl_Clean[[#This Row],[Income]]&lt;=90000,"$70k-90k",TRUE,"$100k+")</f>
        <v>$70k-90k</v>
      </c>
      <c r="Q38" s="20">
        <f>_xlfn.XMATCH(tbl_Clean[[#This Row],[Income Band]],{"$10k-30k","$40k-60k","$70k-90k","$100k+"})</f>
        <v>3</v>
      </c>
      <c r="R38" s="20" t="str">
        <f>IF(tbl_Clean[[#This Row],[Cars]]&lt;=1,"0-1 Cars","2+ Cars")</f>
        <v>2+ Cars</v>
      </c>
      <c r="S38" s="20">
        <f>_xlfn.XMATCH(tbl_Clean[[#This Row],[Commute Distance]],{"0-1 Miles","1-2 Miles","2-5 Miles","5-10 Miles","10+ Miles"})</f>
        <v>2</v>
      </c>
      <c r="T38" s="20">
        <f>_xlfn.XMATCH(tbl_Clean[[#This Row],[Education]],{"Partial High School","High School","Partial College","Bachelors","Graduate Degree"})</f>
        <v>2</v>
      </c>
      <c r="U38" s="20">
        <f>IF(tbl_Clean[[#This Row],[Purchased Bike]]="Yes",1,0)</f>
        <v>1</v>
      </c>
    </row>
    <row r="39" spans="1:21" x14ac:dyDescent="0.25">
      <c r="A39" s="20">
        <v>12291</v>
      </c>
      <c r="B39" s="3" t="s">
        <v>114</v>
      </c>
      <c r="C39" s="3" t="s">
        <v>113</v>
      </c>
      <c r="D39" s="19">
        <v>90000</v>
      </c>
      <c r="E39" s="20">
        <v>5</v>
      </c>
      <c r="F39" s="3" t="s">
        <v>21</v>
      </c>
      <c r="G39" s="3" t="s">
        <v>23</v>
      </c>
      <c r="H39" s="3" t="s">
        <v>20</v>
      </c>
      <c r="I39" s="20">
        <v>2</v>
      </c>
      <c r="J39" s="3" t="s">
        <v>24</v>
      </c>
      <c r="K39" s="3" t="s">
        <v>19</v>
      </c>
      <c r="L39" s="20">
        <v>62</v>
      </c>
      <c r="M39" s="3" t="s">
        <v>17</v>
      </c>
      <c r="N39" s="20" t="str" cm="1">
        <f t="array" ref="N39">_xlfn.IFS(tbl_Clean[[#This Row],[Age]]&lt;=30,"25-30",tbl_Clean[[#This Row],[Age]]&lt;=40,"31-40",tbl_Clean[[#This Row],[Age]]&lt;=50,"41-50",tbl_Clean[[#This Row],[Age]]&lt;=60,"51-60",TRUE,"61+")</f>
        <v>61+</v>
      </c>
      <c r="O39" s="20">
        <f>_xlfn.XMATCH(tbl_Clean[[#This Row],[Age Band]],{"25-30","31-40","41-50","51-60","61+"})</f>
        <v>5</v>
      </c>
      <c r="P39" s="20" t="str" cm="1">
        <f t="array" ref="P39">_xlfn.IFS(tbl_Clean[[#This Row],[Income]]&lt;=30000,"$10k-30k",tbl_Clean[[#This Row],[Income]]&lt;=60000,"$40k-60k",tbl_Clean[[#This Row],[Income]]&lt;=90000,"$70k-90k",TRUE,"$100k+")</f>
        <v>$70k-90k</v>
      </c>
      <c r="Q39" s="20">
        <f>_xlfn.XMATCH(tbl_Clean[[#This Row],[Income Band]],{"$10k-30k","$40k-60k","$70k-90k","$100k+"})</f>
        <v>3</v>
      </c>
      <c r="R39" s="20" t="str">
        <f>IF(tbl_Clean[[#This Row],[Cars]]&lt;=1,"0-1 Cars","2+ Cars")</f>
        <v>2+ Cars</v>
      </c>
      <c r="S39" s="20">
        <f>_xlfn.XMATCH(tbl_Clean[[#This Row],[Commute Distance]],{"0-1 Miles","1-2 Miles","2-5 Miles","5-10 Miles","10+ Miles"})</f>
        <v>3</v>
      </c>
      <c r="T39" s="20">
        <f>_xlfn.XMATCH(tbl_Clean[[#This Row],[Education]],{"Partial High School","High School","Partial College","Bachelors","Graduate Degree"})</f>
        <v>3</v>
      </c>
      <c r="U39" s="20">
        <f>IF(tbl_Clean[[#This Row],[Purchased Bike]]="Yes",1,0)</f>
        <v>1</v>
      </c>
    </row>
    <row r="40" spans="1:21" x14ac:dyDescent="0.25">
      <c r="A40" s="20">
        <v>28380</v>
      </c>
      <c r="B40" s="3" t="s">
        <v>114</v>
      </c>
      <c r="C40" s="3" t="s">
        <v>112</v>
      </c>
      <c r="D40" s="19">
        <v>10000</v>
      </c>
      <c r="E40" s="20">
        <v>5</v>
      </c>
      <c r="F40" s="3" t="s">
        <v>32</v>
      </c>
      <c r="G40" s="3" t="s">
        <v>28</v>
      </c>
      <c r="H40" s="3" t="s">
        <v>20</v>
      </c>
      <c r="I40" s="20">
        <v>2</v>
      </c>
      <c r="J40" s="3" t="s">
        <v>18</v>
      </c>
      <c r="K40" s="3" t="s">
        <v>19</v>
      </c>
      <c r="L40" s="20">
        <v>41</v>
      </c>
      <c r="M40" s="3" t="s">
        <v>20</v>
      </c>
      <c r="N40" s="20" t="str" cm="1">
        <f t="array" ref="N40">_xlfn.IFS(tbl_Clean[[#This Row],[Age]]&lt;=30,"25-30",tbl_Clean[[#This Row],[Age]]&lt;=40,"31-40",tbl_Clean[[#This Row],[Age]]&lt;=50,"41-50",tbl_Clean[[#This Row],[Age]]&lt;=60,"51-60",TRUE,"61+")</f>
        <v>41-50</v>
      </c>
      <c r="O40" s="20">
        <f>_xlfn.XMATCH(tbl_Clean[[#This Row],[Age Band]],{"25-30","31-40","41-50","51-60","61+"})</f>
        <v>3</v>
      </c>
      <c r="P40" s="20" t="str" cm="1">
        <f t="array" ref="P40">_xlfn.IFS(tbl_Clean[[#This Row],[Income]]&lt;=30000,"$10k-30k",tbl_Clean[[#This Row],[Income]]&lt;=60000,"$40k-60k",tbl_Clean[[#This Row],[Income]]&lt;=90000,"$70k-90k",TRUE,"$100k+")</f>
        <v>$10k-30k</v>
      </c>
      <c r="Q40" s="20">
        <f>_xlfn.XMATCH(tbl_Clean[[#This Row],[Income Band]],{"$10k-30k","$40k-60k","$70k-90k","$100k+"})</f>
        <v>1</v>
      </c>
      <c r="R40" s="20" t="str">
        <f>IF(tbl_Clean[[#This Row],[Cars]]&lt;=1,"0-1 Cars","2+ Cars")</f>
        <v>2+ Cars</v>
      </c>
      <c r="S40" s="20">
        <f>_xlfn.XMATCH(tbl_Clean[[#This Row],[Commute Distance]],{"0-1 Miles","1-2 Miles","2-5 Miles","5-10 Miles","10+ Miles"})</f>
        <v>1</v>
      </c>
      <c r="T40" s="20">
        <f>_xlfn.XMATCH(tbl_Clean[[#This Row],[Education]],{"Partial High School","High School","Partial College","Bachelors","Graduate Degree"})</f>
        <v>1</v>
      </c>
      <c r="U40" s="20">
        <f>IF(tbl_Clean[[#This Row],[Purchased Bike]]="Yes",1,0)</f>
        <v>0</v>
      </c>
    </row>
    <row r="41" spans="1:21" x14ac:dyDescent="0.25">
      <c r="A41" s="20">
        <v>17891</v>
      </c>
      <c r="B41" s="3" t="s">
        <v>111</v>
      </c>
      <c r="C41" s="3" t="s">
        <v>112</v>
      </c>
      <c r="D41" s="19">
        <v>10000</v>
      </c>
      <c r="E41" s="20">
        <v>2</v>
      </c>
      <c r="F41" s="3" t="s">
        <v>21</v>
      </c>
      <c r="G41" s="3" t="s">
        <v>28</v>
      </c>
      <c r="H41" s="3" t="s">
        <v>17</v>
      </c>
      <c r="I41" s="20">
        <v>1</v>
      </c>
      <c r="J41" s="3" t="s">
        <v>18</v>
      </c>
      <c r="K41" s="3" t="s">
        <v>19</v>
      </c>
      <c r="L41" s="20">
        <v>50</v>
      </c>
      <c r="M41" s="3" t="s">
        <v>17</v>
      </c>
      <c r="N41" s="20" t="str" cm="1">
        <f t="array" ref="N41">_xlfn.IFS(tbl_Clean[[#This Row],[Age]]&lt;=30,"25-30",tbl_Clean[[#This Row],[Age]]&lt;=40,"31-40",tbl_Clean[[#This Row],[Age]]&lt;=50,"41-50",tbl_Clean[[#This Row],[Age]]&lt;=60,"51-60",TRUE,"61+")</f>
        <v>41-50</v>
      </c>
      <c r="O41" s="20">
        <f>_xlfn.XMATCH(tbl_Clean[[#This Row],[Age Band]],{"25-30","31-40","41-50","51-60","61+"})</f>
        <v>3</v>
      </c>
      <c r="P41" s="20" t="str" cm="1">
        <f t="array" ref="P41">_xlfn.IFS(tbl_Clean[[#This Row],[Income]]&lt;=30000,"$10k-30k",tbl_Clean[[#This Row],[Income]]&lt;=60000,"$40k-60k",tbl_Clean[[#This Row],[Income]]&lt;=90000,"$70k-90k",TRUE,"$100k+")</f>
        <v>$10k-30k</v>
      </c>
      <c r="Q41" s="20">
        <f>_xlfn.XMATCH(tbl_Clean[[#This Row],[Income Band]],{"$10k-30k","$40k-60k","$70k-90k","$100k+"})</f>
        <v>1</v>
      </c>
      <c r="R41" s="20" t="str">
        <f>IF(tbl_Clean[[#This Row],[Cars]]&lt;=1,"0-1 Cars","2+ Cars")</f>
        <v>0-1 Cars</v>
      </c>
      <c r="S41" s="20">
        <f>_xlfn.XMATCH(tbl_Clean[[#This Row],[Commute Distance]],{"0-1 Miles","1-2 Miles","2-5 Miles","5-10 Miles","10+ Miles"})</f>
        <v>1</v>
      </c>
      <c r="T41" s="20">
        <f>_xlfn.XMATCH(tbl_Clean[[#This Row],[Education]],{"Partial High School","High School","Partial College","Bachelors","Graduate Degree"})</f>
        <v>3</v>
      </c>
      <c r="U41" s="20">
        <f>IF(tbl_Clean[[#This Row],[Purchased Bike]]="Yes",1,0)</f>
        <v>1</v>
      </c>
    </row>
    <row r="42" spans="1:21" x14ac:dyDescent="0.25">
      <c r="A42" s="20">
        <v>27832</v>
      </c>
      <c r="B42" s="3" t="s">
        <v>114</v>
      </c>
      <c r="C42" s="3" t="s">
        <v>112</v>
      </c>
      <c r="D42" s="19">
        <v>30000</v>
      </c>
      <c r="E42" s="20">
        <v>0</v>
      </c>
      <c r="F42" s="3" t="s">
        <v>21</v>
      </c>
      <c r="G42" s="3" t="s">
        <v>22</v>
      </c>
      <c r="H42" s="3" t="s">
        <v>20</v>
      </c>
      <c r="I42" s="20">
        <v>1</v>
      </c>
      <c r="J42" s="3" t="s">
        <v>24</v>
      </c>
      <c r="K42" s="3" t="s">
        <v>19</v>
      </c>
      <c r="L42" s="20">
        <v>30</v>
      </c>
      <c r="M42" s="3" t="s">
        <v>20</v>
      </c>
      <c r="N42" s="20" t="str" cm="1">
        <f t="array" ref="N42">_xlfn.IFS(tbl_Clean[[#This Row],[Age]]&lt;=30,"25-30",tbl_Clean[[#This Row],[Age]]&lt;=40,"31-40",tbl_Clean[[#This Row],[Age]]&lt;=50,"41-50",tbl_Clean[[#This Row],[Age]]&lt;=60,"51-60",TRUE,"61+")</f>
        <v>25-30</v>
      </c>
      <c r="O42" s="20">
        <f>_xlfn.XMATCH(tbl_Clean[[#This Row],[Age Band]],{"25-30","31-40","41-50","51-60","61+"})</f>
        <v>1</v>
      </c>
      <c r="P42" s="20" t="str" cm="1">
        <f t="array" ref="P42">_xlfn.IFS(tbl_Clean[[#This Row],[Income]]&lt;=30000,"$10k-30k",tbl_Clean[[#This Row],[Income]]&lt;=60000,"$40k-60k",tbl_Clean[[#This Row],[Income]]&lt;=90000,"$70k-90k",TRUE,"$100k+")</f>
        <v>$10k-30k</v>
      </c>
      <c r="Q42" s="20">
        <f>_xlfn.XMATCH(tbl_Clean[[#This Row],[Income Band]],{"$10k-30k","$40k-60k","$70k-90k","$100k+"})</f>
        <v>1</v>
      </c>
      <c r="R42" s="20" t="str">
        <f>IF(tbl_Clean[[#This Row],[Cars]]&lt;=1,"0-1 Cars","2+ Cars")</f>
        <v>0-1 Cars</v>
      </c>
      <c r="S42" s="20">
        <f>_xlfn.XMATCH(tbl_Clean[[#This Row],[Commute Distance]],{"0-1 Miles","1-2 Miles","2-5 Miles","5-10 Miles","10+ Miles"})</f>
        <v>3</v>
      </c>
      <c r="T42" s="20">
        <f>_xlfn.XMATCH(tbl_Clean[[#This Row],[Education]],{"Partial High School","High School","Partial College","Bachelors","Graduate Degree"})</f>
        <v>3</v>
      </c>
      <c r="U42" s="20">
        <f>IF(tbl_Clean[[#This Row],[Purchased Bike]]="Yes",1,0)</f>
        <v>0</v>
      </c>
    </row>
    <row r="43" spans="1:21" x14ac:dyDescent="0.25">
      <c r="A43" s="20">
        <v>26863</v>
      </c>
      <c r="B43" s="3" t="s">
        <v>114</v>
      </c>
      <c r="C43" s="3" t="s">
        <v>113</v>
      </c>
      <c r="D43" s="19">
        <v>20000</v>
      </c>
      <c r="E43" s="20">
        <v>0</v>
      </c>
      <c r="F43" s="3" t="s">
        <v>30</v>
      </c>
      <c r="G43" s="3" t="s">
        <v>28</v>
      </c>
      <c r="H43" s="3" t="s">
        <v>20</v>
      </c>
      <c r="I43" s="20">
        <v>1</v>
      </c>
      <c r="J43" s="3" t="s">
        <v>24</v>
      </c>
      <c r="K43" s="3" t="s">
        <v>19</v>
      </c>
      <c r="L43" s="20">
        <v>28</v>
      </c>
      <c r="M43" s="3" t="s">
        <v>20</v>
      </c>
      <c r="N43" s="20" t="str" cm="1">
        <f t="array" ref="N43">_xlfn.IFS(tbl_Clean[[#This Row],[Age]]&lt;=30,"25-30",tbl_Clean[[#This Row],[Age]]&lt;=40,"31-40",tbl_Clean[[#This Row],[Age]]&lt;=50,"41-50",tbl_Clean[[#This Row],[Age]]&lt;=60,"51-60",TRUE,"61+")</f>
        <v>25-30</v>
      </c>
      <c r="O43" s="20">
        <f>_xlfn.XMATCH(tbl_Clean[[#This Row],[Age Band]],{"25-30","31-40","41-50","51-60","61+"})</f>
        <v>1</v>
      </c>
      <c r="P43" s="20" t="str" cm="1">
        <f t="array" ref="P43">_xlfn.IFS(tbl_Clean[[#This Row],[Income]]&lt;=30000,"$10k-30k",tbl_Clean[[#This Row],[Income]]&lt;=60000,"$40k-60k",tbl_Clean[[#This Row],[Income]]&lt;=90000,"$70k-90k",TRUE,"$100k+")</f>
        <v>$10k-30k</v>
      </c>
      <c r="Q43" s="20">
        <f>_xlfn.XMATCH(tbl_Clean[[#This Row],[Income Band]],{"$10k-30k","$40k-60k","$70k-90k","$100k+"})</f>
        <v>1</v>
      </c>
      <c r="R43" s="20" t="str">
        <f>IF(tbl_Clean[[#This Row],[Cars]]&lt;=1,"0-1 Cars","2+ Cars")</f>
        <v>0-1 Cars</v>
      </c>
      <c r="S43" s="20">
        <f>_xlfn.XMATCH(tbl_Clean[[#This Row],[Commute Distance]],{"0-1 Miles","1-2 Miles","2-5 Miles","5-10 Miles","10+ Miles"})</f>
        <v>3</v>
      </c>
      <c r="T43" s="20">
        <f>_xlfn.XMATCH(tbl_Clean[[#This Row],[Education]],{"Partial High School","High School","Partial College","Bachelors","Graduate Degree"})</f>
        <v>2</v>
      </c>
      <c r="U43" s="20">
        <f>IF(tbl_Clean[[#This Row],[Purchased Bike]]="Yes",1,0)</f>
        <v>0</v>
      </c>
    </row>
    <row r="44" spans="1:21" x14ac:dyDescent="0.25">
      <c r="A44" s="20">
        <v>16259</v>
      </c>
      <c r="B44" s="3" t="s">
        <v>114</v>
      </c>
      <c r="C44" s="3" t="s">
        <v>112</v>
      </c>
      <c r="D44" s="19">
        <v>10000</v>
      </c>
      <c r="E44" s="20">
        <v>4</v>
      </c>
      <c r="F44" s="3" t="s">
        <v>32</v>
      </c>
      <c r="G44" s="3" t="s">
        <v>28</v>
      </c>
      <c r="H44" s="3" t="s">
        <v>17</v>
      </c>
      <c r="I44" s="20">
        <v>2</v>
      </c>
      <c r="J44" s="3" t="s">
        <v>18</v>
      </c>
      <c r="K44" s="3" t="s">
        <v>19</v>
      </c>
      <c r="L44" s="20">
        <v>40</v>
      </c>
      <c r="M44" s="3" t="s">
        <v>17</v>
      </c>
      <c r="N44" s="20" t="str" cm="1">
        <f t="array" ref="N44">_xlfn.IFS(tbl_Clean[[#This Row],[Age]]&lt;=30,"25-30",tbl_Clean[[#This Row],[Age]]&lt;=40,"31-40",tbl_Clean[[#This Row],[Age]]&lt;=50,"41-50",tbl_Clean[[#This Row],[Age]]&lt;=60,"51-60",TRUE,"61+")</f>
        <v>31-40</v>
      </c>
      <c r="O44" s="20">
        <f>_xlfn.XMATCH(tbl_Clean[[#This Row],[Age Band]],{"25-30","31-40","41-50","51-60","61+"})</f>
        <v>2</v>
      </c>
      <c r="P44" s="20" t="str" cm="1">
        <f t="array" ref="P44">_xlfn.IFS(tbl_Clean[[#This Row],[Income]]&lt;=30000,"$10k-30k",tbl_Clean[[#This Row],[Income]]&lt;=60000,"$40k-60k",tbl_Clean[[#This Row],[Income]]&lt;=90000,"$70k-90k",TRUE,"$100k+")</f>
        <v>$10k-30k</v>
      </c>
      <c r="Q44" s="20">
        <f>_xlfn.XMATCH(tbl_Clean[[#This Row],[Income Band]],{"$10k-30k","$40k-60k","$70k-90k","$100k+"})</f>
        <v>1</v>
      </c>
      <c r="R44" s="20" t="str">
        <f>IF(tbl_Clean[[#This Row],[Cars]]&lt;=1,"0-1 Cars","2+ Cars")</f>
        <v>2+ Cars</v>
      </c>
      <c r="S44" s="20">
        <f>_xlfn.XMATCH(tbl_Clean[[#This Row],[Commute Distance]],{"0-1 Miles","1-2 Miles","2-5 Miles","5-10 Miles","10+ Miles"})</f>
        <v>1</v>
      </c>
      <c r="T44" s="20">
        <f>_xlfn.XMATCH(tbl_Clean[[#This Row],[Education]],{"Partial High School","High School","Partial College","Bachelors","Graduate Degree"})</f>
        <v>1</v>
      </c>
      <c r="U44" s="20">
        <f>IF(tbl_Clean[[#This Row],[Purchased Bike]]="Yes",1,0)</f>
        <v>1</v>
      </c>
    </row>
    <row r="45" spans="1:21" x14ac:dyDescent="0.25">
      <c r="A45" s="20">
        <v>27803</v>
      </c>
      <c r="B45" s="3" t="s">
        <v>114</v>
      </c>
      <c r="C45" s="3" t="s">
        <v>112</v>
      </c>
      <c r="D45" s="19">
        <v>30000</v>
      </c>
      <c r="E45" s="20">
        <v>2</v>
      </c>
      <c r="F45" s="3" t="s">
        <v>21</v>
      </c>
      <c r="G45" s="3" t="s">
        <v>22</v>
      </c>
      <c r="H45" s="3" t="s">
        <v>20</v>
      </c>
      <c r="I45" s="20">
        <v>0</v>
      </c>
      <c r="J45" s="3" t="s">
        <v>18</v>
      </c>
      <c r="K45" s="3" t="s">
        <v>19</v>
      </c>
      <c r="L45" s="20">
        <v>43</v>
      </c>
      <c r="M45" s="3" t="s">
        <v>20</v>
      </c>
      <c r="N45" s="20" t="str" cm="1">
        <f t="array" ref="N45">_xlfn.IFS(tbl_Clean[[#This Row],[Age]]&lt;=30,"25-30",tbl_Clean[[#This Row],[Age]]&lt;=40,"31-40",tbl_Clean[[#This Row],[Age]]&lt;=50,"41-50",tbl_Clean[[#This Row],[Age]]&lt;=60,"51-60",TRUE,"61+")</f>
        <v>41-50</v>
      </c>
      <c r="O45" s="20">
        <f>_xlfn.XMATCH(tbl_Clean[[#This Row],[Age Band]],{"25-30","31-40","41-50","51-60","61+"})</f>
        <v>3</v>
      </c>
      <c r="P45" s="20" t="str" cm="1">
        <f t="array" ref="P45">_xlfn.IFS(tbl_Clean[[#This Row],[Income]]&lt;=30000,"$10k-30k",tbl_Clean[[#This Row],[Income]]&lt;=60000,"$40k-60k",tbl_Clean[[#This Row],[Income]]&lt;=90000,"$70k-90k",TRUE,"$100k+")</f>
        <v>$10k-30k</v>
      </c>
      <c r="Q45" s="20">
        <f>_xlfn.XMATCH(tbl_Clean[[#This Row],[Income Band]],{"$10k-30k","$40k-60k","$70k-90k","$100k+"})</f>
        <v>1</v>
      </c>
      <c r="R45" s="20" t="str">
        <f>IF(tbl_Clean[[#This Row],[Cars]]&lt;=1,"0-1 Cars","2+ Cars")</f>
        <v>0-1 Cars</v>
      </c>
      <c r="S45" s="20">
        <f>_xlfn.XMATCH(tbl_Clean[[#This Row],[Commute Distance]],{"0-1 Miles","1-2 Miles","2-5 Miles","5-10 Miles","10+ Miles"})</f>
        <v>1</v>
      </c>
      <c r="T45" s="20">
        <f>_xlfn.XMATCH(tbl_Clean[[#This Row],[Education]],{"Partial High School","High School","Partial College","Bachelors","Graduate Degree"})</f>
        <v>3</v>
      </c>
      <c r="U45" s="20">
        <f>IF(tbl_Clean[[#This Row],[Purchased Bike]]="Yes",1,0)</f>
        <v>0</v>
      </c>
    </row>
    <row r="46" spans="1:21" x14ac:dyDescent="0.25">
      <c r="A46" s="20">
        <v>14347</v>
      </c>
      <c r="B46" s="3" t="s">
        <v>114</v>
      </c>
      <c r="C46" s="3" t="s">
        <v>112</v>
      </c>
      <c r="D46" s="19">
        <v>40000</v>
      </c>
      <c r="E46" s="20">
        <v>2</v>
      </c>
      <c r="F46" s="3" t="s">
        <v>15</v>
      </c>
      <c r="G46" s="3" t="s">
        <v>31</v>
      </c>
      <c r="H46" s="3" t="s">
        <v>17</v>
      </c>
      <c r="I46" s="20">
        <v>2</v>
      </c>
      <c r="J46" s="3" t="s">
        <v>26</v>
      </c>
      <c r="K46" s="3" t="s">
        <v>27</v>
      </c>
      <c r="L46" s="20">
        <v>65</v>
      </c>
      <c r="M46" s="3" t="s">
        <v>17</v>
      </c>
      <c r="N46" s="20" t="str" cm="1">
        <f t="array" ref="N46">_xlfn.IFS(tbl_Clean[[#This Row],[Age]]&lt;=30,"25-30",tbl_Clean[[#This Row],[Age]]&lt;=40,"31-40",tbl_Clean[[#This Row],[Age]]&lt;=50,"41-50",tbl_Clean[[#This Row],[Age]]&lt;=60,"51-60",TRUE,"61+")</f>
        <v>61+</v>
      </c>
      <c r="O46" s="20">
        <f>_xlfn.XMATCH(tbl_Clean[[#This Row],[Age Band]],{"25-30","31-40","41-50","51-60","61+"})</f>
        <v>5</v>
      </c>
      <c r="P46" s="20" t="str" cm="1">
        <f t="array" ref="P46">_xlfn.IFS(tbl_Clean[[#This Row],[Income]]&lt;=30000,"$10k-30k",tbl_Clean[[#This Row],[Income]]&lt;=60000,"$40k-60k",tbl_Clean[[#This Row],[Income]]&lt;=90000,"$70k-90k",TRUE,"$100k+")</f>
        <v>$40k-60k</v>
      </c>
      <c r="Q46" s="20">
        <f>_xlfn.XMATCH(tbl_Clean[[#This Row],[Income Band]],{"$10k-30k","$40k-60k","$70k-90k","$100k+"})</f>
        <v>2</v>
      </c>
      <c r="R46" s="20" t="str">
        <f>IF(tbl_Clean[[#This Row],[Cars]]&lt;=1,"0-1 Cars","2+ Cars")</f>
        <v>2+ Cars</v>
      </c>
      <c r="S46" s="20">
        <f>_xlfn.XMATCH(tbl_Clean[[#This Row],[Commute Distance]],{"0-1 Miles","1-2 Miles","2-5 Miles","5-10 Miles","10+ Miles"})</f>
        <v>4</v>
      </c>
      <c r="T46" s="20">
        <f>_xlfn.XMATCH(tbl_Clean[[#This Row],[Education]],{"Partial High School","High School","Partial College","Bachelors","Graduate Degree"})</f>
        <v>4</v>
      </c>
      <c r="U46" s="20">
        <f>IF(tbl_Clean[[#This Row],[Purchased Bike]]="Yes",1,0)</f>
        <v>1</v>
      </c>
    </row>
    <row r="47" spans="1:21" x14ac:dyDescent="0.25">
      <c r="A47" s="20">
        <v>17703</v>
      </c>
      <c r="B47" s="3" t="s">
        <v>111</v>
      </c>
      <c r="C47" s="3" t="s">
        <v>112</v>
      </c>
      <c r="D47" s="19">
        <v>10000</v>
      </c>
      <c r="E47" s="20">
        <v>1</v>
      </c>
      <c r="F47" s="3" t="s">
        <v>34</v>
      </c>
      <c r="G47" s="3" t="s">
        <v>28</v>
      </c>
      <c r="H47" s="3" t="s">
        <v>17</v>
      </c>
      <c r="I47" s="20">
        <v>0</v>
      </c>
      <c r="J47" s="3" t="s">
        <v>18</v>
      </c>
      <c r="K47" s="3" t="s">
        <v>19</v>
      </c>
      <c r="L47" s="20">
        <v>40</v>
      </c>
      <c r="M47" s="3" t="s">
        <v>20</v>
      </c>
      <c r="N47" s="20" t="str" cm="1">
        <f t="array" ref="N47">_xlfn.IFS(tbl_Clean[[#This Row],[Age]]&lt;=30,"25-30",tbl_Clean[[#This Row],[Age]]&lt;=40,"31-40",tbl_Clean[[#This Row],[Age]]&lt;=50,"41-50",tbl_Clean[[#This Row],[Age]]&lt;=60,"51-60",TRUE,"61+")</f>
        <v>31-40</v>
      </c>
      <c r="O47" s="20">
        <f>_xlfn.XMATCH(tbl_Clean[[#This Row],[Age Band]],{"25-30","31-40","41-50","51-60","61+"})</f>
        <v>2</v>
      </c>
      <c r="P47" s="20" t="str" cm="1">
        <f t="array" ref="P47">_xlfn.IFS(tbl_Clean[[#This Row],[Income]]&lt;=30000,"$10k-30k",tbl_Clean[[#This Row],[Income]]&lt;=60000,"$40k-60k",tbl_Clean[[#This Row],[Income]]&lt;=90000,"$70k-90k",TRUE,"$100k+")</f>
        <v>$10k-30k</v>
      </c>
      <c r="Q47" s="20">
        <f>_xlfn.XMATCH(tbl_Clean[[#This Row],[Income Band]],{"$10k-30k","$40k-60k","$70k-90k","$100k+"})</f>
        <v>1</v>
      </c>
      <c r="R47" s="20" t="str">
        <f>IF(tbl_Clean[[#This Row],[Cars]]&lt;=1,"0-1 Cars","2+ Cars")</f>
        <v>0-1 Cars</v>
      </c>
      <c r="S47" s="20">
        <f>_xlfn.XMATCH(tbl_Clean[[#This Row],[Commute Distance]],{"0-1 Miles","1-2 Miles","2-5 Miles","5-10 Miles","10+ Miles"})</f>
        <v>1</v>
      </c>
      <c r="T47" s="20">
        <f>_xlfn.XMATCH(tbl_Clean[[#This Row],[Education]],{"Partial High School","High School","Partial College","Bachelors","Graduate Degree"})</f>
        <v>5</v>
      </c>
      <c r="U47" s="20">
        <f>IF(tbl_Clean[[#This Row],[Purchased Bike]]="Yes",1,0)</f>
        <v>0</v>
      </c>
    </row>
    <row r="48" spans="1:21" x14ac:dyDescent="0.25">
      <c r="A48" s="20">
        <v>17185</v>
      </c>
      <c r="B48" s="3" t="s">
        <v>111</v>
      </c>
      <c r="C48" s="3" t="s">
        <v>112</v>
      </c>
      <c r="D48" s="19">
        <v>170000</v>
      </c>
      <c r="E48" s="20">
        <v>4</v>
      </c>
      <c r="F48" s="3" t="s">
        <v>21</v>
      </c>
      <c r="G48" s="3" t="s">
        <v>23</v>
      </c>
      <c r="H48" s="3" t="s">
        <v>20</v>
      </c>
      <c r="I48" s="20">
        <v>3</v>
      </c>
      <c r="J48" s="3" t="s">
        <v>26</v>
      </c>
      <c r="K48" s="3" t="s">
        <v>19</v>
      </c>
      <c r="L48" s="20">
        <v>48</v>
      </c>
      <c r="M48" s="3" t="s">
        <v>17</v>
      </c>
      <c r="N48" s="20" t="str" cm="1">
        <f t="array" ref="N48">_xlfn.IFS(tbl_Clean[[#This Row],[Age]]&lt;=30,"25-30",tbl_Clean[[#This Row],[Age]]&lt;=40,"31-40",tbl_Clean[[#This Row],[Age]]&lt;=50,"41-50",tbl_Clean[[#This Row],[Age]]&lt;=60,"51-60",TRUE,"61+")</f>
        <v>41-50</v>
      </c>
      <c r="O48" s="20">
        <f>_xlfn.XMATCH(tbl_Clean[[#This Row],[Age Band]],{"25-30","31-40","41-50","51-60","61+"})</f>
        <v>3</v>
      </c>
      <c r="P48" s="20" t="str" cm="1">
        <f t="array" ref="P48">_xlfn.IFS(tbl_Clean[[#This Row],[Income]]&lt;=30000,"$10k-30k",tbl_Clean[[#This Row],[Income]]&lt;=60000,"$40k-60k",tbl_Clean[[#This Row],[Income]]&lt;=90000,"$70k-90k",TRUE,"$100k+")</f>
        <v>$100k+</v>
      </c>
      <c r="Q48" s="20">
        <f>_xlfn.XMATCH(tbl_Clean[[#This Row],[Income Band]],{"$10k-30k","$40k-60k","$70k-90k","$100k+"})</f>
        <v>4</v>
      </c>
      <c r="R48" s="20" t="str">
        <f>IF(tbl_Clean[[#This Row],[Cars]]&lt;=1,"0-1 Cars","2+ Cars")</f>
        <v>2+ Cars</v>
      </c>
      <c r="S48" s="20">
        <f>_xlfn.XMATCH(tbl_Clean[[#This Row],[Commute Distance]],{"0-1 Miles","1-2 Miles","2-5 Miles","5-10 Miles","10+ Miles"})</f>
        <v>4</v>
      </c>
      <c r="T48" s="20">
        <f>_xlfn.XMATCH(tbl_Clean[[#This Row],[Education]],{"Partial High School","High School","Partial College","Bachelors","Graduate Degree"})</f>
        <v>3</v>
      </c>
      <c r="U48" s="20">
        <f>IF(tbl_Clean[[#This Row],[Purchased Bike]]="Yes",1,0)</f>
        <v>1</v>
      </c>
    </row>
    <row r="49" spans="1:21" x14ac:dyDescent="0.25">
      <c r="A49" s="20">
        <v>29380</v>
      </c>
      <c r="B49" s="3" t="s">
        <v>111</v>
      </c>
      <c r="C49" s="3" t="s">
        <v>112</v>
      </c>
      <c r="D49" s="19">
        <v>20000</v>
      </c>
      <c r="E49" s="20">
        <v>3</v>
      </c>
      <c r="F49" s="3" t="s">
        <v>30</v>
      </c>
      <c r="G49" s="3" t="s">
        <v>28</v>
      </c>
      <c r="H49" s="3" t="s">
        <v>17</v>
      </c>
      <c r="I49" s="20">
        <v>0</v>
      </c>
      <c r="J49" s="3" t="s">
        <v>18</v>
      </c>
      <c r="K49" s="3" t="s">
        <v>19</v>
      </c>
      <c r="L49" s="20">
        <v>41</v>
      </c>
      <c r="M49" s="3" t="s">
        <v>17</v>
      </c>
      <c r="N49" s="20" t="str" cm="1">
        <f t="array" ref="N49">_xlfn.IFS(tbl_Clean[[#This Row],[Age]]&lt;=30,"25-30",tbl_Clean[[#This Row],[Age]]&lt;=40,"31-40",tbl_Clean[[#This Row],[Age]]&lt;=50,"41-50",tbl_Clean[[#This Row],[Age]]&lt;=60,"51-60",TRUE,"61+")</f>
        <v>41-50</v>
      </c>
      <c r="O49" s="20">
        <f>_xlfn.XMATCH(tbl_Clean[[#This Row],[Age Band]],{"25-30","31-40","41-50","51-60","61+"})</f>
        <v>3</v>
      </c>
      <c r="P49" s="20" t="str" cm="1">
        <f t="array" ref="P49">_xlfn.IFS(tbl_Clean[[#This Row],[Income]]&lt;=30000,"$10k-30k",tbl_Clean[[#This Row],[Income]]&lt;=60000,"$40k-60k",tbl_Clean[[#This Row],[Income]]&lt;=90000,"$70k-90k",TRUE,"$100k+")</f>
        <v>$10k-30k</v>
      </c>
      <c r="Q49" s="20">
        <f>_xlfn.XMATCH(tbl_Clean[[#This Row],[Income Band]],{"$10k-30k","$40k-60k","$70k-90k","$100k+"})</f>
        <v>1</v>
      </c>
      <c r="R49" s="20" t="str">
        <f>IF(tbl_Clean[[#This Row],[Cars]]&lt;=1,"0-1 Cars","2+ Cars")</f>
        <v>0-1 Cars</v>
      </c>
      <c r="S49" s="20">
        <f>_xlfn.XMATCH(tbl_Clean[[#This Row],[Commute Distance]],{"0-1 Miles","1-2 Miles","2-5 Miles","5-10 Miles","10+ Miles"})</f>
        <v>1</v>
      </c>
      <c r="T49" s="20">
        <f>_xlfn.XMATCH(tbl_Clean[[#This Row],[Education]],{"Partial High School","High School","Partial College","Bachelors","Graduate Degree"})</f>
        <v>2</v>
      </c>
      <c r="U49" s="20">
        <f>IF(tbl_Clean[[#This Row],[Purchased Bike]]="Yes",1,0)</f>
        <v>1</v>
      </c>
    </row>
    <row r="50" spans="1:21" x14ac:dyDescent="0.25">
      <c r="A50" s="20">
        <v>23986</v>
      </c>
      <c r="B50" s="3" t="s">
        <v>111</v>
      </c>
      <c r="C50" s="3" t="s">
        <v>112</v>
      </c>
      <c r="D50" s="19">
        <v>20000</v>
      </c>
      <c r="E50" s="20">
        <v>1</v>
      </c>
      <c r="F50" s="3" t="s">
        <v>15</v>
      </c>
      <c r="G50" s="3" t="s">
        <v>22</v>
      </c>
      <c r="H50" s="3" t="s">
        <v>17</v>
      </c>
      <c r="I50" s="20">
        <v>0</v>
      </c>
      <c r="J50" s="3" t="s">
        <v>18</v>
      </c>
      <c r="K50" s="3" t="s">
        <v>19</v>
      </c>
      <c r="L50" s="20">
        <v>66</v>
      </c>
      <c r="M50" s="3" t="s">
        <v>17</v>
      </c>
      <c r="N50" s="20" t="str" cm="1">
        <f t="array" ref="N50">_xlfn.IFS(tbl_Clean[[#This Row],[Age]]&lt;=30,"25-30",tbl_Clean[[#This Row],[Age]]&lt;=40,"31-40",tbl_Clean[[#This Row],[Age]]&lt;=50,"41-50",tbl_Clean[[#This Row],[Age]]&lt;=60,"51-60",TRUE,"61+")</f>
        <v>61+</v>
      </c>
      <c r="O50" s="20">
        <f>_xlfn.XMATCH(tbl_Clean[[#This Row],[Age Band]],{"25-30","31-40","41-50","51-60","61+"})</f>
        <v>5</v>
      </c>
      <c r="P50" s="20" t="str" cm="1">
        <f t="array" ref="P50">_xlfn.IFS(tbl_Clean[[#This Row],[Income]]&lt;=30000,"$10k-30k",tbl_Clean[[#This Row],[Income]]&lt;=60000,"$40k-60k",tbl_Clean[[#This Row],[Income]]&lt;=90000,"$70k-90k",TRUE,"$100k+")</f>
        <v>$10k-30k</v>
      </c>
      <c r="Q50" s="20">
        <f>_xlfn.XMATCH(tbl_Clean[[#This Row],[Income Band]],{"$10k-30k","$40k-60k","$70k-90k","$100k+"})</f>
        <v>1</v>
      </c>
      <c r="R50" s="20" t="str">
        <f>IF(tbl_Clean[[#This Row],[Cars]]&lt;=1,"0-1 Cars","2+ Cars")</f>
        <v>0-1 Cars</v>
      </c>
      <c r="S50" s="20">
        <f>_xlfn.XMATCH(tbl_Clean[[#This Row],[Commute Distance]],{"0-1 Miles","1-2 Miles","2-5 Miles","5-10 Miles","10+ Miles"})</f>
        <v>1</v>
      </c>
      <c r="T50" s="20">
        <f>_xlfn.XMATCH(tbl_Clean[[#This Row],[Education]],{"Partial High School","High School","Partial College","Bachelors","Graduate Degree"})</f>
        <v>4</v>
      </c>
      <c r="U50" s="20">
        <f>IF(tbl_Clean[[#This Row],[Purchased Bike]]="Yes",1,0)</f>
        <v>1</v>
      </c>
    </row>
    <row r="51" spans="1:21" x14ac:dyDescent="0.25">
      <c r="A51" s="20">
        <v>24466</v>
      </c>
      <c r="B51" s="3" t="s">
        <v>111</v>
      </c>
      <c r="C51" s="3" t="s">
        <v>112</v>
      </c>
      <c r="D51" s="19">
        <v>60000</v>
      </c>
      <c r="E51" s="20">
        <v>1</v>
      </c>
      <c r="F51" s="3" t="s">
        <v>21</v>
      </c>
      <c r="G51" s="3" t="s">
        <v>16</v>
      </c>
      <c r="H51" s="3" t="s">
        <v>17</v>
      </c>
      <c r="I51" s="20">
        <v>1</v>
      </c>
      <c r="J51" s="3" t="s">
        <v>26</v>
      </c>
      <c r="K51" s="3" t="s">
        <v>27</v>
      </c>
      <c r="L51" s="20">
        <v>46</v>
      </c>
      <c r="M51" s="3" t="s">
        <v>17</v>
      </c>
      <c r="N51" s="20" t="str" cm="1">
        <f t="array" ref="N51">_xlfn.IFS(tbl_Clean[[#This Row],[Age]]&lt;=30,"25-30",tbl_Clean[[#This Row],[Age]]&lt;=40,"31-40",tbl_Clean[[#This Row],[Age]]&lt;=50,"41-50",tbl_Clean[[#This Row],[Age]]&lt;=60,"51-60",TRUE,"61+")</f>
        <v>41-50</v>
      </c>
      <c r="O51" s="20">
        <f>_xlfn.XMATCH(tbl_Clean[[#This Row],[Age Band]],{"25-30","31-40","41-50","51-60","61+"})</f>
        <v>3</v>
      </c>
      <c r="P51" s="20" t="str" cm="1">
        <f t="array" ref="P51">_xlfn.IFS(tbl_Clean[[#This Row],[Income]]&lt;=30000,"$10k-30k",tbl_Clean[[#This Row],[Income]]&lt;=60000,"$40k-60k",tbl_Clean[[#This Row],[Income]]&lt;=90000,"$70k-90k",TRUE,"$100k+")</f>
        <v>$40k-60k</v>
      </c>
      <c r="Q51" s="20">
        <f>_xlfn.XMATCH(tbl_Clean[[#This Row],[Income Band]],{"$10k-30k","$40k-60k","$70k-90k","$100k+"})</f>
        <v>2</v>
      </c>
      <c r="R51" s="20" t="str">
        <f>IF(tbl_Clean[[#This Row],[Cars]]&lt;=1,"0-1 Cars","2+ Cars")</f>
        <v>0-1 Cars</v>
      </c>
      <c r="S51" s="20">
        <f>_xlfn.XMATCH(tbl_Clean[[#This Row],[Commute Distance]],{"0-1 Miles","1-2 Miles","2-5 Miles","5-10 Miles","10+ Miles"})</f>
        <v>4</v>
      </c>
      <c r="T51" s="20">
        <f>_xlfn.XMATCH(tbl_Clean[[#This Row],[Education]],{"Partial High School","High School","Partial College","Bachelors","Graduate Degree"})</f>
        <v>3</v>
      </c>
      <c r="U51" s="20">
        <f>IF(tbl_Clean[[#This Row],[Purchased Bike]]="Yes",1,0)</f>
        <v>1</v>
      </c>
    </row>
    <row r="52" spans="1:21" x14ac:dyDescent="0.25">
      <c r="A52" s="20">
        <v>29097</v>
      </c>
      <c r="B52" s="3" t="s">
        <v>114</v>
      </c>
      <c r="C52" s="3" t="s">
        <v>112</v>
      </c>
      <c r="D52" s="19">
        <v>40000</v>
      </c>
      <c r="E52" s="20">
        <v>2</v>
      </c>
      <c r="F52" s="3" t="s">
        <v>21</v>
      </c>
      <c r="G52" s="3" t="s">
        <v>16</v>
      </c>
      <c r="H52" s="3" t="s">
        <v>17</v>
      </c>
      <c r="I52" s="20">
        <v>2</v>
      </c>
      <c r="J52" s="3" t="s">
        <v>26</v>
      </c>
      <c r="K52" s="3" t="s">
        <v>27</v>
      </c>
      <c r="L52" s="20">
        <v>52</v>
      </c>
      <c r="M52" s="3" t="s">
        <v>17</v>
      </c>
      <c r="N52" s="20" t="str" cm="1">
        <f t="array" ref="N52">_xlfn.IFS(tbl_Clean[[#This Row],[Age]]&lt;=30,"25-30",tbl_Clean[[#This Row],[Age]]&lt;=40,"31-40",tbl_Clean[[#This Row],[Age]]&lt;=50,"41-50",tbl_Clean[[#This Row],[Age]]&lt;=60,"51-60",TRUE,"61+")</f>
        <v>51-60</v>
      </c>
      <c r="O52" s="20">
        <f>_xlfn.XMATCH(tbl_Clean[[#This Row],[Age Band]],{"25-30","31-40","41-50","51-60","61+"})</f>
        <v>4</v>
      </c>
      <c r="P52" s="20" t="str" cm="1">
        <f t="array" ref="P52">_xlfn.IFS(tbl_Clean[[#This Row],[Income]]&lt;=30000,"$10k-30k",tbl_Clean[[#This Row],[Income]]&lt;=60000,"$40k-60k",tbl_Clean[[#This Row],[Income]]&lt;=90000,"$70k-90k",TRUE,"$100k+")</f>
        <v>$40k-60k</v>
      </c>
      <c r="Q52" s="20">
        <f>_xlfn.XMATCH(tbl_Clean[[#This Row],[Income Band]],{"$10k-30k","$40k-60k","$70k-90k","$100k+"})</f>
        <v>2</v>
      </c>
      <c r="R52" s="20" t="str">
        <f>IF(tbl_Clean[[#This Row],[Cars]]&lt;=1,"0-1 Cars","2+ Cars")</f>
        <v>2+ Cars</v>
      </c>
      <c r="S52" s="20">
        <f>_xlfn.XMATCH(tbl_Clean[[#This Row],[Commute Distance]],{"0-1 Miles","1-2 Miles","2-5 Miles","5-10 Miles","10+ Miles"})</f>
        <v>4</v>
      </c>
      <c r="T52" s="20">
        <f>_xlfn.XMATCH(tbl_Clean[[#This Row],[Education]],{"Partial High School","High School","Partial College","Bachelors","Graduate Degree"})</f>
        <v>3</v>
      </c>
      <c r="U52" s="20">
        <f>IF(tbl_Clean[[#This Row],[Purchased Bike]]="Yes",1,0)</f>
        <v>1</v>
      </c>
    </row>
    <row r="53" spans="1:21" x14ac:dyDescent="0.25">
      <c r="A53" s="20">
        <v>19487</v>
      </c>
      <c r="B53" s="3" t="s">
        <v>111</v>
      </c>
      <c r="C53" s="3" t="s">
        <v>113</v>
      </c>
      <c r="D53" s="19">
        <v>30000</v>
      </c>
      <c r="E53" s="20">
        <v>2</v>
      </c>
      <c r="F53" s="3" t="s">
        <v>21</v>
      </c>
      <c r="G53" s="3" t="s">
        <v>22</v>
      </c>
      <c r="H53" s="3" t="s">
        <v>20</v>
      </c>
      <c r="I53" s="20">
        <v>2</v>
      </c>
      <c r="J53" s="3" t="s">
        <v>18</v>
      </c>
      <c r="K53" s="3" t="s">
        <v>19</v>
      </c>
      <c r="L53" s="20">
        <v>42</v>
      </c>
      <c r="M53" s="3" t="s">
        <v>20</v>
      </c>
      <c r="N53" s="20" t="str" cm="1">
        <f t="array" ref="N53">_xlfn.IFS(tbl_Clean[[#This Row],[Age]]&lt;=30,"25-30",tbl_Clean[[#This Row],[Age]]&lt;=40,"31-40",tbl_Clean[[#This Row],[Age]]&lt;=50,"41-50",tbl_Clean[[#This Row],[Age]]&lt;=60,"51-60",TRUE,"61+")</f>
        <v>41-50</v>
      </c>
      <c r="O53" s="20">
        <f>_xlfn.XMATCH(tbl_Clean[[#This Row],[Age Band]],{"25-30","31-40","41-50","51-60","61+"})</f>
        <v>3</v>
      </c>
      <c r="P53" s="20" t="str" cm="1">
        <f t="array" ref="P53">_xlfn.IFS(tbl_Clean[[#This Row],[Income]]&lt;=30000,"$10k-30k",tbl_Clean[[#This Row],[Income]]&lt;=60000,"$40k-60k",tbl_Clean[[#This Row],[Income]]&lt;=90000,"$70k-90k",TRUE,"$100k+")</f>
        <v>$10k-30k</v>
      </c>
      <c r="Q53" s="20">
        <f>_xlfn.XMATCH(tbl_Clean[[#This Row],[Income Band]],{"$10k-30k","$40k-60k","$70k-90k","$100k+"})</f>
        <v>1</v>
      </c>
      <c r="R53" s="20" t="str">
        <f>IF(tbl_Clean[[#This Row],[Cars]]&lt;=1,"0-1 Cars","2+ Cars")</f>
        <v>2+ Cars</v>
      </c>
      <c r="S53" s="20">
        <f>_xlfn.XMATCH(tbl_Clean[[#This Row],[Commute Distance]],{"0-1 Miles","1-2 Miles","2-5 Miles","5-10 Miles","10+ Miles"})</f>
        <v>1</v>
      </c>
      <c r="T53" s="20">
        <f>_xlfn.XMATCH(tbl_Clean[[#This Row],[Education]],{"Partial High School","High School","Partial College","Bachelors","Graduate Degree"})</f>
        <v>3</v>
      </c>
      <c r="U53" s="20">
        <f>IF(tbl_Clean[[#This Row],[Purchased Bike]]="Yes",1,0)</f>
        <v>0</v>
      </c>
    </row>
    <row r="54" spans="1:21" x14ac:dyDescent="0.25">
      <c r="A54" s="20">
        <v>14939</v>
      </c>
      <c r="B54" s="3" t="s">
        <v>114</v>
      </c>
      <c r="C54" s="3" t="s">
        <v>113</v>
      </c>
      <c r="D54" s="19">
        <v>40000</v>
      </c>
      <c r="E54" s="20">
        <v>0</v>
      </c>
      <c r="F54" s="3" t="s">
        <v>15</v>
      </c>
      <c r="G54" s="3" t="s">
        <v>22</v>
      </c>
      <c r="H54" s="3" t="s">
        <v>17</v>
      </c>
      <c r="I54" s="20">
        <v>0</v>
      </c>
      <c r="J54" s="3" t="s">
        <v>18</v>
      </c>
      <c r="K54" s="3" t="s">
        <v>19</v>
      </c>
      <c r="L54" s="20">
        <v>39</v>
      </c>
      <c r="M54" s="3" t="s">
        <v>17</v>
      </c>
      <c r="N54" s="20" t="str" cm="1">
        <f t="array" ref="N54">_xlfn.IFS(tbl_Clean[[#This Row],[Age]]&lt;=30,"25-30",tbl_Clean[[#This Row],[Age]]&lt;=40,"31-40",tbl_Clean[[#This Row],[Age]]&lt;=50,"41-50",tbl_Clean[[#This Row],[Age]]&lt;=60,"51-60",TRUE,"61+")</f>
        <v>31-40</v>
      </c>
      <c r="O54" s="20">
        <f>_xlfn.XMATCH(tbl_Clean[[#This Row],[Age Band]],{"25-30","31-40","41-50","51-60","61+"})</f>
        <v>2</v>
      </c>
      <c r="P54" s="20" t="str" cm="1">
        <f t="array" ref="P54">_xlfn.IFS(tbl_Clean[[#This Row],[Income]]&lt;=30000,"$10k-30k",tbl_Clean[[#This Row],[Income]]&lt;=60000,"$40k-60k",tbl_Clean[[#This Row],[Income]]&lt;=90000,"$70k-90k",TRUE,"$100k+")</f>
        <v>$40k-60k</v>
      </c>
      <c r="Q54" s="20">
        <f>_xlfn.XMATCH(tbl_Clean[[#This Row],[Income Band]],{"$10k-30k","$40k-60k","$70k-90k","$100k+"})</f>
        <v>2</v>
      </c>
      <c r="R54" s="20" t="str">
        <f>IF(tbl_Clean[[#This Row],[Cars]]&lt;=1,"0-1 Cars","2+ Cars")</f>
        <v>0-1 Cars</v>
      </c>
      <c r="S54" s="20">
        <f>_xlfn.XMATCH(tbl_Clean[[#This Row],[Commute Distance]],{"0-1 Miles","1-2 Miles","2-5 Miles","5-10 Miles","10+ Miles"})</f>
        <v>1</v>
      </c>
      <c r="T54" s="20">
        <f>_xlfn.XMATCH(tbl_Clean[[#This Row],[Education]],{"Partial High School","High School","Partial College","Bachelors","Graduate Degree"})</f>
        <v>4</v>
      </c>
      <c r="U54" s="20">
        <f>IF(tbl_Clean[[#This Row],[Purchased Bike]]="Yes",1,0)</f>
        <v>1</v>
      </c>
    </row>
    <row r="55" spans="1:21" x14ac:dyDescent="0.25">
      <c r="A55" s="20">
        <v>13826</v>
      </c>
      <c r="B55" s="3" t="s">
        <v>114</v>
      </c>
      <c r="C55" s="3" t="s">
        <v>112</v>
      </c>
      <c r="D55" s="19">
        <v>30000</v>
      </c>
      <c r="E55" s="20">
        <v>0</v>
      </c>
      <c r="F55" s="3" t="s">
        <v>21</v>
      </c>
      <c r="G55" s="3" t="s">
        <v>22</v>
      </c>
      <c r="H55" s="3" t="s">
        <v>20</v>
      </c>
      <c r="I55" s="20">
        <v>1</v>
      </c>
      <c r="J55" s="3" t="s">
        <v>18</v>
      </c>
      <c r="K55" s="3" t="s">
        <v>19</v>
      </c>
      <c r="L55" s="20">
        <v>28</v>
      </c>
      <c r="M55" s="3" t="s">
        <v>20</v>
      </c>
      <c r="N55" s="20" t="str" cm="1">
        <f t="array" ref="N55">_xlfn.IFS(tbl_Clean[[#This Row],[Age]]&lt;=30,"25-30",tbl_Clean[[#This Row],[Age]]&lt;=40,"31-40",tbl_Clean[[#This Row],[Age]]&lt;=50,"41-50",tbl_Clean[[#This Row],[Age]]&lt;=60,"51-60",TRUE,"61+")</f>
        <v>25-30</v>
      </c>
      <c r="O55" s="20">
        <f>_xlfn.XMATCH(tbl_Clean[[#This Row],[Age Band]],{"25-30","31-40","41-50","51-60","61+"})</f>
        <v>1</v>
      </c>
      <c r="P55" s="20" t="str" cm="1">
        <f t="array" ref="P55">_xlfn.IFS(tbl_Clean[[#This Row],[Income]]&lt;=30000,"$10k-30k",tbl_Clean[[#This Row],[Income]]&lt;=60000,"$40k-60k",tbl_Clean[[#This Row],[Income]]&lt;=90000,"$70k-90k",TRUE,"$100k+")</f>
        <v>$10k-30k</v>
      </c>
      <c r="Q55" s="20">
        <f>_xlfn.XMATCH(tbl_Clean[[#This Row],[Income Band]],{"$10k-30k","$40k-60k","$70k-90k","$100k+"})</f>
        <v>1</v>
      </c>
      <c r="R55" s="20" t="str">
        <f>IF(tbl_Clean[[#This Row],[Cars]]&lt;=1,"0-1 Cars","2+ Cars")</f>
        <v>0-1 Cars</v>
      </c>
      <c r="S55" s="20">
        <f>_xlfn.XMATCH(tbl_Clean[[#This Row],[Commute Distance]],{"0-1 Miles","1-2 Miles","2-5 Miles","5-10 Miles","10+ Miles"})</f>
        <v>1</v>
      </c>
      <c r="T55" s="20">
        <f>_xlfn.XMATCH(tbl_Clean[[#This Row],[Education]],{"Partial High School","High School","Partial College","Bachelors","Graduate Degree"})</f>
        <v>3</v>
      </c>
      <c r="U55" s="20">
        <f>IF(tbl_Clean[[#This Row],[Purchased Bike]]="Yes",1,0)</f>
        <v>0</v>
      </c>
    </row>
    <row r="56" spans="1:21" x14ac:dyDescent="0.25">
      <c r="A56" s="20">
        <v>20619</v>
      </c>
      <c r="B56" s="3" t="s">
        <v>114</v>
      </c>
      <c r="C56" s="3" t="s">
        <v>113</v>
      </c>
      <c r="D56" s="19">
        <v>80000</v>
      </c>
      <c r="E56" s="20">
        <v>0</v>
      </c>
      <c r="F56" s="3" t="s">
        <v>15</v>
      </c>
      <c r="G56" s="3" t="s">
        <v>23</v>
      </c>
      <c r="H56" s="3" t="s">
        <v>20</v>
      </c>
      <c r="I56" s="20">
        <v>4</v>
      </c>
      <c r="J56" s="3" t="s">
        <v>33</v>
      </c>
      <c r="K56" s="3" t="s">
        <v>27</v>
      </c>
      <c r="L56" s="20">
        <v>35</v>
      </c>
      <c r="M56" s="3" t="s">
        <v>20</v>
      </c>
      <c r="N56" s="20" t="str" cm="1">
        <f t="array" ref="N56">_xlfn.IFS(tbl_Clean[[#This Row],[Age]]&lt;=30,"25-30",tbl_Clean[[#This Row],[Age]]&lt;=40,"31-40",tbl_Clean[[#This Row],[Age]]&lt;=50,"41-50",tbl_Clean[[#This Row],[Age]]&lt;=60,"51-60",TRUE,"61+")</f>
        <v>31-40</v>
      </c>
      <c r="O56" s="20">
        <f>_xlfn.XMATCH(tbl_Clean[[#This Row],[Age Band]],{"25-30","31-40","41-50","51-60","61+"})</f>
        <v>2</v>
      </c>
      <c r="P56" s="20" t="str" cm="1">
        <f t="array" ref="P56">_xlfn.IFS(tbl_Clean[[#This Row],[Income]]&lt;=30000,"$10k-30k",tbl_Clean[[#This Row],[Income]]&lt;=60000,"$40k-60k",tbl_Clean[[#This Row],[Income]]&lt;=90000,"$70k-90k",TRUE,"$100k+")</f>
        <v>$70k-90k</v>
      </c>
      <c r="Q56" s="20">
        <f>_xlfn.XMATCH(tbl_Clean[[#This Row],[Income Band]],{"$10k-30k","$40k-60k","$70k-90k","$100k+"})</f>
        <v>3</v>
      </c>
      <c r="R56" s="20" t="str">
        <f>IF(tbl_Clean[[#This Row],[Cars]]&lt;=1,"0-1 Cars","2+ Cars")</f>
        <v>2+ Cars</v>
      </c>
      <c r="S56" s="20">
        <f>_xlfn.XMATCH(tbl_Clean[[#This Row],[Commute Distance]],{"0-1 Miles","1-2 Miles","2-5 Miles","5-10 Miles","10+ Miles"})</f>
        <v>5</v>
      </c>
      <c r="T56" s="20">
        <f>_xlfn.XMATCH(tbl_Clean[[#This Row],[Education]],{"Partial High School","High School","Partial College","Bachelors","Graduate Degree"})</f>
        <v>4</v>
      </c>
      <c r="U56" s="20">
        <f>IF(tbl_Clean[[#This Row],[Purchased Bike]]="Yes",1,0)</f>
        <v>0</v>
      </c>
    </row>
    <row r="57" spans="1:21" x14ac:dyDescent="0.25">
      <c r="A57" s="20">
        <v>12558</v>
      </c>
      <c r="B57" s="3" t="s">
        <v>111</v>
      </c>
      <c r="C57" s="3" t="s">
        <v>112</v>
      </c>
      <c r="D57" s="19">
        <v>20000</v>
      </c>
      <c r="E57" s="20">
        <v>1</v>
      </c>
      <c r="F57" s="3" t="s">
        <v>15</v>
      </c>
      <c r="G57" s="3" t="s">
        <v>22</v>
      </c>
      <c r="H57" s="3" t="s">
        <v>17</v>
      </c>
      <c r="I57" s="20">
        <v>0</v>
      </c>
      <c r="J57" s="3" t="s">
        <v>18</v>
      </c>
      <c r="K57" s="3" t="s">
        <v>19</v>
      </c>
      <c r="L57" s="20">
        <v>65</v>
      </c>
      <c r="M57" s="3" t="s">
        <v>20</v>
      </c>
      <c r="N57" s="20" t="str" cm="1">
        <f t="array" ref="N57">_xlfn.IFS(tbl_Clean[[#This Row],[Age]]&lt;=30,"25-30",tbl_Clean[[#This Row],[Age]]&lt;=40,"31-40",tbl_Clean[[#This Row],[Age]]&lt;=50,"41-50",tbl_Clean[[#This Row],[Age]]&lt;=60,"51-60",TRUE,"61+")</f>
        <v>61+</v>
      </c>
      <c r="O57" s="20">
        <f>_xlfn.XMATCH(tbl_Clean[[#This Row],[Age Band]],{"25-30","31-40","41-50","51-60","61+"})</f>
        <v>5</v>
      </c>
      <c r="P57" s="20" t="str" cm="1">
        <f t="array" ref="P57">_xlfn.IFS(tbl_Clean[[#This Row],[Income]]&lt;=30000,"$10k-30k",tbl_Clean[[#This Row],[Income]]&lt;=60000,"$40k-60k",tbl_Clean[[#This Row],[Income]]&lt;=90000,"$70k-90k",TRUE,"$100k+")</f>
        <v>$10k-30k</v>
      </c>
      <c r="Q57" s="20">
        <f>_xlfn.XMATCH(tbl_Clean[[#This Row],[Income Band]],{"$10k-30k","$40k-60k","$70k-90k","$100k+"})</f>
        <v>1</v>
      </c>
      <c r="R57" s="20" t="str">
        <f>IF(tbl_Clean[[#This Row],[Cars]]&lt;=1,"0-1 Cars","2+ Cars")</f>
        <v>0-1 Cars</v>
      </c>
      <c r="S57" s="20">
        <f>_xlfn.XMATCH(tbl_Clean[[#This Row],[Commute Distance]],{"0-1 Miles","1-2 Miles","2-5 Miles","5-10 Miles","10+ Miles"})</f>
        <v>1</v>
      </c>
      <c r="T57" s="20">
        <f>_xlfn.XMATCH(tbl_Clean[[#This Row],[Education]],{"Partial High School","High School","Partial College","Bachelors","Graduate Degree"})</f>
        <v>4</v>
      </c>
      <c r="U57" s="20">
        <f>IF(tbl_Clean[[#This Row],[Purchased Bike]]="Yes",1,0)</f>
        <v>0</v>
      </c>
    </row>
    <row r="58" spans="1:21" x14ac:dyDescent="0.25">
      <c r="A58" s="20">
        <v>24871</v>
      </c>
      <c r="B58" s="3" t="s">
        <v>114</v>
      </c>
      <c r="C58" s="3" t="s">
        <v>112</v>
      </c>
      <c r="D58" s="19">
        <v>90000</v>
      </c>
      <c r="E58" s="20">
        <v>4</v>
      </c>
      <c r="F58" s="3" t="s">
        <v>30</v>
      </c>
      <c r="G58" s="3" t="s">
        <v>31</v>
      </c>
      <c r="H58" s="3" t="s">
        <v>20</v>
      </c>
      <c r="I58" s="20">
        <v>3</v>
      </c>
      <c r="J58" s="3" t="s">
        <v>26</v>
      </c>
      <c r="K58" s="3" t="s">
        <v>19</v>
      </c>
      <c r="L58" s="20">
        <v>56</v>
      </c>
      <c r="M58" s="3" t="s">
        <v>20</v>
      </c>
      <c r="N58" s="20" t="str" cm="1">
        <f t="array" ref="N58">_xlfn.IFS(tbl_Clean[[#This Row],[Age]]&lt;=30,"25-30",tbl_Clean[[#This Row],[Age]]&lt;=40,"31-40",tbl_Clean[[#This Row],[Age]]&lt;=50,"41-50",tbl_Clean[[#This Row],[Age]]&lt;=60,"51-60",TRUE,"61+")</f>
        <v>51-60</v>
      </c>
      <c r="O58" s="20">
        <f>_xlfn.XMATCH(tbl_Clean[[#This Row],[Age Band]],{"25-30","31-40","41-50","51-60","61+"})</f>
        <v>4</v>
      </c>
      <c r="P58" s="20" t="str" cm="1">
        <f t="array" ref="P58">_xlfn.IFS(tbl_Clean[[#This Row],[Income]]&lt;=30000,"$10k-30k",tbl_Clean[[#This Row],[Income]]&lt;=60000,"$40k-60k",tbl_Clean[[#This Row],[Income]]&lt;=90000,"$70k-90k",TRUE,"$100k+")</f>
        <v>$70k-90k</v>
      </c>
      <c r="Q58" s="20">
        <f>_xlfn.XMATCH(tbl_Clean[[#This Row],[Income Band]],{"$10k-30k","$40k-60k","$70k-90k","$100k+"})</f>
        <v>3</v>
      </c>
      <c r="R58" s="20" t="str">
        <f>IF(tbl_Clean[[#This Row],[Cars]]&lt;=1,"0-1 Cars","2+ Cars")</f>
        <v>2+ Cars</v>
      </c>
      <c r="S58" s="20">
        <f>_xlfn.XMATCH(tbl_Clean[[#This Row],[Commute Distance]],{"0-1 Miles","1-2 Miles","2-5 Miles","5-10 Miles","10+ Miles"})</f>
        <v>4</v>
      </c>
      <c r="T58" s="20">
        <f>_xlfn.XMATCH(tbl_Clean[[#This Row],[Education]],{"Partial High School","High School","Partial College","Bachelors","Graduate Degree"})</f>
        <v>2</v>
      </c>
      <c r="U58" s="20">
        <f>IF(tbl_Clean[[#This Row],[Purchased Bike]]="Yes",1,0)</f>
        <v>0</v>
      </c>
    </row>
    <row r="59" spans="1:21" x14ac:dyDescent="0.25">
      <c r="A59" s="20">
        <v>17319</v>
      </c>
      <c r="B59" s="3" t="s">
        <v>114</v>
      </c>
      <c r="C59" s="3" t="s">
        <v>112</v>
      </c>
      <c r="D59" s="19">
        <v>70000</v>
      </c>
      <c r="E59" s="20">
        <v>0</v>
      </c>
      <c r="F59" s="3" t="s">
        <v>15</v>
      </c>
      <c r="G59" s="3" t="s">
        <v>23</v>
      </c>
      <c r="H59" s="3" t="s">
        <v>20</v>
      </c>
      <c r="I59" s="20">
        <v>1</v>
      </c>
      <c r="J59" s="3" t="s">
        <v>26</v>
      </c>
      <c r="K59" s="3" t="s">
        <v>27</v>
      </c>
      <c r="L59" s="20">
        <v>42</v>
      </c>
      <c r="M59" s="3" t="s">
        <v>20</v>
      </c>
      <c r="N59" s="20" t="str" cm="1">
        <f t="array" ref="N59">_xlfn.IFS(tbl_Clean[[#This Row],[Age]]&lt;=30,"25-30",tbl_Clean[[#This Row],[Age]]&lt;=40,"31-40",tbl_Clean[[#This Row],[Age]]&lt;=50,"41-50",tbl_Clean[[#This Row],[Age]]&lt;=60,"51-60",TRUE,"61+")</f>
        <v>41-50</v>
      </c>
      <c r="O59" s="20">
        <f>_xlfn.XMATCH(tbl_Clean[[#This Row],[Age Band]],{"25-30","31-40","41-50","51-60","61+"})</f>
        <v>3</v>
      </c>
      <c r="P59" s="20" t="str" cm="1">
        <f t="array" ref="P59">_xlfn.IFS(tbl_Clean[[#This Row],[Income]]&lt;=30000,"$10k-30k",tbl_Clean[[#This Row],[Income]]&lt;=60000,"$40k-60k",tbl_Clean[[#This Row],[Income]]&lt;=90000,"$70k-90k",TRUE,"$100k+")</f>
        <v>$70k-90k</v>
      </c>
      <c r="Q59" s="20">
        <f>_xlfn.XMATCH(tbl_Clean[[#This Row],[Income Band]],{"$10k-30k","$40k-60k","$70k-90k","$100k+"})</f>
        <v>3</v>
      </c>
      <c r="R59" s="20" t="str">
        <f>IF(tbl_Clean[[#This Row],[Cars]]&lt;=1,"0-1 Cars","2+ Cars")</f>
        <v>0-1 Cars</v>
      </c>
      <c r="S59" s="20">
        <f>_xlfn.XMATCH(tbl_Clean[[#This Row],[Commute Distance]],{"0-1 Miles","1-2 Miles","2-5 Miles","5-10 Miles","10+ Miles"})</f>
        <v>4</v>
      </c>
      <c r="T59" s="20">
        <f>_xlfn.XMATCH(tbl_Clean[[#This Row],[Education]],{"Partial High School","High School","Partial College","Bachelors","Graduate Degree"})</f>
        <v>4</v>
      </c>
      <c r="U59" s="20">
        <f>IF(tbl_Clean[[#This Row],[Purchased Bike]]="Yes",1,0)</f>
        <v>0</v>
      </c>
    </row>
    <row r="60" spans="1:21" x14ac:dyDescent="0.25">
      <c r="A60" s="20">
        <v>28906</v>
      </c>
      <c r="B60" s="3" t="s">
        <v>111</v>
      </c>
      <c r="C60" s="3" t="s">
        <v>113</v>
      </c>
      <c r="D60" s="19">
        <v>80000</v>
      </c>
      <c r="E60" s="20">
        <v>4</v>
      </c>
      <c r="F60" s="3" t="s">
        <v>30</v>
      </c>
      <c r="G60" s="3" t="s">
        <v>23</v>
      </c>
      <c r="H60" s="3" t="s">
        <v>17</v>
      </c>
      <c r="I60" s="20">
        <v>2</v>
      </c>
      <c r="J60" s="3" t="s">
        <v>33</v>
      </c>
      <c r="K60" s="3" t="s">
        <v>19</v>
      </c>
      <c r="L60" s="20">
        <v>54</v>
      </c>
      <c r="M60" s="3" t="s">
        <v>20</v>
      </c>
      <c r="N60" s="20" t="str" cm="1">
        <f t="array" ref="N60">_xlfn.IFS(tbl_Clean[[#This Row],[Age]]&lt;=30,"25-30",tbl_Clean[[#This Row],[Age]]&lt;=40,"31-40",tbl_Clean[[#This Row],[Age]]&lt;=50,"41-50",tbl_Clean[[#This Row],[Age]]&lt;=60,"51-60",TRUE,"61+")</f>
        <v>51-60</v>
      </c>
      <c r="O60" s="20">
        <f>_xlfn.XMATCH(tbl_Clean[[#This Row],[Age Band]],{"25-30","31-40","41-50","51-60","61+"})</f>
        <v>4</v>
      </c>
      <c r="P60" s="20" t="str" cm="1">
        <f t="array" ref="P60">_xlfn.IFS(tbl_Clean[[#This Row],[Income]]&lt;=30000,"$10k-30k",tbl_Clean[[#This Row],[Income]]&lt;=60000,"$40k-60k",tbl_Clean[[#This Row],[Income]]&lt;=90000,"$70k-90k",TRUE,"$100k+")</f>
        <v>$70k-90k</v>
      </c>
      <c r="Q60" s="20">
        <f>_xlfn.XMATCH(tbl_Clean[[#This Row],[Income Band]],{"$10k-30k","$40k-60k","$70k-90k","$100k+"})</f>
        <v>3</v>
      </c>
      <c r="R60" s="20" t="str">
        <f>IF(tbl_Clean[[#This Row],[Cars]]&lt;=1,"0-1 Cars","2+ Cars")</f>
        <v>2+ Cars</v>
      </c>
      <c r="S60" s="20">
        <f>_xlfn.XMATCH(tbl_Clean[[#This Row],[Commute Distance]],{"0-1 Miles","1-2 Miles","2-5 Miles","5-10 Miles","10+ Miles"})</f>
        <v>5</v>
      </c>
      <c r="T60" s="20">
        <f>_xlfn.XMATCH(tbl_Clean[[#This Row],[Education]],{"Partial High School","High School","Partial College","Bachelors","Graduate Degree"})</f>
        <v>2</v>
      </c>
      <c r="U60" s="20">
        <f>IF(tbl_Clean[[#This Row],[Purchased Bike]]="Yes",1,0)</f>
        <v>0</v>
      </c>
    </row>
    <row r="61" spans="1:21" x14ac:dyDescent="0.25">
      <c r="A61" s="20">
        <v>12808</v>
      </c>
      <c r="B61" s="3" t="s">
        <v>111</v>
      </c>
      <c r="C61" s="3" t="s">
        <v>113</v>
      </c>
      <c r="D61" s="19">
        <v>40000</v>
      </c>
      <c r="E61" s="20">
        <v>0</v>
      </c>
      <c r="F61" s="3" t="s">
        <v>15</v>
      </c>
      <c r="G61" s="3" t="s">
        <v>22</v>
      </c>
      <c r="H61" s="3" t="s">
        <v>17</v>
      </c>
      <c r="I61" s="20">
        <v>0</v>
      </c>
      <c r="J61" s="3" t="s">
        <v>18</v>
      </c>
      <c r="K61" s="3" t="s">
        <v>19</v>
      </c>
      <c r="L61" s="20">
        <v>38</v>
      </c>
      <c r="M61" s="3" t="s">
        <v>17</v>
      </c>
      <c r="N61" s="20" t="str" cm="1">
        <f t="array" ref="N61">_xlfn.IFS(tbl_Clean[[#This Row],[Age]]&lt;=30,"25-30",tbl_Clean[[#This Row],[Age]]&lt;=40,"31-40",tbl_Clean[[#This Row],[Age]]&lt;=50,"41-50",tbl_Clean[[#This Row],[Age]]&lt;=60,"51-60",TRUE,"61+")</f>
        <v>31-40</v>
      </c>
      <c r="O61" s="20">
        <f>_xlfn.XMATCH(tbl_Clean[[#This Row],[Age Band]],{"25-30","31-40","41-50","51-60","61+"})</f>
        <v>2</v>
      </c>
      <c r="P61" s="20" t="str" cm="1">
        <f t="array" ref="P61">_xlfn.IFS(tbl_Clean[[#This Row],[Income]]&lt;=30000,"$10k-30k",tbl_Clean[[#This Row],[Income]]&lt;=60000,"$40k-60k",tbl_Clean[[#This Row],[Income]]&lt;=90000,"$70k-90k",TRUE,"$100k+")</f>
        <v>$40k-60k</v>
      </c>
      <c r="Q61" s="20">
        <f>_xlfn.XMATCH(tbl_Clean[[#This Row],[Income Band]],{"$10k-30k","$40k-60k","$70k-90k","$100k+"})</f>
        <v>2</v>
      </c>
      <c r="R61" s="20" t="str">
        <f>IF(tbl_Clean[[#This Row],[Cars]]&lt;=1,"0-1 Cars","2+ Cars")</f>
        <v>0-1 Cars</v>
      </c>
      <c r="S61" s="20">
        <f>_xlfn.XMATCH(tbl_Clean[[#This Row],[Commute Distance]],{"0-1 Miles","1-2 Miles","2-5 Miles","5-10 Miles","10+ Miles"})</f>
        <v>1</v>
      </c>
      <c r="T61" s="20">
        <f>_xlfn.XMATCH(tbl_Clean[[#This Row],[Education]],{"Partial High School","High School","Partial College","Bachelors","Graduate Degree"})</f>
        <v>4</v>
      </c>
      <c r="U61" s="20">
        <f>IF(tbl_Clean[[#This Row],[Purchased Bike]]="Yes",1,0)</f>
        <v>1</v>
      </c>
    </row>
    <row r="62" spans="1:21" x14ac:dyDescent="0.25">
      <c r="A62" s="20">
        <v>20567</v>
      </c>
      <c r="B62" s="3" t="s">
        <v>111</v>
      </c>
      <c r="C62" s="3" t="s">
        <v>113</v>
      </c>
      <c r="D62" s="19">
        <v>130000</v>
      </c>
      <c r="E62" s="20">
        <v>4</v>
      </c>
      <c r="F62" s="3" t="s">
        <v>21</v>
      </c>
      <c r="G62" s="3" t="s">
        <v>23</v>
      </c>
      <c r="H62" s="3" t="s">
        <v>20</v>
      </c>
      <c r="I62" s="20">
        <v>4</v>
      </c>
      <c r="J62" s="3" t="s">
        <v>26</v>
      </c>
      <c r="K62" s="3" t="s">
        <v>19</v>
      </c>
      <c r="L62" s="20">
        <v>61</v>
      </c>
      <c r="M62" s="3" t="s">
        <v>17</v>
      </c>
      <c r="N62" s="20" t="str" cm="1">
        <f t="array" ref="N62">_xlfn.IFS(tbl_Clean[[#This Row],[Age]]&lt;=30,"25-30",tbl_Clean[[#This Row],[Age]]&lt;=40,"31-40",tbl_Clean[[#This Row],[Age]]&lt;=50,"41-50",tbl_Clean[[#This Row],[Age]]&lt;=60,"51-60",TRUE,"61+")</f>
        <v>61+</v>
      </c>
      <c r="O62" s="20">
        <f>_xlfn.XMATCH(tbl_Clean[[#This Row],[Age Band]],{"25-30","31-40","41-50","51-60","61+"})</f>
        <v>5</v>
      </c>
      <c r="P62" s="20" t="str" cm="1">
        <f t="array" ref="P62">_xlfn.IFS(tbl_Clean[[#This Row],[Income]]&lt;=30000,"$10k-30k",tbl_Clean[[#This Row],[Income]]&lt;=60000,"$40k-60k",tbl_Clean[[#This Row],[Income]]&lt;=90000,"$70k-90k",TRUE,"$100k+")</f>
        <v>$100k+</v>
      </c>
      <c r="Q62" s="20">
        <f>_xlfn.XMATCH(tbl_Clean[[#This Row],[Income Band]],{"$10k-30k","$40k-60k","$70k-90k","$100k+"})</f>
        <v>4</v>
      </c>
      <c r="R62" s="20" t="str">
        <f>IF(tbl_Clean[[#This Row],[Cars]]&lt;=1,"0-1 Cars","2+ Cars")</f>
        <v>2+ Cars</v>
      </c>
      <c r="S62" s="20">
        <f>_xlfn.XMATCH(tbl_Clean[[#This Row],[Commute Distance]],{"0-1 Miles","1-2 Miles","2-5 Miles","5-10 Miles","10+ Miles"})</f>
        <v>4</v>
      </c>
      <c r="T62" s="20">
        <f>_xlfn.XMATCH(tbl_Clean[[#This Row],[Education]],{"Partial High School","High School","Partial College","Bachelors","Graduate Degree"})</f>
        <v>3</v>
      </c>
      <c r="U62" s="20">
        <f>IF(tbl_Clean[[#This Row],[Purchased Bike]]="Yes",1,0)</f>
        <v>1</v>
      </c>
    </row>
    <row r="63" spans="1:21" x14ac:dyDescent="0.25">
      <c r="A63" s="20">
        <v>25502</v>
      </c>
      <c r="B63" s="3" t="s">
        <v>111</v>
      </c>
      <c r="C63" s="3" t="s">
        <v>112</v>
      </c>
      <c r="D63" s="19">
        <v>40000</v>
      </c>
      <c r="E63" s="20">
        <v>1</v>
      </c>
      <c r="F63" s="3" t="s">
        <v>15</v>
      </c>
      <c r="G63" s="3" t="s">
        <v>16</v>
      </c>
      <c r="H63" s="3" t="s">
        <v>17</v>
      </c>
      <c r="I63" s="20">
        <v>0</v>
      </c>
      <c r="J63" s="3" t="s">
        <v>18</v>
      </c>
      <c r="K63" s="3" t="s">
        <v>19</v>
      </c>
      <c r="L63" s="20">
        <v>43</v>
      </c>
      <c r="M63" s="3" t="s">
        <v>17</v>
      </c>
      <c r="N63" s="20" t="str" cm="1">
        <f t="array" ref="N63">_xlfn.IFS(tbl_Clean[[#This Row],[Age]]&lt;=30,"25-30",tbl_Clean[[#This Row],[Age]]&lt;=40,"31-40",tbl_Clean[[#This Row],[Age]]&lt;=50,"41-50",tbl_Clean[[#This Row],[Age]]&lt;=60,"51-60",TRUE,"61+")</f>
        <v>41-50</v>
      </c>
      <c r="O63" s="20">
        <f>_xlfn.XMATCH(tbl_Clean[[#This Row],[Age Band]],{"25-30","31-40","41-50","51-60","61+"})</f>
        <v>3</v>
      </c>
      <c r="P63" s="20" t="str" cm="1">
        <f t="array" ref="P63">_xlfn.IFS(tbl_Clean[[#This Row],[Income]]&lt;=30000,"$10k-30k",tbl_Clean[[#This Row],[Income]]&lt;=60000,"$40k-60k",tbl_Clean[[#This Row],[Income]]&lt;=90000,"$70k-90k",TRUE,"$100k+")</f>
        <v>$40k-60k</v>
      </c>
      <c r="Q63" s="20">
        <f>_xlfn.XMATCH(tbl_Clean[[#This Row],[Income Band]],{"$10k-30k","$40k-60k","$70k-90k","$100k+"})</f>
        <v>2</v>
      </c>
      <c r="R63" s="20" t="str">
        <f>IF(tbl_Clean[[#This Row],[Cars]]&lt;=1,"0-1 Cars","2+ Cars")</f>
        <v>0-1 Cars</v>
      </c>
      <c r="S63" s="20">
        <f>_xlfn.XMATCH(tbl_Clean[[#This Row],[Commute Distance]],{"0-1 Miles","1-2 Miles","2-5 Miles","5-10 Miles","10+ Miles"})</f>
        <v>1</v>
      </c>
      <c r="T63" s="20">
        <f>_xlfn.XMATCH(tbl_Clean[[#This Row],[Education]],{"Partial High School","High School","Partial College","Bachelors","Graduate Degree"})</f>
        <v>4</v>
      </c>
      <c r="U63" s="20">
        <f>IF(tbl_Clean[[#This Row],[Purchased Bike]]="Yes",1,0)</f>
        <v>1</v>
      </c>
    </row>
    <row r="64" spans="1:21" x14ac:dyDescent="0.25">
      <c r="A64" s="20">
        <v>15580</v>
      </c>
      <c r="B64" s="3" t="s">
        <v>111</v>
      </c>
      <c r="C64" s="3" t="s">
        <v>113</v>
      </c>
      <c r="D64" s="19">
        <v>60000</v>
      </c>
      <c r="E64" s="20">
        <v>2</v>
      </c>
      <c r="F64" s="3" t="s">
        <v>15</v>
      </c>
      <c r="G64" s="3" t="s">
        <v>23</v>
      </c>
      <c r="H64" s="3" t="s">
        <v>17</v>
      </c>
      <c r="I64" s="20">
        <v>1</v>
      </c>
      <c r="J64" s="3" t="s">
        <v>24</v>
      </c>
      <c r="K64" s="3" t="s">
        <v>27</v>
      </c>
      <c r="L64" s="20">
        <v>38</v>
      </c>
      <c r="M64" s="3" t="s">
        <v>17</v>
      </c>
      <c r="N64" s="20" t="str" cm="1">
        <f t="array" ref="N64">_xlfn.IFS(tbl_Clean[[#This Row],[Age]]&lt;=30,"25-30",tbl_Clean[[#This Row],[Age]]&lt;=40,"31-40",tbl_Clean[[#This Row],[Age]]&lt;=50,"41-50",tbl_Clean[[#This Row],[Age]]&lt;=60,"51-60",TRUE,"61+")</f>
        <v>31-40</v>
      </c>
      <c r="O64" s="20">
        <f>_xlfn.XMATCH(tbl_Clean[[#This Row],[Age Band]],{"25-30","31-40","41-50","51-60","61+"})</f>
        <v>2</v>
      </c>
      <c r="P64" s="20" t="str" cm="1">
        <f t="array" ref="P64">_xlfn.IFS(tbl_Clean[[#This Row],[Income]]&lt;=30000,"$10k-30k",tbl_Clean[[#This Row],[Income]]&lt;=60000,"$40k-60k",tbl_Clean[[#This Row],[Income]]&lt;=90000,"$70k-90k",TRUE,"$100k+")</f>
        <v>$40k-60k</v>
      </c>
      <c r="Q64" s="20">
        <f>_xlfn.XMATCH(tbl_Clean[[#This Row],[Income Band]],{"$10k-30k","$40k-60k","$70k-90k","$100k+"})</f>
        <v>2</v>
      </c>
      <c r="R64" s="20" t="str">
        <f>IF(tbl_Clean[[#This Row],[Cars]]&lt;=1,"0-1 Cars","2+ Cars")</f>
        <v>0-1 Cars</v>
      </c>
      <c r="S64" s="20">
        <f>_xlfn.XMATCH(tbl_Clean[[#This Row],[Commute Distance]],{"0-1 Miles","1-2 Miles","2-5 Miles","5-10 Miles","10+ Miles"})</f>
        <v>3</v>
      </c>
      <c r="T64" s="20">
        <f>_xlfn.XMATCH(tbl_Clean[[#This Row],[Education]],{"Partial High School","High School","Partial College","Bachelors","Graduate Degree"})</f>
        <v>4</v>
      </c>
      <c r="U64" s="20">
        <f>IF(tbl_Clean[[#This Row],[Purchased Bike]]="Yes",1,0)</f>
        <v>1</v>
      </c>
    </row>
    <row r="65" spans="1:21" x14ac:dyDescent="0.25">
      <c r="A65" s="20">
        <v>24185</v>
      </c>
      <c r="B65" s="3" t="s">
        <v>114</v>
      </c>
      <c r="C65" s="3" t="s">
        <v>112</v>
      </c>
      <c r="D65" s="19">
        <v>10000</v>
      </c>
      <c r="E65" s="20">
        <v>1</v>
      </c>
      <c r="F65" s="3" t="s">
        <v>30</v>
      </c>
      <c r="G65" s="3" t="s">
        <v>28</v>
      </c>
      <c r="H65" s="3" t="s">
        <v>20</v>
      </c>
      <c r="I65" s="20">
        <v>1</v>
      </c>
      <c r="J65" s="3" t="s">
        <v>29</v>
      </c>
      <c r="K65" s="3" t="s">
        <v>19</v>
      </c>
      <c r="L65" s="20">
        <v>45</v>
      </c>
      <c r="M65" s="3" t="s">
        <v>20</v>
      </c>
      <c r="N65" s="20" t="str" cm="1">
        <f t="array" ref="N65">_xlfn.IFS(tbl_Clean[[#This Row],[Age]]&lt;=30,"25-30",tbl_Clean[[#This Row],[Age]]&lt;=40,"31-40",tbl_Clean[[#This Row],[Age]]&lt;=50,"41-50",tbl_Clean[[#This Row],[Age]]&lt;=60,"51-60",TRUE,"61+")</f>
        <v>41-50</v>
      </c>
      <c r="O65" s="20">
        <f>_xlfn.XMATCH(tbl_Clean[[#This Row],[Age Band]],{"25-30","31-40","41-50","51-60","61+"})</f>
        <v>3</v>
      </c>
      <c r="P65" s="20" t="str" cm="1">
        <f t="array" ref="P65">_xlfn.IFS(tbl_Clean[[#This Row],[Income]]&lt;=30000,"$10k-30k",tbl_Clean[[#This Row],[Income]]&lt;=60000,"$40k-60k",tbl_Clean[[#This Row],[Income]]&lt;=90000,"$70k-90k",TRUE,"$100k+")</f>
        <v>$10k-30k</v>
      </c>
      <c r="Q65" s="20">
        <f>_xlfn.XMATCH(tbl_Clean[[#This Row],[Income Band]],{"$10k-30k","$40k-60k","$70k-90k","$100k+"})</f>
        <v>1</v>
      </c>
      <c r="R65" s="20" t="str">
        <f>IF(tbl_Clean[[#This Row],[Cars]]&lt;=1,"0-1 Cars","2+ Cars")</f>
        <v>0-1 Cars</v>
      </c>
      <c r="S65" s="20">
        <f>_xlfn.XMATCH(tbl_Clean[[#This Row],[Commute Distance]],{"0-1 Miles","1-2 Miles","2-5 Miles","5-10 Miles","10+ Miles"})</f>
        <v>2</v>
      </c>
      <c r="T65" s="20">
        <f>_xlfn.XMATCH(tbl_Clean[[#This Row],[Education]],{"Partial High School","High School","Partial College","Bachelors","Graduate Degree"})</f>
        <v>2</v>
      </c>
      <c r="U65" s="20">
        <f>IF(tbl_Clean[[#This Row],[Purchased Bike]]="Yes",1,0)</f>
        <v>0</v>
      </c>
    </row>
    <row r="66" spans="1:21" x14ac:dyDescent="0.25">
      <c r="A66" s="20">
        <v>19291</v>
      </c>
      <c r="B66" s="3" t="s">
        <v>114</v>
      </c>
      <c r="C66" s="3" t="s">
        <v>112</v>
      </c>
      <c r="D66" s="19">
        <v>10000</v>
      </c>
      <c r="E66" s="20">
        <v>2</v>
      </c>
      <c r="F66" s="3" t="s">
        <v>30</v>
      </c>
      <c r="G66" s="3" t="s">
        <v>28</v>
      </c>
      <c r="H66" s="3" t="s">
        <v>17</v>
      </c>
      <c r="I66" s="20">
        <v>0</v>
      </c>
      <c r="J66" s="3" t="s">
        <v>18</v>
      </c>
      <c r="K66" s="3" t="s">
        <v>19</v>
      </c>
      <c r="L66" s="20">
        <v>35</v>
      </c>
      <c r="M66" s="3" t="s">
        <v>20</v>
      </c>
      <c r="N66" s="20" t="str" cm="1">
        <f t="array" ref="N66">_xlfn.IFS(tbl_Clean[[#This Row],[Age]]&lt;=30,"25-30",tbl_Clean[[#This Row],[Age]]&lt;=40,"31-40",tbl_Clean[[#This Row],[Age]]&lt;=50,"41-50",tbl_Clean[[#This Row],[Age]]&lt;=60,"51-60",TRUE,"61+")</f>
        <v>31-40</v>
      </c>
      <c r="O66" s="20">
        <f>_xlfn.XMATCH(tbl_Clean[[#This Row],[Age Band]],{"25-30","31-40","41-50","51-60","61+"})</f>
        <v>2</v>
      </c>
      <c r="P66" s="20" t="str" cm="1">
        <f t="array" ref="P66">_xlfn.IFS(tbl_Clean[[#This Row],[Income]]&lt;=30000,"$10k-30k",tbl_Clean[[#This Row],[Income]]&lt;=60000,"$40k-60k",tbl_Clean[[#This Row],[Income]]&lt;=90000,"$70k-90k",TRUE,"$100k+")</f>
        <v>$10k-30k</v>
      </c>
      <c r="Q66" s="20">
        <f>_xlfn.XMATCH(tbl_Clean[[#This Row],[Income Band]],{"$10k-30k","$40k-60k","$70k-90k","$100k+"})</f>
        <v>1</v>
      </c>
      <c r="R66" s="20" t="str">
        <f>IF(tbl_Clean[[#This Row],[Cars]]&lt;=1,"0-1 Cars","2+ Cars")</f>
        <v>0-1 Cars</v>
      </c>
      <c r="S66" s="20">
        <f>_xlfn.XMATCH(tbl_Clean[[#This Row],[Commute Distance]],{"0-1 Miles","1-2 Miles","2-5 Miles","5-10 Miles","10+ Miles"})</f>
        <v>1</v>
      </c>
      <c r="T66" s="20">
        <f>_xlfn.XMATCH(tbl_Clean[[#This Row],[Education]],{"Partial High School","High School","Partial College","Bachelors","Graduate Degree"})</f>
        <v>2</v>
      </c>
      <c r="U66" s="20">
        <f>IF(tbl_Clean[[#This Row],[Purchased Bike]]="Yes",1,0)</f>
        <v>0</v>
      </c>
    </row>
    <row r="67" spans="1:21" x14ac:dyDescent="0.25">
      <c r="A67" s="20">
        <v>16713</v>
      </c>
      <c r="B67" s="3" t="s">
        <v>111</v>
      </c>
      <c r="C67" s="3" t="s">
        <v>113</v>
      </c>
      <c r="D67" s="19">
        <v>40000</v>
      </c>
      <c r="E67" s="20">
        <v>2</v>
      </c>
      <c r="F67" s="3" t="s">
        <v>15</v>
      </c>
      <c r="G67" s="3" t="s">
        <v>31</v>
      </c>
      <c r="H67" s="3" t="s">
        <v>17</v>
      </c>
      <c r="I67" s="20">
        <v>1</v>
      </c>
      <c r="J67" s="3" t="s">
        <v>18</v>
      </c>
      <c r="K67" s="3" t="s">
        <v>27</v>
      </c>
      <c r="L67" s="20">
        <v>52</v>
      </c>
      <c r="M67" s="3" t="s">
        <v>17</v>
      </c>
      <c r="N67" s="20" t="str" cm="1">
        <f t="array" ref="N67">_xlfn.IFS(tbl_Clean[[#This Row],[Age]]&lt;=30,"25-30",tbl_Clean[[#This Row],[Age]]&lt;=40,"31-40",tbl_Clean[[#This Row],[Age]]&lt;=50,"41-50",tbl_Clean[[#This Row],[Age]]&lt;=60,"51-60",TRUE,"61+")</f>
        <v>51-60</v>
      </c>
      <c r="O67" s="20">
        <f>_xlfn.XMATCH(tbl_Clean[[#This Row],[Age Band]],{"25-30","31-40","41-50","51-60","61+"})</f>
        <v>4</v>
      </c>
      <c r="P67" s="20" t="str" cm="1">
        <f t="array" ref="P67">_xlfn.IFS(tbl_Clean[[#This Row],[Income]]&lt;=30000,"$10k-30k",tbl_Clean[[#This Row],[Income]]&lt;=60000,"$40k-60k",tbl_Clean[[#This Row],[Income]]&lt;=90000,"$70k-90k",TRUE,"$100k+")</f>
        <v>$40k-60k</v>
      </c>
      <c r="Q67" s="20">
        <f>_xlfn.XMATCH(tbl_Clean[[#This Row],[Income Band]],{"$10k-30k","$40k-60k","$70k-90k","$100k+"})</f>
        <v>2</v>
      </c>
      <c r="R67" s="20" t="str">
        <f>IF(tbl_Clean[[#This Row],[Cars]]&lt;=1,"0-1 Cars","2+ Cars")</f>
        <v>0-1 Cars</v>
      </c>
      <c r="S67" s="20">
        <f>_xlfn.XMATCH(tbl_Clean[[#This Row],[Commute Distance]],{"0-1 Miles","1-2 Miles","2-5 Miles","5-10 Miles","10+ Miles"})</f>
        <v>1</v>
      </c>
      <c r="T67" s="20">
        <f>_xlfn.XMATCH(tbl_Clean[[#This Row],[Education]],{"Partial High School","High School","Partial College","Bachelors","Graduate Degree"})</f>
        <v>4</v>
      </c>
      <c r="U67" s="20">
        <f>IF(tbl_Clean[[#This Row],[Purchased Bike]]="Yes",1,0)</f>
        <v>1</v>
      </c>
    </row>
    <row r="68" spans="1:21" x14ac:dyDescent="0.25">
      <c r="A68" s="20">
        <v>16185</v>
      </c>
      <c r="B68" s="3" t="s">
        <v>114</v>
      </c>
      <c r="C68" s="3" t="s">
        <v>113</v>
      </c>
      <c r="D68" s="19">
        <v>60000</v>
      </c>
      <c r="E68" s="20">
        <v>4</v>
      </c>
      <c r="F68" s="3" t="s">
        <v>15</v>
      </c>
      <c r="G68" s="3" t="s">
        <v>23</v>
      </c>
      <c r="H68" s="3" t="s">
        <v>17</v>
      </c>
      <c r="I68" s="20">
        <v>3</v>
      </c>
      <c r="J68" s="3" t="s">
        <v>33</v>
      </c>
      <c r="K68" s="3" t="s">
        <v>27</v>
      </c>
      <c r="L68" s="20">
        <v>41</v>
      </c>
      <c r="M68" s="3" t="s">
        <v>20</v>
      </c>
      <c r="N68" s="20" t="str" cm="1">
        <f t="array" ref="N68">_xlfn.IFS(tbl_Clean[[#This Row],[Age]]&lt;=30,"25-30",tbl_Clean[[#This Row],[Age]]&lt;=40,"31-40",tbl_Clean[[#This Row],[Age]]&lt;=50,"41-50",tbl_Clean[[#This Row],[Age]]&lt;=60,"51-60",TRUE,"61+")</f>
        <v>41-50</v>
      </c>
      <c r="O68" s="20">
        <f>_xlfn.XMATCH(tbl_Clean[[#This Row],[Age Band]],{"25-30","31-40","41-50","51-60","61+"})</f>
        <v>3</v>
      </c>
      <c r="P68" s="20" t="str" cm="1">
        <f t="array" ref="P68">_xlfn.IFS(tbl_Clean[[#This Row],[Income]]&lt;=30000,"$10k-30k",tbl_Clean[[#This Row],[Income]]&lt;=60000,"$40k-60k",tbl_Clean[[#This Row],[Income]]&lt;=90000,"$70k-90k",TRUE,"$100k+")</f>
        <v>$40k-60k</v>
      </c>
      <c r="Q68" s="20">
        <f>_xlfn.XMATCH(tbl_Clean[[#This Row],[Income Band]],{"$10k-30k","$40k-60k","$70k-90k","$100k+"})</f>
        <v>2</v>
      </c>
      <c r="R68" s="20" t="str">
        <f>IF(tbl_Clean[[#This Row],[Cars]]&lt;=1,"0-1 Cars","2+ Cars")</f>
        <v>2+ Cars</v>
      </c>
      <c r="S68" s="20">
        <f>_xlfn.XMATCH(tbl_Clean[[#This Row],[Commute Distance]],{"0-1 Miles","1-2 Miles","2-5 Miles","5-10 Miles","10+ Miles"})</f>
        <v>5</v>
      </c>
      <c r="T68" s="20">
        <f>_xlfn.XMATCH(tbl_Clean[[#This Row],[Education]],{"Partial High School","High School","Partial College","Bachelors","Graduate Degree"})</f>
        <v>4</v>
      </c>
      <c r="U68" s="20">
        <f>IF(tbl_Clean[[#This Row],[Purchased Bike]]="Yes",1,0)</f>
        <v>0</v>
      </c>
    </row>
    <row r="69" spans="1:21" x14ac:dyDescent="0.25">
      <c r="A69" s="20">
        <v>14927</v>
      </c>
      <c r="B69" s="3" t="s">
        <v>111</v>
      </c>
      <c r="C69" s="3" t="s">
        <v>112</v>
      </c>
      <c r="D69" s="19">
        <v>30000</v>
      </c>
      <c r="E69" s="20">
        <v>1</v>
      </c>
      <c r="F69" s="3" t="s">
        <v>15</v>
      </c>
      <c r="G69" s="3" t="s">
        <v>22</v>
      </c>
      <c r="H69" s="3" t="s">
        <v>17</v>
      </c>
      <c r="I69" s="20">
        <v>0</v>
      </c>
      <c r="J69" s="3" t="s">
        <v>18</v>
      </c>
      <c r="K69" s="3" t="s">
        <v>19</v>
      </c>
      <c r="L69" s="20">
        <v>37</v>
      </c>
      <c r="M69" s="3" t="s">
        <v>17</v>
      </c>
      <c r="N69" s="20" t="str" cm="1">
        <f t="array" ref="N69">_xlfn.IFS(tbl_Clean[[#This Row],[Age]]&lt;=30,"25-30",tbl_Clean[[#This Row],[Age]]&lt;=40,"31-40",tbl_Clean[[#This Row],[Age]]&lt;=50,"41-50",tbl_Clean[[#This Row],[Age]]&lt;=60,"51-60",TRUE,"61+")</f>
        <v>31-40</v>
      </c>
      <c r="O69" s="20">
        <f>_xlfn.XMATCH(tbl_Clean[[#This Row],[Age Band]],{"25-30","31-40","41-50","51-60","61+"})</f>
        <v>2</v>
      </c>
      <c r="P69" s="20" t="str" cm="1">
        <f t="array" ref="P69">_xlfn.IFS(tbl_Clean[[#This Row],[Income]]&lt;=30000,"$10k-30k",tbl_Clean[[#This Row],[Income]]&lt;=60000,"$40k-60k",tbl_Clean[[#This Row],[Income]]&lt;=90000,"$70k-90k",TRUE,"$100k+")</f>
        <v>$10k-30k</v>
      </c>
      <c r="Q69" s="20">
        <f>_xlfn.XMATCH(tbl_Clean[[#This Row],[Income Band]],{"$10k-30k","$40k-60k","$70k-90k","$100k+"})</f>
        <v>1</v>
      </c>
      <c r="R69" s="20" t="str">
        <f>IF(tbl_Clean[[#This Row],[Cars]]&lt;=1,"0-1 Cars","2+ Cars")</f>
        <v>0-1 Cars</v>
      </c>
      <c r="S69" s="20">
        <f>_xlfn.XMATCH(tbl_Clean[[#This Row],[Commute Distance]],{"0-1 Miles","1-2 Miles","2-5 Miles","5-10 Miles","10+ Miles"})</f>
        <v>1</v>
      </c>
      <c r="T69" s="20">
        <f>_xlfn.XMATCH(tbl_Clean[[#This Row],[Education]],{"Partial High School","High School","Partial College","Bachelors","Graduate Degree"})</f>
        <v>4</v>
      </c>
      <c r="U69" s="20">
        <f>IF(tbl_Clean[[#This Row],[Purchased Bike]]="Yes",1,0)</f>
        <v>1</v>
      </c>
    </row>
    <row r="70" spans="1:21" x14ac:dyDescent="0.25">
      <c r="A70" s="20">
        <v>29337</v>
      </c>
      <c r="B70" s="3" t="s">
        <v>114</v>
      </c>
      <c r="C70" s="3" t="s">
        <v>113</v>
      </c>
      <c r="D70" s="19">
        <v>30000</v>
      </c>
      <c r="E70" s="20">
        <v>2</v>
      </c>
      <c r="F70" s="3" t="s">
        <v>21</v>
      </c>
      <c r="G70" s="3" t="s">
        <v>22</v>
      </c>
      <c r="H70" s="3" t="s">
        <v>17</v>
      </c>
      <c r="I70" s="20">
        <v>2</v>
      </c>
      <c r="J70" s="3" t="s">
        <v>26</v>
      </c>
      <c r="K70" s="3" t="s">
        <v>27</v>
      </c>
      <c r="L70" s="20">
        <v>68</v>
      </c>
      <c r="M70" s="3" t="s">
        <v>20</v>
      </c>
      <c r="N70" s="20" t="str" cm="1">
        <f t="array" ref="N70">_xlfn.IFS(tbl_Clean[[#This Row],[Age]]&lt;=30,"25-30",tbl_Clean[[#This Row],[Age]]&lt;=40,"31-40",tbl_Clean[[#This Row],[Age]]&lt;=50,"41-50",tbl_Clean[[#This Row],[Age]]&lt;=60,"51-60",TRUE,"61+")</f>
        <v>61+</v>
      </c>
      <c r="O70" s="20">
        <f>_xlfn.XMATCH(tbl_Clean[[#This Row],[Age Band]],{"25-30","31-40","41-50","51-60","61+"})</f>
        <v>5</v>
      </c>
      <c r="P70" s="20" t="str" cm="1">
        <f t="array" ref="P70">_xlfn.IFS(tbl_Clean[[#This Row],[Income]]&lt;=30000,"$10k-30k",tbl_Clean[[#This Row],[Income]]&lt;=60000,"$40k-60k",tbl_Clean[[#This Row],[Income]]&lt;=90000,"$70k-90k",TRUE,"$100k+")</f>
        <v>$10k-30k</v>
      </c>
      <c r="Q70" s="20">
        <f>_xlfn.XMATCH(tbl_Clean[[#This Row],[Income Band]],{"$10k-30k","$40k-60k","$70k-90k","$100k+"})</f>
        <v>1</v>
      </c>
      <c r="R70" s="20" t="str">
        <f>IF(tbl_Clean[[#This Row],[Cars]]&lt;=1,"0-1 Cars","2+ Cars")</f>
        <v>2+ Cars</v>
      </c>
      <c r="S70" s="20">
        <f>_xlfn.XMATCH(tbl_Clean[[#This Row],[Commute Distance]],{"0-1 Miles","1-2 Miles","2-5 Miles","5-10 Miles","10+ Miles"})</f>
        <v>4</v>
      </c>
      <c r="T70" s="20">
        <f>_xlfn.XMATCH(tbl_Clean[[#This Row],[Education]],{"Partial High School","High School","Partial College","Bachelors","Graduate Degree"})</f>
        <v>3</v>
      </c>
      <c r="U70" s="20">
        <f>IF(tbl_Clean[[#This Row],[Purchased Bike]]="Yes",1,0)</f>
        <v>0</v>
      </c>
    </row>
    <row r="71" spans="1:21" x14ac:dyDescent="0.25">
      <c r="A71" s="20">
        <v>29355</v>
      </c>
      <c r="B71" s="3" t="s">
        <v>111</v>
      </c>
      <c r="C71" s="3" t="s">
        <v>112</v>
      </c>
      <c r="D71" s="19">
        <v>40000</v>
      </c>
      <c r="E71" s="20">
        <v>0</v>
      </c>
      <c r="F71" s="3" t="s">
        <v>34</v>
      </c>
      <c r="G71" s="3" t="s">
        <v>22</v>
      </c>
      <c r="H71" s="3" t="s">
        <v>17</v>
      </c>
      <c r="I71" s="20">
        <v>0</v>
      </c>
      <c r="J71" s="3" t="s">
        <v>18</v>
      </c>
      <c r="K71" s="3" t="s">
        <v>19</v>
      </c>
      <c r="L71" s="20">
        <v>37</v>
      </c>
      <c r="M71" s="3" t="s">
        <v>17</v>
      </c>
      <c r="N71" s="20" t="str" cm="1">
        <f t="array" ref="N71">_xlfn.IFS(tbl_Clean[[#This Row],[Age]]&lt;=30,"25-30",tbl_Clean[[#This Row],[Age]]&lt;=40,"31-40",tbl_Clean[[#This Row],[Age]]&lt;=50,"41-50",tbl_Clean[[#This Row],[Age]]&lt;=60,"51-60",TRUE,"61+")</f>
        <v>31-40</v>
      </c>
      <c r="O71" s="20">
        <f>_xlfn.XMATCH(tbl_Clean[[#This Row],[Age Band]],{"25-30","31-40","41-50","51-60","61+"})</f>
        <v>2</v>
      </c>
      <c r="P71" s="20" t="str" cm="1">
        <f t="array" ref="P71">_xlfn.IFS(tbl_Clean[[#This Row],[Income]]&lt;=30000,"$10k-30k",tbl_Clean[[#This Row],[Income]]&lt;=60000,"$40k-60k",tbl_Clean[[#This Row],[Income]]&lt;=90000,"$70k-90k",TRUE,"$100k+")</f>
        <v>$40k-60k</v>
      </c>
      <c r="Q71" s="20">
        <f>_xlfn.XMATCH(tbl_Clean[[#This Row],[Income Band]],{"$10k-30k","$40k-60k","$70k-90k","$100k+"})</f>
        <v>2</v>
      </c>
      <c r="R71" s="20" t="str">
        <f>IF(tbl_Clean[[#This Row],[Cars]]&lt;=1,"0-1 Cars","2+ Cars")</f>
        <v>0-1 Cars</v>
      </c>
      <c r="S71" s="20">
        <f>_xlfn.XMATCH(tbl_Clean[[#This Row],[Commute Distance]],{"0-1 Miles","1-2 Miles","2-5 Miles","5-10 Miles","10+ Miles"})</f>
        <v>1</v>
      </c>
      <c r="T71" s="20">
        <f>_xlfn.XMATCH(tbl_Clean[[#This Row],[Education]],{"Partial High School","High School","Partial College","Bachelors","Graduate Degree"})</f>
        <v>5</v>
      </c>
      <c r="U71" s="20">
        <f>IF(tbl_Clean[[#This Row],[Purchased Bike]]="Yes",1,0)</f>
        <v>1</v>
      </c>
    </row>
    <row r="72" spans="1:21" x14ac:dyDescent="0.25">
      <c r="A72" s="20">
        <v>25303</v>
      </c>
      <c r="B72" s="3" t="s">
        <v>114</v>
      </c>
      <c r="C72" s="3" t="s">
        <v>113</v>
      </c>
      <c r="D72" s="19">
        <v>30000</v>
      </c>
      <c r="E72" s="20">
        <v>0</v>
      </c>
      <c r="F72" s="3" t="s">
        <v>30</v>
      </c>
      <c r="G72" s="3" t="s">
        <v>28</v>
      </c>
      <c r="H72" s="3" t="s">
        <v>17</v>
      </c>
      <c r="I72" s="20">
        <v>1</v>
      </c>
      <c r="J72" s="3" t="s">
        <v>24</v>
      </c>
      <c r="K72" s="3" t="s">
        <v>19</v>
      </c>
      <c r="L72" s="20">
        <v>33</v>
      </c>
      <c r="M72" s="3" t="s">
        <v>17</v>
      </c>
      <c r="N72" s="20" t="str" cm="1">
        <f t="array" ref="N72">_xlfn.IFS(tbl_Clean[[#This Row],[Age]]&lt;=30,"25-30",tbl_Clean[[#This Row],[Age]]&lt;=40,"31-40",tbl_Clean[[#This Row],[Age]]&lt;=50,"41-50",tbl_Clean[[#This Row],[Age]]&lt;=60,"51-60",TRUE,"61+")</f>
        <v>31-40</v>
      </c>
      <c r="O72" s="20">
        <f>_xlfn.XMATCH(tbl_Clean[[#This Row],[Age Band]],{"25-30","31-40","41-50","51-60","61+"})</f>
        <v>2</v>
      </c>
      <c r="P72" s="20" t="str" cm="1">
        <f t="array" ref="P72">_xlfn.IFS(tbl_Clean[[#This Row],[Income]]&lt;=30000,"$10k-30k",tbl_Clean[[#This Row],[Income]]&lt;=60000,"$40k-60k",tbl_Clean[[#This Row],[Income]]&lt;=90000,"$70k-90k",TRUE,"$100k+")</f>
        <v>$10k-30k</v>
      </c>
      <c r="Q72" s="20">
        <f>_xlfn.XMATCH(tbl_Clean[[#This Row],[Income Band]],{"$10k-30k","$40k-60k","$70k-90k","$100k+"})</f>
        <v>1</v>
      </c>
      <c r="R72" s="20" t="str">
        <f>IF(tbl_Clean[[#This Row],[Cars]]&lt;=1,"0-1 Cars","2+ Cars")</f>
        <v>0-1 Cars</v>
      </c>
      <c r="S72" s="20">
        <f>_xlfn.XMATCH(tbl_Clean[[#This Row],[Commute Distance]],{"0-1 Miles","1-2 Miles","2-5 Miles","5-10 Miles","10+ Miles"})</f>
        <v>3</v>
      </c>
      <c r="T72" s="20">
        <f>_xlfn.XMATCH(tbl_Clean[[#This Row],[Education]],{"Partial High School","High School","Partial College","Bachelors","Graduate Degree"})</f>
        <v>2</v>
      </c>
      <c r="U72" s="20">
        <f>IF(tbl_Clean[[#This Row],[Purchased Bike]]="Yes",1,0)</f>
        <v>1</v>
      </c>
    </row>
    <row r="73" spans="1:21" x14ac:dyDescent="0.25">
      <c r="A73" s="20">
        <v>14813</v>
      </c>
      <c r="B73" s="3" t="s">
        <v>114</v>
      </c>
      <c r="C73" s="3" t="s">
        <v>112</v>
      </c>
      <c r="D73" s="19">
        <v>20000</v>
      </c>
      <c r="E73" s="20">
        <v>4</v>
      </c>
      <c r="F73" s="3" t="s">
        <v>30</v>
      </c>
      <c r="G73" s="3" t="s">
        <v>28</v>
      </c>
      <c r="H73" s="3" t="s">
        <v>17</v>
      </c>
      <c r="I73" s="20">
        <v>1</v>
      </c>
      <c r="J73" s="3" t="s">
        <v>18</v>
      </c>
      <c r="K73" s="3" t="s">
        <v>19</v>
      </c>
      <c r="L73" s="20">
        <v>43</v>
      </c>
      <c r="M73" s="3" t="s">
        <v>17</v>
      </c>
      <c r="N73" s="20" t="str" cm="1">
        <f t="array" ref="N73">_xlfn.IFS(tbl_Clean[[#This Row],[Age]]&lt;=30,"25-30",tbl_Clean[[#This Row],[Age]]&lt;=40,"31-40",tbl_Clean[[#This Row],[Age]]&lt;=50,"41-50",tbl_Clean[[#This Row],[Age]]&lt;=60,"51-60",TRUE,"61+")</f>
        <v>41-50</v>
      </c>
      <c r="O73" s="20">
        <f>_xlfn.XMATCH(tbl_Clean[[#This Row],[Age Band]],{"25-30","31-40","41-50","51-60","61+"})</f>
        <v>3</v>
      </c>
      <c r="P73" s="20" t="str" cm="1">
        <f t="array" ref="P73">_xlfn.IFS(tbl_Clean[[#This Row],[Income]]&lt;=30000,"$10k-30k",tbl_Clean[[#This Row],[Income]]&lt;=60000,"$40k-60k",tbl_Clean[[#This Row],[Income]]&lt;=90000,"$70k-90k",TRUE,"$100k+")</f>
        <v>$10k-30k</v>
      </c>
      <c r="Q73" s="20">
        <f>_xlfn.XMATCH(tbl_Clean[[#This Row],[Income Band]],{"$10k-30k","$40k-60k","$70k-90k","$100k+"})</f>
        <v>1</v>
      </c>
      <c r="R73" s="20" t="str">
        <f>IF(tbl_Clean[[#This Row],[Cars]]&lt;=1,"0-1 Cars","2+ Cars")</f>
        <v>0-1 Cars</v>
      </c>
      <c r="S73" s="20">
        <f>_xlfn.XMATCH(tbl_Clean[[#This Row],[Commute Distance]],{"0-1 Miles","1-2 Miles","2-5 Miles","5-10 Miles","10+ Miles"})</f>
        <v>1</v>
      </c>
      <c r="T73" s="20">
        <f>_xlfn.XMATCH(tbl_Clean[[#This Row],[Education]],{"Partial High School","High School","Partial College","Bachelors","Graduate Degree"})</f>
        <v>2</v>
      </c>
      <c r="U73" s="20">
        <f>IF(tbl_Clean[[#This Row],[Purchased Bike]]="Yes",1,0)</f>
        <v>1</v>
      </c>
    </row>
    <row r="74" spans="1:21" x14ac:dyDescent="0.25">
      <c r="A74" s="20">
        <v>16438</v>
      </c>
      <c r="B74" s="3" t="s">
        <v>111</v>
      </c>
      <c r="C74" s="3" t="s">
        <v>112</v>
      </c>
      <c r="D74" s="19">
        <v>10000</v>
      </c>
      <c r="E74" s="20">
        <v>0</v>
      </c>
      <c r="F74" s="3" t="s">
        <v>32</v>
      </c>
      <c r="G74" s="3" t="s">
        <v>28</v>
      </c>
      <c r="H74" s="3" t="s">
        <v>20</v>
      </c>
      <c r="I74" s="20">
        <v>2</v>
      </c>
      <c r="J74" s="3" t="s">
        <v>18</v>
      </c>
      <c r="K74" s="3" t="s">
        <v>19</v>
      </c>
      <c r="L74" s="20">
        <v>30</v>
      </c>
      <c r="M74" s="3" t="s">
        <v>20</v>
      </c>
      <c r="N74" s="20" t="str" cm="1">
        <f t="array" ref="N74">_xlfn.IFS(tbl_Clean[[#This Row],[Age]]&lt;=30,"25-30",tbl_Clean[[#This Row],[Age]]&lt;=40,"31-40",tbl_Clean[[#This Row],[Age]]&lt;=50,"41-50",tbl_Clean[[#This Row],[Age]]&lt;=60,"51-60",TRUE,"61+")</f>
        <v>25-30</v>
      </c>
      <c r="O74" s="20">
        <f>_xlfn.XMATCH(tbl_Clean[[#This Row],[Age Band]],{"25-30","31-40","41-50","51-60","61+"})</f>
        <v>1</v>
      </c>
      <c r="P74" s="20" t="str" cm="1">
        <f t="array" ref="P74">_xlfn.IFS(tbl_Clean[[#This Row],[Income]]&lt;=30000,"$10k-30k",tbl_Clean[[#This Row],[Income]]&lt;=60000,"$40k-60k",tbl_Clean[[#This Row],[Income]]&lt;=90000,"$70k-90k",TRUE,"$100k+")</f>
        <v>$10k-30k</v>
      </c>
      <c r="Q74" s="20">
        <f>_xlfn.XMATCH(tbl_Clean[[#This Row],[Income Band]],{"$10k-30k","$40k-60k","$70k-90k","$100k+"})</f>
        <v>1</v>
      </c>
      <c r="R74" s="20" t="str">
        <f>IF(tbl_Clean[[#This Row],[Cars]]&lt;=1,"0-1 Cars","2+ Cars")</f>
        <v>2+ Cars</v>
      </c>
      <c r="S74" s="20">
        <f>_xlfn.XMATCH(tbl_Clean[[#This Row],[Commute Distance]],{"0-1 Miles","1-2 Miles","2-5 Miles","5-10 Miles","10+ Miles"})</f>
        <v>1</v>
      </c>
      <c r="T74" s="20">
        <f>_xlfn.XMATCH(tbl_Clean[[#This Row],[Education]],{"Partial High School","High School","Partial College","Bachelors","Graduate Degree"})</f>
        <v>1</v>
      </c>
      <c r="U74" s="20">
        <f>IF(tbl_Clean[[#This Row],[Purchased Bike]]="Yes",1,0)</f>
        <v>0</v>
      </c>
    </row>
    <row r="75" spans="1:21" x14ac:dyDescent="0.25">
      <c r="A75" s="20">
        <v>14238</v>
      </c>
      <c r="B75" s="3" t="s">
        <v>111</v>
      </c>
      <c r="C75" s="3" t="s">
        <v>113</v>
      </c>
      <c r="D75" s="19">
        <v>120000</v>
      </c>
      <c r="E75" s="20">
        <v>0</v>
      </c>
      <c r="F75" s="3" t="s">
        <v>32</v>
      </c>
      <c r="G75" s="3" t="s">
        <v>23</v>
      </c>
      <c r="H75" s="3" t="s">
        <v>17</v>
      </c>
      <c r="I75" s="20">
        <v>4</v>
      </c>
      <c r="J75" s="3" t="s">
        <v>33</v>
      </c>
      <c r="K75" s="3" t="s">
        <v>27</v>
      </c>
      <c r="L75" s="20">
        <v>36</v>
      </c>
      <c r="M75" s="3" t="s">
        <v>17</v>
      </c>
      <c r="N75" s="20" t="str" cm="1">
        <f t="array" ref="N75">_xlfn.IFS(tbl_Clean[[#This Row],[Age]]&lt;=30,"25-30",tbl_Clean[[#This Row],[Age]]&lt;=40,"31-40",tbl_Clean[[#This Row],[Age]]&lt;=50,"41-50",tbl_Clean[[#This Row],[Age]]&lt;=60,"51-60",TRUE,"61+")</f>
        <v>31-40</v>
      </c>
      <c r="O75" s="20">
        <f>_xlfn.XMATCH(tbl_Clean[[#This Row],[Age Band]],{"25-30","31-40","41-50","51-60","61+"})</f>
        <v>2</v>
      </c>
      <c r="P75" s="20" t="str" cm="1">
        <f t="array" ref="P75">_xlfn.IFS(tbl_Clean[[#This Row],[Income]]&lt;=30000,"$10k-30k",tbl_Clean[[#This Row],[Income]]&lt;=60000,"$40k-60k",tbl_Clean[[#This Row],[Income]]&lt;=90000,"$70k-90k",TRUE,"$100k+")</f>
        <v>$100k+</v>
      </c>
      <c r="Q75" s="20">
        <f>_xlfn.XMATCH(tbl_Clean[[#This Row],[Income Band]],{"$10k-30k","$40k-60k","$70k-90k","$100k+"})</f>
        <v>4</v>
      </c>
      <c r="R75" s="20" t="str">
        <f>IF(tbl_Clean[[#This Row],[Cars]]&lt;=1,"0-1 Cars","2+ Cars")</f>
        <v>2+ Cars</v>
      </c>
      <c r="S75" s="20">
        <f>_xlfn.XMATCH(tbl_Clean[[#This Row],[Commute Distance]],{"0-1 Miles","1-2 Miles","2-5 Miles","5-10 Miles","10+ Miles"})</f>
        <v>5</v>
      </c>
      <c r="T75" s="20">
        <f>_xlfn.XMATCH(tbl_Clean[[#This Row],[Education]],{"Partial High School","High School","Partial College","Bachelors","Graduate Degree"})</f>
        <v>1</v>
      </c>
      <c r="U75" s="20">
        <f>IF(tbl_Clean[[#This Row],[Purchased Bike]]="Yes",1,0)</f>
        <v>1</v>
      </c>
    </row>
    <row r="76" spans="1:21" x14ac:dyDescent="0.25">
      <c r="A76" s="20">
        <v>16200</v>
      </c>
      <c r="B76" s="3" t="s">
        <v>114</v>
      </c>
      <c r="C76" s="3" t="s">
        <v>112</v>
      </c>
      <c r="D76" s="19">
        <v>10000</v>
      </c>
      <c r="E76" s="20">
        <v>0</v>
      </c>
      <c r="F76" s="3" t="s">
        <v>32</v>
      </c>
      <c r="G76" s="3" t="s">
        <v>28</v>
      </c>
      <c r="H76" s="3" t="s">
        <v>20</v>
      </c>
      <c r="I76" s="20">
        <v>2</v>
      </c>
      <c r="J76" s="3" t="s">
        <v>18</v>
      </c>
      <c r="K76" s="3" t="s">
        <v>19</v>
      </c>
      <c r="L76" s="20">
        <v>35</v>
      </c>
      <c r="M76" s="3" t="s">
        <v>20</v>
      </c>
      <c r="N76" s="20" t="str" cm="1">
        <f t="array" ref="N76">_xlfn.IFS(tbl_Clean[[#This Row],[Age]]&lt;=30,"25-30",tbl_Clean[[#This Row],[Age]]&lt;=40,"31-40",tbl_Clean[[#This Row],[Age]]&lt;=50,"41-50",tbl_Clean[[#This Row],[Age]]&lt;=60,"51-60",TRUE,"61+")</f>
        <v>31-40</v>
      </c>
      <c r="O76" s="20">
        <f>_xlfn.XMATCH(tbl_Clean[[#This Row],[Age Band]],{"25-30","31-40","41-50","51-60","61+"})</f>
        <v>2</v>
      </c>
      <c r="P76" s="20" t="str" cm="1">
        <f t="array" ref="P76">_xlfn.IFS(tbl_Clean[[#This Row],[Income]]&lt;=30000,"$10k-30k",tbl_Clean[[#This Row],[Income]]&lt;=60000,"$40k-60k",tbl_Clean[[#This Row],[Income]]&lt;=90000,"$70k-90k",TRUE,"$100k+")</f>
        <v>$10k-30k</v>
      </c>
      <c r="Q76" s="20">
        <f>_xlfn.XMATCH(tbl_Clean[[#This Row],[Income Band]],{"$10k-30k","$40k-60k","$70k-90k","$100k+"})</f>
        <v>1</v>
      </c>
      <c r="R76" s="20" t="str">
        <f>IF(tbl_Clean[[#This Row],[Cars]]&lt;=1,"0-1 Cars","2+ Cars")</f>
        <v>2+ Cars</v>
      </c>
      <c r="S76" s="20">
        <f>_xlfn.XMATCH(tbl_Clean[[#This Row],[Commute Distance]],{"0-1 Miles","1-2 Miles","2-5 Miles","5-10 Miles","10+ Miles"})</f>
        <v>1</v>
      </c>
      <c r="T76" s="20">
        <f>_xlfn.XMATCH(tbl_Clean[[#This Row],[Education]],{"Partial High School","High School","Partial College","Bachelors","Graduate Degree"})</f>
        <v>1</v>
      </c>
      <c r="U76" s="20">
        <f>IF(tbl_Clean[[#This Row],[Purchased Bike]]="Yes",1,0)</f>
        <v>0</v>
      </c>
    </row>
    <row r="77" spans="1:21" x14ac:dyDescent="0.25">
      <c r="A77" s="20">
        <v>24857</v>
      </c>
      <c r="B77" s="3" t="s">
        <v>111</v>
      </c>
      <c r="C77" s="3" t="s">
        <v>112</v>
      </c>
      <c r="D77" s="19">
        <v>130000</v>
      </c>
      <c r="E77" s="20">
        <v>3</v>
      </c>
      <c r="F77" s="3" t="s">
        <v>30</v>
      </c>
      <c r="G77" s="3" t="s">
        <v>23</v>
      </c>
      <c r="H77" s="3" t="s">
        <v>17</v>
      </c>
      <c r="I77" s="20">
        <v>4</v>
      </c>
      <c r="J77" s="3" t="s">
        <v>18</v>
      </c>
      <c r="K77" s="3" t="s">
        <v>19</v>
      </c>
      <c r="L77" s="20">
        <v>52</v>
      </c>
      <c r="M77" s="3" t="s">
        <v>20</v>
      </c>
      <c r="N77" s="20" t="str" cm="1">
        <f t="array" ref="N77">_xlfn.IFS(tbl_Clean[[#This Row],[Age]]&lt;=30,"25-30",tbl_Clean[[#This Row],[Age]]&lt;=40,"31-40",tbl_Clean[[#This Row],[Age]]&lt;=50,"41-50",tbl_Clean[[#This Row],[Age]]&lt;=60,"51-60",TRUE,"61+")</f>
        <v>51-60</v>
      </c>
      <c r="O77" s="20">
        <f>_xlfn.XMATCH(tbl_Clean[[#This Row],[Age Band]],{"25-30","31-40","41-50","51-60","61+"})</f>
        <v>4</v>
      </c>
      <c r="P77" s="20" t="str" cm="1">
        <f t="array" ref="P77">_xlfn.IFS(tbl_Clean[[#This Row],[Income]]&lt;=30000,"$10k-30k",tbl_Clean[[#This Row],[Income]]&lt;=60000,"$40k-60k",tbl_Clean[[#This Row],[Income]]&lt;=90000,"$70k-90k",TRUE,"$100k+")</f>
        <v>$100k+</v>
      </c>
      <c r="Q77" s="20">
        <f>_xlfn.XMATCH(tbl_Clean[[#This Row],[Income Band]],{"$10k-30k","$40k-60k","$70k-90k","$100k+"})</f>
        <v>4</v>
      </c>
      <c r="R77" s="20" t="str">
        <f>IF(tbl_Clean[[#This Row],[Cars]]&lt;=1,"0-1 Cars","2+ Cars")</f>
        <v>2+ Cars</v>
      </c>
      <c r="S77" s="20">
        <f>_xlfn.XMATCH(tbl_Clean[[#This Row],[Commute Distance]],{"0-1 Miles","1-2 Miles","2-5 Miles","5-10 Miles","10+ Miles"})</f>
        <v>1</v>
      </c>
      <c r="T77" s="20">
        <f>_xlfn.XMATCH(tbl_Clean[[#This Row],[Education]],{"Partial High School","High School","Partial College","Bachelors","Graduate Degree"})</f>
        <v>2</v>
      </c>
      <c r="U77" s="20">
        <f>IF(tbl_Clean[[#This Row],[Purchased Bike]]="Yes",1,0)</f>
        <v>0</v>
      </c>
    </row>
    <row r="78" spans="1:21" x14ac:dyDescent="0.25">
      <c r="A78" s="20">
        <v>26956</v>
      </c>
      <c r="B78" s="3" t="s">
        <v>114</v>
      </c>
      <c r="C78" s="3" t="s">
        <v>112</v>
      </c>
      <c r="D78" s="19">
        <v>20000</v>
      </c>
      <c r="E78" s="20">
        <v>0</v>
      </c>
      <c r="F78" s="3" t="s">
        <v>21</v>
      </c>
      <c r="G78" s="3" t="s">
        <v>28</v>
      </c>
      <c r="H78" s="3" t="s">
        <v>20</v>
      </c>
      <c r="I78" s="20">
        <v>1</v>
      </c>
      <c r="J78" s="3" t="s">
        <v>24</v>
      </c>
      <c r="K78" s="3" t="s">
        <v>19</v>
      </c>
      <c r="L78" s="20">
        <v>36</v>
      </c>
      <c r="M78" s="3" t="s">
        <v>17</v>
      </c>
      <c r="N78" s="20" t="str" cm="1">
        <f t="array" ref="N78">_xlfn.IFS(tbl_Clean[[#This Row],[Age]]&lt;=30,"25-30",tbl_Clean[[#This Row],[Age]]&lt;=40,"31-40",tbl_Clean[[#This Row],[Age]]&lt;=50,"41-50",tbl_Clean[[#This Row],[Age]]&lt;=60,"51-60",TRUE,"61+")</f>
        <v>31-40</v>
      </c>
      <c r="O78" s="20">
        <f>_xlfn.XMATCH(tbl_Clean[[#This Row],[Age Band]],{"25-30","31-40","41-50","51-60","61+"})</f>
        <v>2</v>
      </c>
      <c r="P78" s="20" t="str" cm="1">
        <f t="array" ref="P78">_xlfn.IFS(tbl_Clean[[#This Row],[Income]]&lt;=30000,"$10k-30k",tbl_Clean[[#This Row],[Income]]&lt;=60000,"$40k-60k",tbl_Clean[[#This Row],[Income]]&lt;=90000,"$70k-90k",TRUE,"$100k+")</f>
        <v>$10k-30k</v>
      </c>
      <c r="Q78" s="20">
        <f>_xlfn.XMATCH(tbl_Clean[[#This Row],[Income Band]],{"$10k-30k","$40k-60k","$70k-90k","$100k+"})</f>
        <v>1</v>
      </c>
      <c r="R78" s="20" t="str">
        <f>IF(tbl_Clean[[#This Row],[Cars]]&lt;=1,"0-1 Cars","2+ Cars")</f>
        <v>0-1 Cars</v>
      </c>
      <c r="S78" s="20">
        <f>_xlfn.XMATCH(tbl_Clean[[#This Row],[Commute Distance]],{"0-1 Miles","1-2 Miles","2-5 Miles","5-10 Miles","10+ Miles"})</f>
        <v>3</v>
      </c>
      <c r="T78" s="20">
        <f>_xlfn.XMATCH(tbl_Clean[[#This Row],[Education]],{"Partial High School","High School","Partial College","Bachelors","Graduate Degree"})</f>
        <v>3</v>
      </c>
      <c r="U78" s="20">
        <f>IF(tbl_Clean[[#This Row],[Purchased Bike]]="Yes",1,0)</f>
        <v>1</v>
      </c>
    </row>
    <row r="79" spans="1:21" x14ac:dyDescent="0.25">
      <c r="A79" s="20">
        <v>14517</v>
      </c>
      <c r="B79" s="3" t="s">
        <v>111</v>
      </c>
      <c r="C79" s="3" t="s">
        <v>112</v>
      </c>
      <c r="D79" s="19">
        <v>20000</v>
      </c>
      <c r="E79" s="20">
        <v>3</v>
      </c>
      <c r="F79" s="3" t="s">
        <v>30</v>
      </c>
      <c r="G79" s="3" t="s">
        <v>16</v>
      </c>
      <c r="H79" s="3" t="s">
        <v>20</v>
      </c>
      <c r="I79" s="20">
        <v>2</v>
      </c>
      <c r="J79" s="3" t="s">
        <v>29</v>
      </c>
      <c r="K79" s="3" t="s">
        <v>27</v>
      </c>
      <c r="L79" s="20">
        <v>62</v>
      </c>
      <c r="M79" s="3" t="s">
        <v>20</v>
      </c>
      <c r="N79" s="20" t="str" cm="1">
        <f t="array" ref="N79">_xlfn.IFS(tbl_Clean[[#This Row],[Age]]&lt;=30,"25-30",tbl_Clean[[#This Row],[Age]]&lt;=40,"31-40",tbl_Clean[[#This Row],[Age]]&lt;=50,"41-50",tbl_Clean[[#This Row],[Age]]&lt;=60,"51-60",TRUE,"61+")</f>
        <v>61+</v>
      </c>
      <c r="O79" s="20">
        <f>_xlfn.XMATCH(tbl_Clean[[#This Row],[Age Band]],{"25-30","31-40","41-50","51-60","61+"})</f>
        <v>5</v>
      </c>
      <c r="P79" s="20" t="str" cm="1">
        <f t="array" ref="P79">_xlfn.IFS(tbl_Clean[[#This Row],[Income]]&lt;=30000,"$10k-30k",tbl_Clean[[#This Row],[Income]]&lt;=60000,"$40k-60k",tbl_Clean[[#This Row],[Income]]&lt;=90000,"$70k-90k",TRUE,"$100k+")</f>
        <v>$10k-30k</v>
      </c>
      <c r="Q79" s="20">
        <f>_xlfn.XMATCH(tbl_Clean[[#This Row],[Income Band]],{"$10k-30k","$40k-60k","$70k-90k","$100k+"})</f>
        <v>1</v>
      </c>
      <c r="R79" s="20" t="str">
        <f>IF(tbl_Clean[[#This Row],[Cars]]&lt;=1,"0-1 Cars","2+ Cars")</f>
        <v>2+ Cars</v>
      </c>
      <c r="S79" s="20">
        <f>_xlfn.XMATCH(tbl_Clean[[#This Row],[Commute Distance]],{"0-1 Miles","1-2 Miles","2-5 Miles","5-10 Miles","10+ Miles"})</f>
        <v>2</v>
      </c>
      <c r="T79" s="20">
        <f>_xlfn.XMATCH(tbl_Clean[[#This Row],[Education]],{"Partial High School","High School","Partial College","Bachelors","Graduate Degree"})</f>
        <v>2</v>
      </c>
      <c r="U79" s="20">
        <f>IF(tbl_Clean[[#This Row],[Purchased Bike]]="Yes",1,0)</f>
        <v>0</v>
      </c>
    </row>
    <row r="80" spans="1:21" x14ac:dyDescent="0.25">
      <c r="A80" s="20">
        <v>12678</v>
      </c>
      <c r="B80" s="3" t="s">
        <v>114</v>
      </c>
      <c r="C80" s="3" t="s">
        <v>112</v>
      </c>
      <c r="D80" s="19">
        <v>130000</v>
      </c>
      <c r="E80" s="20">
        <v>4</v>
      </c>
      <c r="F80" s="3" t="s">
        <v>30</v>
      </c>
      <c r="G80" s="3" t="s">
        <v>31</v>
      </c>
      <c r="H80" s="3" t="s">
        <v>17</v>
      </c>
      <c r="I80" s="20">
        <v>4</v>
      </c>
      <c r="J80" s="3" t="s">
        <v>18</v>
      </c>
      <c r="K80" s="3" t="s">
        <v>27</v>
      </c>
      <c r="L80" s="20">
        <v>31</v>
      </c>
      <c r="M80" s="3" t="s">
        <v>20</v>
      </c>
      <c r="N80" s="20" t="str" cm="1">
        <f t="array" ref="N80">_xlfn.IFS(tbl_Clean[[#This Row],[Age]]&lt;=30,"25-30",tbl_Clean[[#This Row],[Age]]&lt;=40,"31-40",tbl_Clean[[#This Row],[Age]]&lt;=50,"41-50",tbl_Clean[[#This Row],[Age]]&lt;=60,"51-60",TRUE,"61+")</f>
        <v>31-40</v>
      </c>
      <c r="O80" s="20">
        <f>_xlfn.XMATCH(tbl_Clean[[#This Row],[Age Band]],{"25-30","31-40","41-50","51-60","61+"})</f>
        <v>2</v>
      </c>
      <c r="P80" s="20" t="str" cm="1">
        <f t="array" ref="P80">_xlfn.IFS(tbl_Clean[[#This Row],[Income]]&lt;=30000,"$10k-30k",tbl_Clean[[#This Row],[Income]]&lt;=60000,"$40k-60k",tbl_Clean[[#This Row],[Income]]&lt;=90000,"$70k-90k",TRUE,"$100k+")</f>
        <v>$100k+</v>
      </c>
      <c r="Q80" s="20">
        <f>_xlfn.XMATCH(tbl_Clean[[#This Row],[Income Band]],{"$10k-30k","$40k-60k","$70k-90k","$100k+"})</f>
        <v>4</v>
      </c>
      <c r="R80" s="20" t="str">
        <f>IF(tbl_Clean[[#This Row],[Cars]]&lt;=1,"0-1 Cars","2+ Cars")</f>
        <v>2+ Cars</v>
      </c>
      <c r="S80" s="20">
        <f>_xlfn.XMATCH(tbl_Clean[[#This Row],[Commute Distance]],{"0-1 Miles","1-2 Miles","2-5 Miles","5-10 Miles","10+ Miles"})</f>
        <v>1</v>
      </c>
      <c r="T80" s="20">
        <f>_xlfn.XMATCH(tbl_Clean[[#This Row],[Education]],{"Partial High School","High School","Partial College","Bachelors","Graduate Degree"})</f>
        <v>2</v>
      </c>
      <c r="U80" s="20">
        <f>IF(tbl_Clean[[#This Row],[Purchased Bike]]="Yes",1,0)</f>
        <v>0</v>
      </c>
    </row>
    <row r="81" spans="1:21" x14ac:dyDescent="0.25">
      <c r="A81" s="20">
        <v>16188</v>
      </c>
      <c r="B81" s="3" t="s">
        <v>114</v>
      </c>
      <c r="C81" s="3" t="s">
        <v>112</v>
      </c>
      <c r="D81" s="19">
        <v>20000</v>
      </c>
      <c r="E81" s="20">
        <v>0</v>
      </c>
      <c r="F81" s="3" t="s">
        <v>32</v>
      </c>
      <c r="G81" s="3" t="s">
        <v>28</v>
      </c>
      <c r="H81" s="3" t="s">
        <v>20</v>
      </c>
      <c r="I81" s="20">
        <v>2</v>
      </c>
      <c r="J81" s="3" t="s">
        <v>29</v>
      </c>
      <c r="K81" s="3" t="s">
        <v>19</v>
      </c>
      <c r="L81" s="20">
        <v>26</v>
      </c>
      <c r="M81" s="3" t="s">
        <v>20</v>
      </c>
      <c r="N81" s="20" t="str" cm="1">
        <f t="array" ref="N81">_xlfn.IFS(tbl_Clean[[#This Row],[Age]]&lt;=30,"25-30",tbl_Clean[[#This Row],[Age]]&lt;=40,"31-40",tbl_Clean[[#This Row],[Age]]&lt;=50,"41-50",tbl_Clean[[#This Row],[Age]]&lt;=60,"51-60",TRUE,"61+")</f>
        <v>25-30</v>
      </c>
      <c r="O81" s="20">
        <f>_xlfn.XMATCH(tbl_Clean[[#This Row],[Age Band]],{"25-30","31-40","41-50","51-60","61+"})</f>
        <v>1</v>
      </c>
      <c r="P81" s="20" t="str" cm="1">
        <f t="array" ref="P81">_xlfn.IFS(tbl_Clean[[#This Row],[Income]]&lt;=30000,"$10k-30k",tbl_Clean[[#This Row],[Income]]&lt;=60000,"$40k-60k",tbl_Clean[[#This Row],[Income]]&lt;=90000,"$70k-90k",TRUE,"$100k+")</f>
        <v>$10k-30k</v>
      </c>
      <c r="Q81" s="20">
        <f>_xlfn.XMATCH(tbl_Clean[[#This Row],[Income Band]],{"$10k-30k","$40k-60k","$70k-90k","$100k+"})</f>
        <v>1</v>
      </c>
      <c r="R81" s="20" t="str">
        <f>IF(tbl_Clean[[#This Row],[Cars]]&lt;=1,"0-1 Cars","2+ Cars")</f>
        <v>2+ Cars</v>
      </c>
      <c r="S81" s="20">
        <f>_xlfn.XMATCH(tbl_Clean[[#This Row],[Commute Distance]],{"0-1 Miles","1-2 Miles","2-5 Miles","5-10 Miles","10+ Miles"})</f>
        <v>2</v>
      </c>
      <c r="T81" s="20">
        <f>_xlfn.XMATCH(tbl_Clean[[#This Row],[Education]],{"Partial High School","High School","Partial College","Bachelors","Graduate Degree"})</f>
        <v>1</v>
      </c>
      <c r="U81" s="20">
        <f>IF(tbl_Clean[[#This Row],[Purchased Bike]]="Yes",1,0)</f>
        <v>0</v>
      </c>
    </row>
    <row r="82" spans="1:21" x14ac:dyDescent="0.25">
      <c r="A82" s="20">
        <v>27969</v>
      </c>
      <c r="B82" s="3" t="s">
        <v>111</v>
      </c>
      <c r="C82" s="3" t="s">
        <v>113</v>
      </c>
      <c r="D82" s="19">
        <v>80000</v>
      </c>
      <c r="E82" s="20">
        <v>0</v>
      </c>
      <c r="F82" s="3" t="s">
        <v>15</v>
      </c>
      <c r="G82" s="3" t="s">
        <v>23</v>
      </c>
      <c r="H82" s="3" t="s">
        <v>17</v>
      </c>
      <c r="I82" s="20">
        <v>2</v>
      </c>
      <c r="J82" s="3" t="s">
        <v>33</v>
      </c>
      <c r="K82" s="3" t="s">
        <v>27</v>
      </c>
      <c r="L82" s="20">
        <v>29</v>
      </c>
      <c r="M82" s="3" t="s">
        <v>17</v>
      </c>
      <c r="N82" s="20" t="str" cm="1">
        <f t="array" ref="N82">_xlfn.IFS(tbl_Clean[[#This Row],[Age]]&lt;=30,"25-30",tbl_Clean[[#This Row],[Age]]&lt;=40,"31-40",tbl_Clean[[#This Row],[Age]]&lt;=50,"41-50",tbl_Clean[[#This Row],[Age]]&lt;=60,"51-60",TRUE,"61+")</f>
        <v>25-30</v>
      </c>
      <c r="O82" s="20">
        <f>_xlfn.XMATCH(tbl_Clean[[#This Row],[Age Band]],{"25-30","31-40","41-50","51-60","61+"})</f>
        <v>1</v>
      </c>
      <c r="P82" s="20" t="str" cm="1">
        <f t="array" ref="P82">_xlfn.IFS(tbl_Clean[[#This Row],[Income]]&lt;=30000,"$10k-30k",tbl_Clean[[#This Row],[Income]]&lt;=60000,"$40k-60k",tbl_Clean[[#This Row],[Income]]&lt;=90000,"$70k-90k",TRUE,"$100k+")</f>
        <v>$70k-90k</v>
      </c>
      <c r="Q82" s="20">
        <f>_xlfn.XMATCH(tbl_Clean[[#This Row],[Income Band]],{"$10k-30k","$40k-60k","$70k-90k","$100k+"})</f>
        <v>3</v>
      </c>
      <c r="R82" s="20" t="str">
        <f>IF(tbl_Clean[[#This Row],[Cars]]&lt;=1,"0-1 Cars","2+ Cars")</f>
        <v>2+ Cars</v>
      </c>
      <c r="S82" s="20">
        <f>_xlfn.XMATCH(tbl_Clean[[#This Row],[Commute Distance]],{"0-1 Miles","1-2 Miles","2-5 Miles","5-10 Miles","10+ Miles"})</f>
        <v>5</v>
      </c>
      <c r="T82" s="20">
        <f>_xlfn.XMATCH(tbl_Clean[[#This Row],[Education]],{"Partial High School","High School","Partial College","Bachelors","Graduate Degree"})</f>
        <v>4</v>
      </c>
      <c r="U82" s="20">
        <f>IF(tbl_Clean[[#This Row],[Purchased Bike]]="Yes",1,0)</f>
        <v>1</v>
      </c>
    </row>
    <row r="83" spans="1:21" x14ac:dyDescent="0.25">
      <c r="A83" s="20">
        <v>15752</v>
      </c>
      <c r="B83" s="3" t="s">
        <v>111</v>
      </c>
      <c r="C83" s="3" t="s">
        <v>113</v>
      </c>
      <c r="D83" s="19">
        <v>80000</v>
      </c>
      <c r="E83" s="20">
        <v>2</v>
      </c>
      <c r="F83" s="3" t="s">
        <v>30</v>
      </c>
      <c r="G83" s="3" t="s">
        <v>16</v>
      </c>
      <c r="H83" s="3" t="s">
        <v>20</v>
      </c>
      <c r="I83" s="20">
        <v>2</v>
      </c>
      <c r="J83" s="3" t="s">
        <v>29</v>
      </c>
      <c r="K83" s="3" t="s">
        <v>27</v>
      </c>
      <c r="L83" s="20">
        <v>50</v>
      </c>
      <c r="M83" s="3" t="s">
        <v>17</v>
      </c>
      <c r="N83" s="20" t="str" cm="1">
        <f t="array" ref="N83">_xlfn.IFS(tbl_Clean[[#This Row],[Age]]&lt;=30,"25-30",tbl_Clean[[#This Row],[Age]]&lt;=40,"31-40",tbl_Clean[[#This Row],[Age]]&lt;=50,"41-50",tbl_Clean[[#This Row],[Age]]&lt;=60,"51-60",TRUE,"61+")</f>
        <v>41-50</v>
      </c>
      <c r="O83" s="20">
        <f>_xlfn.XMATCH(tbl_Clean[[#This Row],[Age Band]],{"25-30","31-40","41-50","51-60","61+"})</f>
        <v>3</v>
      </c>
      <c r="P83" s="20" t="str" cm="1">
        <f t="array" ref="P83">_xlfn.IFS(tbl_Clean[[#This Row],[Income]]&lt;=30000,"$10k-30k",tbl_Clean[[#This Row],[Income]]&lt;=60000,"$40k-60k",tbl_Clean[[#This Row],[Income]]&lt;=90000,"$70k-90k",TRUE,"$100k+")</f>
        <v>$70k-90k</v>
      </c>
      <c r="Q83" s="20">
        <f>_xlfn.XMATCH(tbl_Clean[[#This Row],[Income Band]],{"$10k-30k","$40k-60k","$70k-90k","$100k+"})</f>
        <v>3</v>
      </c>
      <c r="R83" s="20" t="str">
        <f>IF(tbl_Clean[[#This Row],[Cars]]&lt;=1,"0-1 Cars","2+ Cars")</f>
        <v>2+ Cars</v>
      </c>
      <c r="S83" s="20">
        <f>_xlfn.XMATCH(tbl_Clean[[#This Row],[Commute Distance]],{"0-1 Miles","1-2 Miles","2-5 Miles","5-10 Miles","10+ Miles"})</f>
        <v>2</v>
      </c>
      <c r="T83" s="20">
        <f>_xlfn.XMATCH(tbl_Clean[[#This Row],[Education]],{"Partial High School","High School","Partial College","Bachelors","Graduate Degree"})</f>
        <v>2</v>
      </c>
      <c r="U83" s="20">
        <f>IF(tbl_Clean[[#This Row],[Purchased Bike]]="Yes",1,0)</f>
        <v>1</v>
      </c>
    </row>
    <row r="84" spans="1:21" x14ac:dyDescent="0.25">
      <c r="A84" s="20">
        <v>27745</v>
      </c>
      <c r="B84" s="3" t="s">
        <v>114</v>
      </c>
      <c r="C84" s="3" t="s">
        <v>113</v>
      </c>
      <c r="D84" s="19">
        <v>40000</v>
      </c>
      <c r="E84" s="20">
        <v>2</v>
      </c>
      <c r="F84" s="3" t="s">
        <v>15</v>
      </c>
      <c r="G84" s="3" t="s">
        <v>31</v>
      </c>
      <c r="H84" s="3" t="s">
        <v>17</v>
      </c>
      <c r="I84" s="20">
        <v>2</v>
      </c>
      <c r="J84" s="3" t="s">
        <v>26</v>
      </c>
      <c r="K84" s="3" t="s">
        <v>27</v>
      </c>
      <c r="L84" s="20">
        <v>63</v>
      </c>
      <c r="M84" s="3" t="s">
        <v>17</v>
      </c>
      <c r="N84" s="20" t="str" cm="1">
        <f t="array" ref="N84">_xlfn.IFS(tbl_Clean[[#This Row],[Age]]&lt;=30,"25-30",tbl_Clean[[#This Row],[Age]]&lt;=40,"31-40",tbl_Clean[[#This Row],[Age]]&lt;=50,"41-50",tbl_Clean[[#This Row],[Age]]&lt;=60,"51-60",TRUE,"61+")</f>
        <v>61+</v>
      </c>
      <c r="O84" s="20">
        <f>_xlfn.XMATCH(tbl_Clean[[#This Row],[Age Band]],{"25-30","31-40","41-50","51-60","61+"})</f>
        <v>5</v>
      </c>
      <c r="P84" s="20" t="str" cm="1">
        <f t="array" ref="P84">_xlfn.IFS(tbl_Clean[[#This Row],[Income]]&lt;=30000,"$10k-30k",tbl_Clean[[#This Row],[Income]]&lt;=60000,"$40k-60k",tbl_Clean[[#This Row],[Income]]&lt;=90000,"$70k-90k",TRUE,"$100k+")</f>
        <v>$40k-60k</v>
      </c>
      <c r="Q84" s="20">
        <f>_xlfn.XMATCH(tbl_Clean[[#This Row],[Income Band]],{"$10k-30k","$40k-60k","$70k-90k","$100k+"})</f>
        <v>2</v>
      </c>
      <c r="R84" s="20" t="str">
        <f>IF(tbl_Clean[[#This Row],[Cars]]&lt;=1,"0-1 Cars","2+ Cars")</f>
        <v>2+ Cars</v>
      </c>
      <c r="S84" s="20">
        <f>_xlfn.XMATCH(tbl_Clean[[#This Row],[Commute Distance]],{"0-1 Miles","1-2 Miles","2-5 Miles","5-10 Miles","10+ Miles"})</f>
        <v>4</v>
      </c>
      <c r="T84" s="20">
        <f>_xlfn.XMATCH(tbl_Clean[[#This Row],[Education]],{"Partial High School","High School","Partial College","Bachelors","Graduate Degree"})</f>
        <v>4</v>
      </c>
      <c r="U84" s="20">
        <f>IF(tbl_Clean[[#This Row],[Purchased Bike]]="Yes",1,0)</f>
        <v>1</v>
      </c>
    </row>
    <row r="85" spans="1:21" x14ac:dyDescent="0.25">
      <c r="A85" s="20">
        <v>20828</v>
      </c>
      <c r="B85" s="3" t="s">
        <v>111</v>
      </c>
      <c r="C85" s="3" t="s">
        <v>112</v>
      </c>
      <c r="D85" s="19">
        <v>30000</v>
      </c>
      <c r="E85" s="20">
        <v>4</v>
      </c>
      <c r="F85" s="3" t="s">
        <v>34</v>
      </c>
      <c r="G85" s="3" t="s">
        <v>22</v>
      </c>
      <c r="H85" s="3" t="s">
        <v>17</v>
      </c>
      <c r="I85" s="20">
        <v>0</v>
      </c>
      <c r="J85" s="3" t="s">
        <v>18</v>
      </c>
      <c r="K85" s="3" t="s">
        <v>19</v>
      </c>
      <c r="L85" s="20">
        <v>45</v>
      </c>
      <c r="M85" s="3" t="s">
        <v>17</v>
      </c>
      <c r="N85" s="20" t="str" cm="1">
        <f t="array" ref="N85">_xlfn.IFS(tbl_Clean[[#This Row],[Age]]&lt;=30,"25-30",tbl_Clean[[#This Row],[Age]]&lt;=40,"31-40",tbl_Clean[[#This Row],[Age]]&lt;=50,"41-50",tbl_Clean[[#This Row],[Age]]&lt;=60,"51-60",TRUE,"61+")</f>
        <v>41-50</v>
      </c>
      <c r="O85" s="20">
        <f>_xlfn.XMATCH(tbl_Clean[[#This Row],[Age Band]],{"25-30","31-40","41-50","51-60","61+"})</f>
        <v>3</v>
      </c>
      <c r="P85" s="20" t="str" cm="1">
        <f t="array" ref="P85">_xlfn.IFS(tbl_Clean[[#This Row],[Income]]&lt;=30000,"$10k-30k",tbl_Clean[[#This Row],[Income]]&lt;=60000,"$40k-60k",tbl_Clean[[#This Row],[Income]]&lt;=90000,"$70k-90k",TRUE,"$100k+")</f>
        <v>$10k-30k</v>
      </c>
      <c r="Q85" s="20">
        <f>_xlfn.XMATCH(tbl_Clean[[#This Row],[Income Band]],{"$10k-30k","$40k-60k","$70k-90k","$100k+"})</f>
        <v>1</v>
      </c>
      <c r="R85" s="20" t="str">
        <f>IF(tbl_Clean[[#This Row],[Cars]]&lt;=1,"0-1 Cars","2+ Cars")</f>
        <v>0-1 Cars</v>
      </c>
      <c r="S85" s="20">
        <f>_xlfn.XMATCH(tbl_Clean[[#This Row],[Commute Distance]],{"0-1 Miles","1-2 Miles","2-5 Miles","5-10 Miles","10+ Miles"})</f>
        <v>1</v>
      </c>
      <c r="T85" s="20">
        <f>_xlfn.XMATCH(tbl_Clean[[#This Row],[Education]],{"Partial High School","High School","Partial College","Bachelors","Graduate Degree"})</f>
        <v>5</v>
      </c>
      <c r="U85" s="20">
        <f>IF(tbl_Clean[[#This Row],[Purchased Bike]]="Yes",1,0)</f>
        <v>1</v>
      </c>
    </row>
    <row r="86" spans="1:21" x14ac:dyDescent="0.25">
      <c r="A86" s="20">
        <v>19461</v>
      </c>
      <c r="B86" s="3" t="s">
        <v>114</v>
      </c>
      <c r="C86" s="3" t="s">
        <v>112</v>
      </c>
      <c r="D86" s="19">
        <v>10000</v>
      </c>
      <c r="E86" s="20">
        <v>4</v>
      </c>
      <c r="F86" s="3" t="s">
        <v>32</v>
      </c>
      <c r="G86" s="3" t="s">
        <v>28</v>
      </c>
      <c r="H86" s="3" t="s">
        <v>17</v>
      </c>
      <c r="I86" s="20">
        <v>2</v>
      </c>
      <c r="J86" s="3" t="s">
        <v>18</v>
      </c>
      <c r="K86" s="3" t="s">
        <v>19</v>
      </c>
      <c r="L86" s="20">
        <v>40</v>
      </c>
      <c r="M86" s="3" t="s">
        <v>20</v>
      </c>
      <c r="N86" s="20" t="str" cm="1">
        <f t="array" ref="N86">_xlfn.IFS(tbl_Clean[[#This Row],[Age]]&lt;=30,"25-30",tbl_Clean[[#This Row],[Age]]&lt;=40,"31-40",tbl_Clean[[#This Row],[Age]]&lt;=50,"41-50",tbl_Clean[[#This Row],[Age]]&lt;=60,"51-60",TRUE,"61+")</f>
        <v>31-40</v>
      </c>
      <c r="O86" s="20">
        <f>_xlfn.XMATCH(tbl_Clean[[#This Row],[Age Band]],{"25-30","31-40","41-50","51-60","61+"})</f>
        <v>2</v>
      </c>
      <c r="P86" s="20" t="str" cm="1">
        <f t="array" ref="P86">_xlfn.IFS(tbl_Clean[[#This Row],[Income]]&lt;=30000,"$10k-30k",tbl_Clean[[#This Row],[Income]]&lt;=60000,"$40k-60k",tbl_Clean[[#This Row],[Income]]&lt;=90000,"$70k-90k",TRUE,"$100k+")</f>
        <v>$10k-30k</v>
      </c>
      <c r="Q86" s="20">
        <f>_xlfn.XMATCH(tbl_Clean[[#This Row],[Income Band]],{"$10k-30k","$40k-60k","$70k-90k","$100k+"})</f>
        <v>1</v>
      </c>
      <c r="R86" s="20" t="str">
        <f>IF(tbl_Clean[[#This Row],[Cars]]&lt;=1,"0-1 Cars","2+ Cars")</f>
        <v>2+ Cars</v>
      </c>
      <c r="S86" s="20">
        <f>_xlfn.XMATCH(tbl_Clean[[#This Row],[Commute Distance]],{"0-1 Miles","1-2 Miles","2-5 Miles","5-10 Miles","10+ Miles"})</f>
        <v>1</v>
      </c>
      <c r="T86" s="20">
        <f>_xlfn.XMATCH(tbl_Clean[[#This Row],[Education]],{"Partial High School","High School","Partial College","Bachelors","Graduate Degree"})</f>
        <v>1</v>
      </c>
      <c r="U86" s="20">
        <f>IF(tbl_Clean[[#This Row],[Purchased Bike]]="Yes",1,0)</f>
        <v>0</v>
      </c>
    </row>
    <row r="87" spans="1:21" x14ac:dyDescent="0.25">
      <c r="A87" s="20">
        <v>26941</v>
      </c>
      <c r="B87" s="3" t="s">
        <v>111</v>
      </c>
      <c r="C87" s="3" t="s">
        <v>113</v>
      </c>
      <c r="D87" s="19">
        <v>30000</v>
      </c>
      <c r="E87" s="20">
        <v>0</v>
      </c>
      <c r="F87" s="3" t="s">
        <v>15</v>
      </c>
      <c r="G87" s="3" t="s">
        <v>22</v>
      </c>
      <c r="H87" s="3" t="s">
        <v>17</v>
      </c>
      <c r="I87" s="20">
        <v>0</v>
      </c>
      <c r="J87" s="3" t="s">
        <v>18</v>
      </c>
      <c r="K87" s="3" t="s">
        <v>19</v>
      </c>
      <c r="L87" s="20">
        <v>47</v>
      </c>
      <c r="M87" s="3" t="s">
        <v>17</v>
      </c>
      <c r="N87" s="20" t="str" cm="1">
        <f t="array" ref="N87">_xlfn.IFS(tbl_Clean[[#This Row],[Age]]&lt;=30,"25-30",tbl_Clean[[#This Row],[Age]]&lt;=40,"31-40",tbl_Clean[[#This Row],[Age]]&lt;=50,"41-50",tbl_Clean[[#This Row],[Age]]&lt;=60,"51-60",TRUE,"61+")</f>
        <v>41-50</v>
      </c>
      <c r="O87" s="20">
        <f>_xlfn.XMATCH(tbl_Clean[[#This Row],[Age Band]],{"25-30","31-40","41-50","51-60","61+"})</f>
        <v>3</v>
      </c>
      <c r="P87" s="20" t="str" cm="1">
        <f t="array" ref="P87">_xlfn.IFS(tbl_Clean[[#This Row],[Income]]&lt;=30000,"$10k-30k",tbl_Clean[[#This Row],[Income]]&lt;=60000,"$40k-60k",tbl_Clean[[#This Row],[Income]]&lt;=90000,"$70k-90k",TRUE,"$100k+")</f>
        <v>$10k-30k</v>
      </c>
      <c r="Q87" s="20">
        <f>_xlfn.XMATCH(tbl_Clean[[#This Row],[Income Band]],{"$10k-30k","$40k-60k","$70k-90k","$100k+"})</f>
        <v>1</v>
      </c>
      <c r="R87" s="20" t="str">
        <f>IF(tbl_Clean[[#This Row],[Cars]]&lt;=1,"0-1 Cars","2+ Cars")</f>
        <v>0-1 Cars</v>
      </c>
      <c r="S87" s="20">
        <f>_xlfn.XMATCH(tbl_Clean[[#This Row],[Commute Distance]],{"0-1 Miles","1-2 Miles","2-5 Miles","5-10 Miles","10+ Miles"})</f>
        <v>1</v>
      </c>
      <c r="T87" s="20">
        <f>_xlfn.XMATCH(tbl_Clean[[#This Row],[Education]],{"Partial High School","High School","Partial College","Bachelors","Graduate Degree"})</f>
        <v>4</v>
      </c>
      <c r="U87" s="20">
        <f>IF(tbl_Clean[[#This Row],[Purchased Bike]]="Yes",1,0)</f>
        <v>1</v>
      </c>
    </row>
    <row r="88" spans="1:21" x14ac:dyDescent="0.25">
      <c r="A88" s="20">
        <v>28412</v>
      </c>
      <c r="B88" s="3" t="s">
        <v>114</v>
      </c>
      <c r="C88" s="3" t="s">
        <v>113</v>
      </c>
      <c r="D88" s="19">
        <v>20000</v>
      </c>
      <c r="E88" s="20">
        <v>0</v>
      </c>
      <c r="F88" s="3" t="s">
        <v>30</v>
      </c>
      <c r="G88" s="3" t="s">
        <v>28</v>
      </c>
      <c r="H88" s="3" t="s">
        <v>20</v>
      </c>
      <c r="I88" s="20">
        <v>1</v>
      </c>
      <c r="J88" s="3" t="s">
        <v>24</v>
      </c>
      <c r="K88" s="3" t="s">
        <v>19</v>
      </c>
      <c r="L88" s="20">
        <v>29</v>
      </c>
      <c r="M88" s="3" t="s">
        <v>20</v>
      </c>
      <c r="N88" s="20" t="str" cm="1">
        <f t="array" ref="N88">_xlfn.IFS(tbl_Clean[[#This Row],[Age]]&lt;=30,"25-30",tbl_Clean[[#This Row],[Age]]&lt;=40,"31-40",tbl_Clean[[#This Row],[Age]]&lt;=50,"41-50",tbl_Clean[[#This Row],[Age]]&lt;=60,"51-60",TRUE,"61+")</f>
        <v>25-30</v>
      </c>
      <c r="O88" s="20">
        <f>_xlfn.XMATCH(tbl_Clean[[#This Row],[Age Band]],{"25-30","31-40","41-50","51-60","61+"})</f>
        <v>1</v>
      </c>
      <c r="P88" s="20" t="str" cm="1">
        <f t="array" ref="P88">_xlfn.IFS(tbl_Clean[[#This Row],[Income]]&lt;=30000,"$10k-30k",tbl_Clean[[#This Row],[Income]]&lt;=60000,"$40k-60k",tbl_Clean[[#This Row],[Income]]&lt;=90000,"$70k-90k",TRUE,"$100k+")</f>
        <v>$10k-30k</v>
      </c>
      <c r="Q88" s="20">
        <f>_xlfn.XMATCH(tbl_Clean[[#This Row],[Income Band]],{"$10k-30k","$40k-60k","$70k-90k","$100k+"})</f>
        <v>1</v>
      </c>
      <c r="R88" s="20" t="str">
        <f>IF(tbl_Clean[[#This Row],[Cars]]&lt;=1,"0-1 Cars","2+ Cars")</f>
        <v>0-1 Cars</v>
      </c>
      <c r="S88" s="20">
        <f>_xlfn.XMATCH(tbl_Clean[[#This Row],[Commute Distance]],{"0-1 Miles","1-2 Miles","2-5 Miles","5-10 Miles","10+ Miles"})</f>
        <v>3</v>
      </c>
      <c r="T88" s="20">
        <f>_xlfn.XMATCH(tbl_Clean[[#This Row],[Education]],{"Partial High School","High School","Partial College","Bachelors","Graduate Degree"})</f>
        <v>2</v>
      </c>
      <c r="U88" s="20">
        <f>IF(tbl_Clean[[#This Row],[Purchased Bike]]="Yes",1,0)</f>
        <v>0</v>
      </c>
    </row>
    <row r="89" spans="1:21" x14ac:dyDescent="0.25">
      <c r="A89" s="20">
        <v>24485</v>
      </c>
      <c r="B89" s="3" t="s">
        <v>114</v>
      </c>
      <c r="C89" s="3" t="s">
        <v>113</v>
      </c>
      <c r="D89" s="19">
        <v>40000</v>
      </c>
      <c r="E89" s="20">
        <v>2</v>
      </c>
      <c r="F89" s="3" t="s">
        <v>15</v>
      </c>
      <c r="G89" s="3" t="s">
        <v>31</v>
      </c>
      <c r="H89" s="3" t="s">
        <v>20</v>
      </c>
      <c r="I89" s="20">
        <v>1</v>
      </c>
      <c r="J89" s="3" t="s">
        <v>26</v>
      </c>
      <c r="K89" s="3" t="s">
        <v>27</v>
      </c>
      <c r="L89" s="20">
        <v>52</v>
      </c>
      <c r="M89" s="3" t="s">
        <v>17</v>
      </c>
      <c r="N89" s="20" t="str" cm="1">
        <f t="array" ref="N89">_xlfn.IFS(tbl_Clean[[#This Row],[Age]]&lt;=30,"25-30",tbl_Clean[[#This Row],[Age]]&lt;=40,"31-40",tbl_Clean[[#This Row],[Age]]&lt;=50,"41-50",tbl_Clean[[#This Row],[Age]]&lt;=60,"51-60",TRUE,"61+")</f>
        <v>51-60</v>
      </c>
      <c r="O89" s="20">
        <f>_xlfn.XMATCH(tbl_Clean[[#This Row],[Age Band]],{"25-30","31-40","41-50","51-60","61+"})</f>
        <v>4</v>
      </c>
      <c r="P89" s="20" t="str" cm="1">
        <f t="array" ref="P89">_xlfn.IFS(tbl_Clean[[#This Row],[Income]]&lt;=30000,"$10k-30k",tbl_Clean[[#This Row],[Income]]&lt;=60000,"$40k-60k",tbl_Clean[[#This Row],[Income]]&lt;=90000,"$70k-90k",TRUE,"$100k+")</f>
        <v>$40k-60k</v>
      </c>
      <c r="Q89" s="20">
        <f>_xlfn.XMATCH(tbl_Clean[[#This Row],[Income Band]],{"$10k-30k","$40k-60k","$70k-90k","$100k+"})</f>
        <v>2</v>
      </c>
      <c r="R89" s="20" t="str">
        <f>IF(tbl_Clean[[#This Row],[Cars]]&lt;=1,"0-1 Cars","2+ Cars")</f>
        <v>0-1 Cars</v>
      </c>
      <c r="S89" s="20">
        <f>_xlfn.XMATCH(tbl_Clean[[#This Row],[Commute Distance]],{"0-1 Miles","1-2 Miles","2-5 Miles","5-10 Miles","10+ Miles"})</f>
        <v>4</v>
      </c>
      <c r="T89" s="20">
        <f>_xlfn.XMATCH(tbl_Clean[[#This Row],[Education]],{"Partial High School","High School","Partial College","Bachelors","Graduate Degree"})</f>
        <v>4</v>
      </c>
      <c r="U89" s="20">
        <f>IF(tbl_Clean[[#This Row],[Purchased Bike]]="Yes",1,0)</f>
        <v>1</v>
      </c>
    </row>
    <row r="90" spans="1:21" x14ac:dyDescent="0.25">
      <c r="A90" s="20">
        <v>16514</v>
      </c>
      <c r="B90" s="3" t="s">
        <v>114</v>
      </c>
      <c r="C90" s="3" t="s">
        <v>113</v>
      </c>
      <c r="D90" s="19">
        <v>10000</v>
      </c>
      <c r="E90" s="20">
        <v>0</v>
      </c>
      <c r="F90" s="3" t="s">
        <v>21</v>
      </c>
      <c r="G90" s="3" t="s">
        <v>28</v>
      </c>
      <c r="H90" s="3" t="s">
        <v>17</v>
      </c>
      <c r="I90" s="20">
        <v>1</v>
      </c>
      <c r="J90" s="3" t="s">
        <v>29</v>
      </c>
      <c r="K90" s="3" t="s">
        <v>27</v>
      </c>
      <c r="L90" s="20">
        <v>26</v>
      </c>
      <c r="M90" s="3" t="s">
        <v>17</v>
      </c>
      <c r="N90" s="20" t="str" cm="1">
        <f t="array" ref="N90">_xlfn.IFS(tbl_Clean[[#This Row],[Age]]&lt;=30,"25-30",tbl_Clean[[#This Row],[Age]]&lt;=40,"31-40",tbl_Clean[[#This Row],[Age]]&lt;=50,"41-50",tbl_Clean[[#This Row],[Age]]&lt;=60,"51-60",TRUE,"61+")</f>
        <v>25-30</v>
      </c>
      <c r="O90" s="20">
        <f>_xlfn.XMATCH(tbl_Clean[[#This Row],[Age Band]],{"25-30","31-40","41-50","51-60","61+"})</f>
        <v>1</v>
      </c>
      <c r="P90" s="20" t="str" cm="1">
        <f t="array" ref="P90">_xlfn.IFS(tbl_Clean[[#This Row],[Income]]&lt;=30000,"$10k-30k",tbl_Clean[[#This Row],[Income]]&lt;=60000,"$40k-60k",tbl_Clean[[#This Row],[Income]]&lt;=90000,"$70k-90k",TRUE,"$100k+")</f>
        <v>$10k-30k</v>
      </c>
      <c r="Q90" s="20">
        <f>_xlfn.XMATCH(tbl_Clean[[#This Row],[Income Band]],{"$10k-30k","$40k-60k","$70k-90k","$100k+"})</f>
        <v>1</v>
      </c>
      <c r="R90" s="20" t="str">
        <f>IF(tbl_Clean[[#This Row],[Cars]]&lt;=1,"0-1 Cars","2+ Cars")</f>
        <v>0-1 Cars</v>
      </c>
      <c r="S90" s="20">
        <f>_xlfn.XMATCH(tbl_Clean[[#This Row],[Commute Distance]],{"0-1 Miles","1-2 Miles","2-5 Miles","5-10 Miles","10+ Miles"})</f>
        <v>2</v>
      </c>
      <c r="T90" s="20">
        <f>_xlfn.XMATCH(tbl_Clean[[#This Row],[Education]],{"Partial High School","High School","Partial College","Bachelors","Graduate Degree"})</f>
        <v>3</v>
      </c>
      <c r="U90" s="20">
        <f>IF(tbl_Clean[[#This Row],[Purchased Bike]]="Yes",1,0)</f>
        <v>1</v>
      </c>
    </row>
    <row r="91" spans="1:21" x14ac:dyDescent="0.25">
      <c r="A91" s="20">
        <v>17191</v>
      </c>
      <c r="B91" s="3" t="s">
        <v>114</v>
      </c>
      <c r="C91" s="3" t="s">
        <v>113</v>
      </c>
      <c r="D91" s="19">
        <v>130000</v>
      </c>
      <c r="E91" s="20">
        <v>3</v>
      </c>
      <c r="F91" s="3" t="s">
        <v>21</v>
      </c>
      <c r="G91" s="3" t="s">
        <v>23</v>
      </c>
      <c r="H91" s="3" t="s">
        <v>20</v>
      </c>
      <c r="I91" s="20">
        <v>3</v>
      </c>
      <c r="J91" s="3" t="s">
        <v>18</v>
      </c>
      <c r="K91" s="3" t="s">
        <v>19</v>
      </c>
      <c r="L91" s="20">
        <v>51</v>
      </c>
      <c r="M91" s="3" t="s">
        <v>17</v>
      </c>
      <c r="N91" s="20" t="str" cm="1">
        <f t="array" ref="N91">_xlfn.IFS(tbl_Clean[[#This Row],[Age]]&lt;=30,"25-30",tbl_Clean[[#This Row],[Age]]&lt;=40,"31-40",tbl_Clean[[#This Row],[Age]]&lt;=50,"41-50",tbl_Clean[[#This Row],[Age]]&lt;=60,"51-60",TRUE,"61+")</f>
        <v>51-60</v>
      </c>
      <c r="O91" s="20">
        <f>_xlfn.XMATCH(tbl_Clean[[#This Row],[Age Band]],{"25-30","31-40","41-50","51-60","61+"})</f>
        <v>4</v>
      </c>
      <c r="P91" s="20" t="str" cm="1">
        <f t="array" ref="P91">_xlfn.IFS(tbl_Clean[[#This Row],[Income]]&lt;=30000,"$10k-30k",tbl_Clean[[#This Row],[Income]]&lt;=60000,"$40k-60k",tbl_Clean[[#This Row],[Income]]&lt;=90000,"$70k-90k",TRUE,"$100k+")</f>
        <v>$100k+</v>
      </c>
      <c r="Q91" s="20">
        <f>_xlfn.XMATCH(tbl_Clean[[#This Row],[Income Band]],{"$10k-30k","$40k-60k","$70k-90k","$100k+"})</f>
        <v>4</v>
      </c>
      <c r="R91" s="20" t="str">
        <f>IF(tbl_Clean[[#This Row],[Cars]]&lt;=1,"0-1 Cars","2+ Cars")</f>
        <v>2+ Cars</v>
      </c>
      <c r="S91" s="20">
        <f>_xlfn.XMATCH(tbl_Clean[[#This Row],[Commute Distance]],{"0-1 Miles","1-2 Miles","2-5 Miles","5-10 Miles","10+ Miles"})</f>
        <v>1</v>
      </c>
      <c r="T91" s="20">
        <f>_xlfn.XMATCH(tbl_Clean[[#This Row],[Education]],{"Partial High School","High School","Partial College","Bachelors","Graduate Degree"})</f>
        <v>3</v>
      </c>
      <c r="U91" s="20">
        <f>IF(tbl_Clean[[#This Row],[Purchased Bike]]="Yes",1,0)</f>
        <v>1</v>
      </c>
    </row>
    <row r="92" spans="1:21" x14ac:dyDescent="0.25">
      <c r="A92" s="20">
        <v>19608</v>
      </c>
      <c r="B92" s="3" t="s">
        <v>111</v>
      </c>
      <c r="C92" s="3" t="s">
        <v>113</v>
      </c>
      <c r="D92" s="19">
        <v>80000</v>
      </c>
      <c r="E92" s="20">
        <v>5</v>
      </c>
      <c r="F92" s="3" t="s">
        <v>15</v>
      </c>
      <c r="G92" s="3" t="s">
        <v>23</v>
      </c>
      <c r="H92" s="3" t="s">
        <v>17</v>
      </c>
      <c r="I92" s="20">
        <v>4</v>
      </c>
      <c r="J92" s="3" t="s">
        <v>29</v>
      </c>
      <c r="K92" s="3" t="s">
        <v>27</v>
      </c>
      <c r="L92" s="20">
        <v>40</v>
      </c>
      <c r="M92" s="3" t="s">
        <v>20</v>
      </c>
      <c r="N92" s="20" t="str" cm="1">
        <f t="array" ref="N92">_xlfn.IFS(tbl_Clean[[#This Row],[Age]]&lt;=30,"25-30",tbl_Clean[[#This Row],[Age]]&lt;=40,"31-40",tbl_Clean[[#This Row],[Age]]&lt;=50,"41-50",tbl_Clean[[#This Row],[Age]]&lt;=60,"51-60",TRUE,"61+")</f>
        <v>31-40</v>
      </c>
      <c r="O92" s="20">
        <f>_xlfn.XMATCH(tbl_Clean[[#This Row],[Age Band]],{"25-30","31-40","41-50","51-60","61+"})</f>
        <v>2</v>
      </c>
      <c r="P92" s="20" t="str" cm="1">
        <f t="array" ref="P92">_xlfn.IFS(tbl_Clean[[#This Row],[Income]]&lt;=30000,"$10k-30k",tbl_Clean[[#This Row],[Income]]&lt;=60000,"$40k-60k",tbl_Clean[[#This Row],[Income]]&lt;=90000,"$70k-90k",TRUE,"$100k+")</f>
        <v>$70k-90k</v>
      </c>
      <c r="Q92" s="20">
        <f>_xlfn.XMATCH(tbl_Clean[[#This Row],[Income Band]],{"$10k-30k","$40k-60k","$70k-90k","$100k+"})</f>
        <v>3</v>
      </c>
      <c r="R92" s="20" t="str">
        <f>IF(tbl_Clean[[#This Row],[Cars]]&lt;=1,"0-1 Cars","2+ Cars")</f>
        <v>2+ Cars</v>
      </c>
      <c r="S92" s="20">
        <f>_xlfn.XMATCH(tbl_Clean[[#This Row],[Commute Distance]],{"0-1 Miles","1-2 Miles","2-5 Miles","5-10 Miles","10+ Miles"})</f>
        <v>2</v>
      </c>
      <c r="T92" s="20">
        <f>_xlfn.XMATCH(tbl_Clean[[#This Row],[Education]],{"Partial High School","High School","Partial College","Bachelors","Graduate Degree"})</f>
        <v>4</v>
      </c>
      <c r="U92" s="20">
        <f>IF(tbl_Clean[[#This Row],[Purchased Bike]]="Yes",1,0)</f>
        <v>0</v>
      </c>
    </row>
    <row r="93" spans="1:21" x14ac:dyDescent="0.25">
      <c r="A93" s="20">
        <v>24119</v>
      </c>
      <c r="B93" s="3" t="s">
        <v>114</v>
      </c>
      <c r="C93" s="3" t="s">
        <v>113</v>
      </c>
      <c r="D93" s="19">
        <v>30000</v>
      </c>
      <c r="E93" s="20">
        <v>0</v>
      </c>
      <c r="F93" s="3" t="s">
        <v>21</v>
      </c>
      <c r="G93" s="3" t="s">
        <v>22</v>
      </c>
      <c r="H93" s="3" t="s">
        <v>20</v>
      </c>
      <c r="I93" s="20">
        <v>1</v>
      </c>
      <c r="J93" s="3" t="s">
        <v>24</v>
      </c>
      <c r="K93" s="3" t="s">
        <v>19</v>
      </c>
      <c r="L93" s="20">
        <v>29</v>
      </c>
      <c r="M93" s="3" t="s">
        <v>20</v>
      </c>
      <c r="N93" s="20" t="str" cm="1">
        <f t="array" ref="N93">_xlfn.IFS(tbl_Clean[[#This Row],[Age]]&lt;=30,"25-30",tbl_Clean[[#This Row],[Age]]&lt;=40,"31-40",tbl_Clean[[#This Row],[Age]]&lt;=50,"41-50",tbl_Clean[[#This Row],[Age]]&lt;=60,"51-60",TRUE,"61+")</f>
        <v>25-30</v>
      </c>
      <c r="O93" s="20">
        <f>_xlfn.XMATCH(tbl_Clean[[#This Row],[Age Band]],{"25-30","31-40","41-50","51-60","61+"})</f>
        <v>1</v>
      </c>
      <c r="P93" s="20" t="str" cm="1">
        <f t="array" ref="P93">_xlfn.IFS(tbl_Clean[[#This Row],[Income]]&lt;=30000,"$10k-30k",tbl_Clean[[#This Row],[Income]]&lt;=60000,"$40k-60k",tbl_Clean[[#This Row],[Income]]&lt;=90000,"$70k-90k",TRUE,"$100k+")</f>
        <v>$10k-30k</v>
      </c>
      <c r="Q93" s="20">
        <f>_xlfn.XMATCH(tbl_Clean[[#This Row],[Income Band]],{"$10k-30k","$40k-60k","$70k-90k","$100k+"})</f>
        <v>1</v>
      </c>
      <c r="R93" s="20" t="str">
        <f>IF(tbl_Clean[[#This Row],[Cars]]&lt;=1,"0-1 Cars","2+ Cars")</f>
        <v>0-1 Cars</v>
      </c>
      <c r="S93" s="20">
        <f>_xlfn.XMATCH(tbl_Clean[[#This Row],[Commute Distance]],{"0-1 Miles","1-2 Miles","2-5 Miles","5-10 Miles","10+ Miles"})</f>
        <v>3</v>
      </c>
      <c r="T93" s="20">
        <f>_xlfn.XMATCH(tbl_Clean[[#This Row],[Education]],{"Partial High School","High School","Partial College","Bachelors","Graduate Degree"})</f>
        <v>3</v>
      </c>
      <c r="U93" s="20">
        <f>IF(tbl_Clean[[#This Row],[Purchased Bike]]="Yes",1,0)</f>
        <v>0</v>
      </c>
    </row>
    <row r="94" spans="1:21" x14ac:dyDescent="0.25">
      <c r="A94" s="20">
        <v>25458</v>
      </c>
      <c r="B94" s="3" t="s">
        <v>111</v>
      </c>
      <c r="C94" s="3" t="s">
        <v>113</v>
      </c>
      <c r="D94" s="19">
        <v>20000</v>
      </c>
      <c r="E94" s="20">
        <v>1</v>
      </c>
      <c r="F94" s="3" t="s">
        <v>30</v>
      </c>
      <c r="G94" s="3" t="s">
        <v>28</v>
      </c>
      <c r="H94" s="3" t="s">
        <v>20</v>
      </c>
      <c r="I94" s="20">
        <v>1</v>
      </c>
      <c r="J94" s="3" t="s">
        <v>29</v>
      </c>
      <c r="K94" s="3" t="s">
        <v>19</v>
      </c>
      <c r="L94" s="20">
        <v>40</v>
      </c>
      <c r="M94" s="3" t="s">
        <v>17</v>
      </c>
      <c r="N94" s="20" t="str" cm="1">
        <f t="array" ref="N94">_xlfn.IFS(tbl_Clean[[#This Row],[Age]]&lt;=30,"25-30",tbl_Clean[[#This Row],[Age]]&lt;=40,"31-40",tbl_Clean[[#This Row],[Age]]&lt;=50,"41-50",tbl_Clean[[#This Row],[Age]]&lt;=60,"51-60",TRUE,"61+")</f>
        <v>31-40</v>
      </c>
      <c r="O94" s="20">
        <f>_xlfn.XMATCH(tbl_Clean[[#This Row],[Age Band]],{"25-30","31-40","41-50","51-60","61+"})</f>
        <v>2</v>
      </c>
      <c r="P94" s="20" t="str" cm="1">
        <f t="array" ref="P94">_xlfn.IFS(tbl_Clean[[#This Row],[Income]]&lt;=30000,"$10k-30k",tbl_Clean[[#This Row],[Income]]&lt;=60000,"$40k-60k",tbl_Clean[[#This Row],[Income]]&lt;=90000,"$70k-90k",TRUE,"$100k+")</f>
        <v>$10k-30k</v>
      </c>
      <c r="Q94" s="20">
        <f>_xlfn.XMATCH(tbl_Clean[[#This Row],[Income Band]],{"$10k-30k","$40k-60k","$70k-90k","$100k+"})</f>
        <v>1</v>
      </c>
      <c r="R94" s="20" t="str">
        <f>IF(tbl_Clean[[#This Row],[Cars]]&lt;=1,"0-1 Cars","2+ Cars")</f>
        <v>0-1 Cars</v>
      </c>
      <c r="S94" s="20">
        <f>_xlfn.XMATCH(tbl_Clean[[#This Row],[Commute Distance]],{"0-1 Miles","1-2 Miles","2-5 Miles","5-10 Miles","10+ Miles"})</f>
        <v>2</v>
      </c>
      <c r="T94" s="20">
        <f>_xlfn.XMATCH(tbl_Clean[[#This Row],[Education]],{"Partial High School","High School","Partial College","Bachelors","Graduate Degree"})</f>
        <v>2</v>
      </c>
      <c r="U94" s="20">
        <f>IF(tbl_Clean[[#This Row],[Purchased Bike]]="Yes",1,0)</f>
        <v>1</v>
      </c>
    </row>
    <row r="95" spans="1:21" x14ac:dyDescent="0.25">
      <c r="A95" s="20">
        <v>26886</v>
      </c>
      <c r="B95" s="3" t="s">
        <v>114</v>
      </c>
      <c r="C95" s="3" t="s">
        <v>112</v>
      </c>
      <c r="D95" s="19">
        <v>30000</v>
      </c>
      <c r="E95" s="20">
        <v>0</v>
      </c>
      <c r="F95" s="3" t="s">
        <v>21</v>
      </c>
      <c r="G95" s="3" t="s">
        <v>22</v>
      </c>
      <c r="H95" s="3" t="s">
        <v>20</v>
      </c>
      <c r="I95" s="20">
        <v>1</v>
      </c>
      <c r="J95" s="3" t="s">
        <v>18</v>
      </c>
      <c r="K95" s="3" t="s">
        <v>19</v>
      </c>
      <c r="L95" s="20">
        <v>29</v>
      </c>
      <c r="M95" s="3" t="s">
        <v>17</v>
      </c>
      <c r="N95" s="20" t="str" cm="1">
        <f t="array" ref="N95">_xlfn.IFS(tbl_Clean[[#This Row],[Age]]&lt;=30,"25-30",tbl_Clean[[#This Row],[Age]]&lt;=40,"31-40",tbl_Clean[[#This Row],[Age]]&lt;=50,"41-50",tbl_Clean[[#This Row],[Age]]&lt;=60,"51-60",TRUE,"61+")</f>
        <v>25-30</v>
      </c>
      <c r="O95" s="20">
        <f>_xlfn.XMATCH(tbl_Clean[[#This Row],[Age Band]],{"25-30","31-40","41-50","51-60","61+"})</f>
        <v>1</v>
      </c>
      <c r="P95" s="20" t="str" cm="1">
        <f t="array" ref="P95">_xlfn.IFS(tbl_Clean[[#This Row],[Income]]&lt;=30000,"$10k-30k",tbl_Clean[[#This Row],[Income]]&lt;=60000,"$40k-60k",tbl_Clean[[#This Row],[Income]]&lt;=90000,"$70k-90k",TRUE,"$100k+")</f>
        <v>$10k-30k</v>
      </c>
      <c r="Q95" s="20">
        <f>_xlfn.XMATCH(tbl_Clean[[#This Row],[Income Band]],{"$10k-30k","$40k-60k","$70k-90k","$100k+"})</f>
        <v>1</v>
      </c>
      <c r="R95" s="20" t="str">
        <f>IF(tbl_Clean[[#This Row],[Cars]]&lt;=1,"0-1 Cars","2+ Cars")</f>
        <v>0-1 Cars</v>
      </c>
      <c r="S95" s="20">
        <f>_xlfn.XMATCH(tbl_Clean[[#This Row],[Commute Distance]],{"0-1 Miles","1-2 Miles","2-5 Miles","5-10 Miles","10+ Miles"})</f>
        <v>1</v>
      </c>
      <c r="T95" s="20">
        <f>_xlfn.XMATCH(tbl_Clean[[#This Row],[Education]],{"Partial High School","High School","Partial College","Bachelors","Graduate Degree"})</f>
        <v>3</v>
      </c>
      <c r="U95" s="20">
        <f>IF(tbl_Clean[[#This Row],[Purchased Bike]]="Yes",1,0)</f>
        <v>1</v>
      </c>
    </row>
    <row r="96" spans="1:21" x14ac:dyDescent="0.25">
      <c r="A96" s="20">
        <v>28436</v>
      </c>
      <c r="B96" s="3" t="s">
        <v>114</v>
      </c>
      <c r="C96" s="3" t="s">
        <v>113</v>
      </c>
      <c r="D96" s="19">
        <v>30000</v>
      </c>
      <c r="E96" s="20">
        <v>0</v>
      </c>
      <c r="F96" s="3" t="s">
        <v>21</v>
      </c>
      <c r="G96" s="3" t="s">
        <v>22</v>
      </c>
      <c r="H96" s="3" t="s">
        <v>20</v>
      </c>
      <c r="I96" s="20">
        <v>1</v>
      </c>
      <c r="J96" s="3" t="s">
        <v>18</v>
      </c>
      <c r="K96" s="3" t="s">
        <v>19</v>
      </c>
      <c r="L96" s="20">
        <v>30</v>
      </c>
      <c r="M96" s="3" t="s">
        <v>17</v>
      </c>
      <c r="N96" s="20" t="str" cm="1">
        <f t="array" ref="N96">_xlfn.IFS(tbl_Clean[[#This Row],[Age]]&lt;=30,"25-30",tbl_Clean[[#This Row],[Age]]&lt;=40,"31-40",tbl_Clean[[#This Row],[Age]]&lt;=50,"41-50",tbl_Clean[[#This Row],[Age]]&lt;=60,"51-60",TRUE,"61+")</f>
        <v>25-30</v>
      </c>
      <c r="O96" s="20">
        <f>_xlfn.XMATCH(tbl_Clean[[#This Row],[Age Band]],{"25-30","31-40","41-50","51-60","61+"})</f>
        <v>1</v>
      </c>
      <c r="P96" s="20" t="str" cm="1">
        <f t="array" ref="P96">_xlfn.IFS(tbl_Clean[[#This Row],[Income]]&lt;=30000,"$10k-30k",tbl_Clean[[#This Row],[Income]]&lt;=60000,"$40k-60k",tbl_Clean[[#This Row],[Income]]&lt;=90000,"$70k-90k",TRUE,"$100k+")</f>
        <v>$10k-30k</v>
      </c>
      <c r="Q96" s="20">
        <f>_xlfn.XMATCH(tbl_Clean[[#This Row],[Income Band]],{"$10k-30k","$40k-60k","$70k-90k","$100k+"})</f>
        <v>1</v>
      </c>
      <c r="R96" s="20" t="str">
        <f>IF(tbl_Clean[[#This Row],[Cars]]&lt;=1,"0-1 Cars","2+ Cars")</f>
        <v>0-1 Cars</v>
      </c>
      <c r="S96" s="20">
        <f>_xlfn.XMATCH(tbl_Clean[[#This Row],[Commute Distance]],{"0-1 Miles","1-2 Miles","2-5 Miles","5-10 Miles","10+ Miles"})</f>
        <v>1</v>
      </c>
      <c r="T96" s="20">
        <f>_xlfn.XMATCH(tbl_Clean[[#This Row],[Education]],{"Partial High School","High School","Partial College","Bachelors","Graduate Degree"})</f>
        <v>3</v>
      </c>
      <c r="U96" s="20">
        <f>IF(tbl_Clean[[#This Row],[Purchased Bike]]="Yes",1,0)</f>
        <v>1</v>
      </c>
    </row>
    <row r="97" spans="1:21" x14ac:dyDescent="0.25">
      <c r="A97" s="20">
        <v>19562</v>
      </c>
      <c r="B97" s="3" t="s">
        <v>114</v>
      </c>
      <c r="C97" s="3" t="s">
        <v>112</v>
      </c>
      <c r="D97" s="19">
        <v>60000</v>
      </c>
      <c r="E97" s="20">
        <v>2</v>
      </c>
      <c r="F97" s="3" t="s">
        <v>15</v>
      </c>
      <c r="G97" s="3" t="s">
        <v>23</v>
      </c>
      <c r="H97" s="3" t="s">
        <v>17</v>
      </c>
      <c r="I97" s="20">
        <v>1</v>
      </c>
      <c r="J97" s="3" t="s">
        <v>24</v>
      </c>
      <c r="K97" s="3" t="s">
        <v>27</v>
      </c>
      <c r="L97" s="20">
        <v>37</v>
      </c>
      <c r="M97" s="3" t="s">
        <v>17</v>
      </c>
      <c r="N97" s="20" t="str" cm="1">
        <f t="array" ref="N97">_xlfn.IFS(tbl_Clean[[#This Row],[Age]]&lt;=30,"25-30",tbl_Clean[[#This Row],[Age]]&lt;=40,"31-40",tbl_Clean[[#This Row],[Age]]&lt;=50,"41-50",tbl_Clean[[#This Row],[Age]]&lt;=60,"51-60",TRUE,"61+")</f>
        <v>31-40</v>
      </c>
      <c r="O97" s="20">
        <f>_xlfn.XMATCH(tbl_Clean[[#This Row],[Age Band]],{"25-30","31-40","41-50","51-60","61+"})</f>
        <v>2</v>
      </c>
      <c r="P97" s="20" t="str" cm="1">
        <f t="array" ref="P97">_xlfn.IFS(tbl_Clean[[#This Row],[Income]]&lt;=30000,"$10k-30k",tbl_Clean[[#This Row],[Income]]&lt;=60000,"$40k-60k",tbl_Clean[[#This Row],[Income]]&lt;=90000,"$70k-90k",TRUE,"$100k+")</f>
        <v>$40k-60k</v>
      </c>
      <c r="Q97" s="20">
        <f>_xlfn.XMATCH(tbl_Clean[[#This Row],[Income Band]],{"$10k-30k","$40k-60k","$70k-90k","$100k+"})</f>
        <v>2</v>
      </c>
      <c r="R97" s="20" t="str">
        <f>IF(tbl_Clean[[#This Row],[Cars]]&lt;=1,"0-1 Cars","2+ Cars")</f>
        <v>0-1 Cars</v>
      </c>
      <c r="S97" s="20">
        <f>_xlfn.XMATCH(tbl_Clean[[#This Row],[Commute Distance]],{"0-1 Miles","1-2 Miles","2-5 Miles","5-10 Miles","10+ Miles"})</f>
        <v>3</v>
      </c>
      <c r="T97" s="20">
        <f>_xlfn.XMATCH(tbl_Clean[[#This Row],[Education]],{"Partial High School","High School","Partial College","Bachelors","Graduate Degree"})</f>
        <v>4</v>
      </c>
      <c r="U97" s="20">
        <f>IF(tbl_Clean[[#This Row],[Purchased Bike]]="Yes",1,0)</f>
        <v>1</v>
      </c>
    </row>
    <row r="98" spans="1:21" x14ac:dyDescent="0.25">
      <c r="A98" s="20">
        <v>15608</v>
      </c>
      <c r="B98" s="3" t="s">
        <v>114</v>
      </c>
      <c r="C98" s="3" t="s">
        <v>112</v>
      </c>
      <c r="D98" s="19">
        <v>30000</v>
      </c>
      <c r="E98" s="20">
        <v>0</v>
      </c>
      <c r="F98" s="3" t="s">
        <v>21</v>
      </c>
      <c r="G98" s="3" t="s">
        <v>22</v>
      </c>
      <c r="H98" s="3" t="s">
        <v>20</v>
      </c>
      <c r="I98" s="20">
        <v>1</v>
      </c>
      <c r="J98" s="3" t="s">
        <v>24</v>
      </c>
      <c r="K98" s="3" t="s">
        <v>19</v>
      </c>
      <c r="L98" s="20">
        <v>33</v>
      </c>
      <c r="M98" s="3" t="s">
        <v>20</v>
      </c>
      <c r="N98" s="20" t="str" cm="1">
        <f t="array" ref="N98">_xlfn.IFS(tbl_Clean[[#This Row],[Age]]&lt;=30,"25-30",tbl_Clean[[#This Row],[Age]]&lt;=40,"31-40",tbl_Clean[[#This Row],[Age]]&lt;=50,"41-50",tbl_Clean[[#This Row],[Age]]&lt;=60,"51-60",TRUE,"61+")</f>
        <v>31-40</v>
      </c>
      <c r="O98" s="20">
        <f>_xlfn.XMATCH(tbl_Clean[[#This Row],[Age Band]],{"25-30","31-40","41-50","51-60","61+"})</f>
        <v>2</v>
      </c>
      <c r="P98" s="20" t="str" cm="1">
        <f t="array" ref="P98">_xlfn.IFS(tbl_Clean[[#This Row],[Income]]&lt;=30000,"$10k-30k",tbl_Clean[[#This Row],[Income]]&lt;=60000,"$40k-60k",tbl_Clean[[#This Row],[Income]]&lt;=90000,"$70k-90k",TRUE,"$100k+")</f>
        <v>$10k-30k</v>
      </c>
      <c r="Q98" s="20">
        <f>_xlfn.XMATCH(tbl_Clean[[#This Row],[Income Band]],{"$10k-30k","$40k-60k","$70k-90k","$100k+"})</f>
        <v>1</v>
      </c>
      <c r="R98" s="20" t="str">
        <f>IF(tbl_Clean[[#This Row],[Cars]]&lt;=1,"0-1 Cars","2+ Cars")</f>
        <v>0-1 Cars</v>
      </c>
      <c r="S98" s="20">
        <f>_xlfn.XMATCH(tbl_Clean[[#This Row],[Commute Distance]],{"0-1 Miles","1-2 Miles","2-5 Miles","5-10 Miles","10+ Miles"})</f>
        <v>3</v>
      </c>
      <c r="T98" s="20">
        <f>_xlfn.XMATCH(tbl_Clean[[#This Row],[Education]],{"Partial High School","High School","Partial College","Bachelors","Graduate Degree"})</f>
        <v>3</v>
      </c>
      <c r="U98" s="20">
        <f>IF(tbl_Clean[[#This Row],[Purchased Bike]]="Yes",1,0)</f>
        <v>0</v>
      </c>
    </row>
    <row r="99" spans="1:21" x14ac:dyDescent="0.25">
      <c r="A99" s="20">
        <v>16487</v>
      </c>
      <c r="B99" s="3" t="s">
        <v>114</v>
      </c>
      <c r="C99" s="3" t="s">
        <v>112</v>
      </c>
      <c r="D99" s="19">
        <v>30000</v>
      </c>
      <c r="E99" s="20">
        <v>3</v>
      </c>
      <c r="F99" s="3" t="s">
        <v>30</v>
      </c>
      <c r="G99" s="3" t="s">
        <v>16</v>
      </c>
      <c r="H99" s="3" t="s">
        <v>17</v>
      </c>
      <c r="I99" s="20">
        <v>2</v>
      </c>
      <c r="J99" s="3" t="s">
        <v>26</v>
      </c>
      <c r="K99" s="3" t="s">
        <v>27</v>
      </c>
      <c r="L99" s="20">
        <v>55</v>
      </c>
      <c r="M99" s="3" t="s">
        <v>20</v>
      </c>
      <c r="N99" s="20" t="str" cm="1">
        <f t="array" ref="N99">_xlfn.IFS(tbl_Clean[[#This Row],[Age]]&lt;=30,"25-30",tbl_Clean[[#This Row],[Age]]&lt;=40,"31-40",tbl_Clean[[#This Row],[Age]]&lt;=50,"41-50",tbl_Clean[[#This Row],[Age]]&lt;=60,"51-60",TRUE,"61+")</f>
        <v>51-60</v>
      </c>
      <c r="O99" s="20">
        <f>_xlfn.XMATCH(tbl_Clean[[#This Row],[Age Band]],{"25-30","31-40","41-50","51-60","61+"})</f>
        <v>4</v>
      </c>
      <c r="P99" s="20" t="str" cm="1">
        <f t="array" ref="P99">_xlfn.IFS(tbl_Clean[[#This Row],[Income]]&lt;=30000,"$10k-30k",tbl_Clean[[#This Row],[Income]]&lt;=60000,"$40k-60k",tbl_Clean[[#This Row],[Income]]&lt;=90000,"$70k-90k",TRUE,"$100k+")</f>
        <v>$10k-30k</v>
      </c>
      <c r="Q99" s="20">
        <f>_xlfn.XMATCH(tbl_Clean[[#This Row],[Income Band]],{"$10k-30k","$40k-60k","$70k-90k","$100k+"})</f>
        <v>1</v>
      </c>
      <c r="R99" s="20" t="str">
        <f>IF(tbl_Clean[[#This Row],[Cars]]&lt;=1,"0-1 Cars","2+ Cars")</f>
        <v>2+ Cars</v>
      </c>
      <c r="S99" s="20">
        <f>_xlfn.XMATCH(tbl_Clean[[#This Row],[Commute Distance]],{"0-1 Miles","1-2 Miles","2-5 Miles","5-10 Miles","10+ Miles"})</f>
        <v>4</v>
      </c>
      <c r="T99" s="20">
        <f>_xlfn.XMATCH(tbl_Clean[[#This Row],[Education]],{"Partial High School","High School","Partial College","Bachelors","Graduate Degree"})</f>
        <v>2</v>
      </c>
      <c r="U99" s="20">
        <f>IF(tbl_Clean[[#This Row],[Purchased Bike]]="Yes",1,0)</f>
        <v>0</v>
      </c>
    </row>
    <row r="100" spans="1:21" x14ac:dyDescent="0.25">
      <c r="A100" s="20">
        <v>17197</v>
      </c>
      <c r="B100" s="3" t="s">
        <v>114</v>
      </c>
      <c r="C100" s="3" t="s">
        <v>112</v>
      </c>
      <c r="D100" s="19">
        <v>90000</v>
      </c>
      <c r="E100" s="20">
        <v>5</v>
      </c>
      <c r="F100" s="3" t="s">
        <v>21</v>
      </c>
      <c r="G100" s="3" t="s">
        <v>23</v>
      </c>
      <c r="H100" s="3" t="s">
        <v>17</v>
      </c>
      <c r="I100" s="20">
        <v>2</v>
      </c>
      <c r="J100" s="3" t="s">
        <v>33</v>
      </c>
      <c r="K100" s="3" t="s">
        <v>19</v>
      </c>
      <c r="L100" s="20">
        <v>62</v>
      </c>
      <c r="M100" s="3" t="s">
        <v>20</v>
      </c>
      <c r="N100" s="20" t="str" cm="1">
        <f t="array" ref="N100">_xlfn.IFS(tbl_Clean[[#This Row],[Age]]&lt;=30,"25-30",tbl_Clean[[#This Row],[Age]]&lt;=40,"31-40",tbl_Clean[[#This Row],[Age]]&lt;=50,"41-50",tbl_Clean[[#This Row],[Age]]&lt;=60,"51-60",TRUE,"61+")</f>
        <v>61+</v>
      </c>
      <c r="O100" s="20">
        <f>_xlfn.XMATCH(tbl_Clean[[#This Row],[Age Band]],{"25-30","31-40","41-50","51-60","61+"})</f>
        <v>5</v>
      </c>
      <c r="P100" s="20" t="str" cm="1">
        <f t="array" ref="P100">_xlfn.IFS(tbl_Clean[[#This Row],[Income]]&lt;=30000,"$10k-30k",tbl_Clean[[#This Row],[Income]]&lt;=60000,"$40k-60k",tbl_Clean[[#This Row],[Income]]&lt;=90000,"$70k-90k",TRUE,"$100k+")</f>
        <v>$70k-90k</v>
      </c>
      <c r="Q100" s="20">
        <f>_xlfn.XMATCH(tbl_Clean[[#This Row],[Income Band]],{"$10k-30k","$40k-60k","$70k-90k","$100k+"})</f>
        <v>3</v>
      </c>
      <c r="R100" s="20" t="str">
        <f>IF(tbl_Clean[[#This Row],[Cars]]&lt;=1,"0-1 Cars","2+ Cars")</f>
        <v>2+ Cars</v>
      </c>
      <c r="S100" s="20">
        <f>_xlfn.XMATCH(tbl_Clean[[#This Row],[Commute Distance]],{"0-1 Miles","1-2 Miles","2-5 Miles","5-10 Miles","10+ Miles"})</f>
        <v>5</v>
      </c>
      <c r="T100" s="20">
        <f>_xlfn.XMATCH(tbl_Clean[[#This Row],[Education]],{"Partial High School","High School","Partial College","Bachelors","Graduate Degree"})</f>
        <v>3</v>
      </c>
      <c r="U100" s="20">
        <f>IF(tbl_Clean[[#This Row],[Purchased Bike]]="Yes",1,0)</f>
        <v>0</v>
      </c>
    </row>
    <row r="101" spans="1:21" x14ac:dyDescent="0.25">
      <c r="A101" s="20">
        <v>12507</v>
      </c>
      <c r="B101" s="3" t="s">
        <v>111</v>
      </c>
      <c r="C101" s="3" t="s">
        <v>113</v>
      </c>
      <c r="D101" s="19">
        <v>30000</v>
      </c>
      <c r="E101" s="20">
        <v>1</v>
      </c>
      <c r="F101" s="3" t="s">
        <v>21</v>
      </c>
      <c r="G101" s="3" t="s">
        <v>22</v>
      </c>
      <c r="H101" s="3" t="s">
        <v>17</v>
      </c>
      <c r="I101" s="20">
        <v>1</v>
      </c>
      <c r="J101" s="3" t="s">
        <v>18</v>
      </c>
      <c r="K101" s="3" t="s">
        <v>19</v>
      </c>
      <c r="L101" s="20">
        <v>43</v>
      </c>
      <c r="M101" s="3" t="s">
        <v>20</v>
      </c>
      <c r="N101" s="20" t="str" cm="1">
        <f t="array" ref="N101">_xlfn.IFS(tbl_Clean[[#This Row],[Age]]&lt;=30,"25-30",tbl_Clean[[#This Row],[Age]]&lt;=40,"31-40",tbl_Clean[[#This Row],[Age]]&lt;=50,"41-50",tbl_Clean[[#This Row],[Age]]&lt;=60,"51-60",TRUE,"61+")</f>
        <v>41-50</v>
      </c>
      <c r="O101" s="20">
        <f>_xlfn.XMATCH(tbl_Clean[[#This Row],[Age Band]],{"25-30","31-40","41-50","51-60","61+"})</f>
        <v>3</v>
      </c>
      <c r="P101" s="20" t="str" cm="1">
        <f t="array" ref="P101">_xlfn.IFS(tbl_Clean[[#This Row],[Income]]&lt;=30000,"$10k-30k",tbl_Clean[[#This Row],[Income]]&lt;=60000,"$40k-60k",tbl_Clean[[#This Row],[Income]]&lt;=90000,"$70k-90k",TRUE,"$100k+")</f>
        <v>$10k-30k</v>
      </c>
      <c r="Q101" s="20">
        <f>_xlfn.XMATCH(tbl_Clean[[#This Row],[Income Band]],{"$10k-30k","$40k-60k","$70k-90k","$100k+"})</f>
        <v>1</v>
      </c>
      <c r="R101" s="20" t="str">
        <f>IF(tbl_Clean[[#This Row],[Cars]]&lt;=1,"0-1 Cars","2+ Cars")</f>
        <v>0-1 Cars</v>
      </c>
      <c r="S101" s="20">
        <f>_xlfn.XMATCH(tbl_Clean[[#This Row],[Commute Distance]],{"0-1 Miles","1-2 Miles","2-5 Miles","5-10 Miles","10+ Miles"})</f>
        <v>1</v>
      </c>
      <c r="T101" s="20">
        <f>_xlfn.XMATCH(tbl_Clean[[#This Row],[Education]],{"Partial High School","High School","Partial College","Bachelors","Graduate Degree"})</f>
        <v>3</v>
      </c>
      <c r="U101" s="20">
        <f>IF(tbl_Clean[[#This Row],[Purchased Bike]]="Yes",1,0)</f>
        <v>0</v>
      </c>
    </row>
    <row r="102" spans="1:21" x14ac:dyDescent="0.25">
      <c r="A102" s="20">
        <v>23940</v>
      </c>
      <c r="B102" s="3" t="s">
        <v>111</v>
      </c>
      <c r="C102" s="3" t="s">
        <v>113</v>
      </c>
      <c r="D102" s="19">
        <v>40000</v>
      </c>
      <c r="E102" s="20">
        <v>1</v>
      </c>
      <c r="F102" s="3" t="s">
        <v>15</v>
      </c>
      <c r="G102" s="3" t="s">
        <v>16</v>
      </c>
      <c r="H102" s="3" t="s">
        <v>17</v>
      </c>
      <c r="I102" s="20">
        <v>1</v>
      </c>
      <c r="J102" s="3" t="s">
        <v>18</v>
      </c>
      <c r="K102" s="3" t="s">
        <v>19</v>
      </c>
      <c r="L102" s="20">
        <v>44</v>
      </c>
      <c r="M102" s="3" t="s">
        <v>17</v>
      </c>
      <c r="N102" s="20" t="str" cm="1">
        <f t="array" ref="N102">_xlfn.IFS(tbl_Clean[[#This Row],[Age]]&lt;=30,"25-30",tbl_Clean[[#This Row],[Age]]&lt;=40,"31-40",tbl_Clean[[#This Row],[Age]]&lt;=50,"41-50",tbl_Clean[[#This Row],[Age]]&lt;=60,"51-60",TRUE,"61+")</f>
        <v>41-50</v>
      </c>
      <c r="O102" s="20">
        <f>_xlfn.XMATCH(tbl_Clean[[#This Row],[Age Band]],{"25-30","31-40","41-50","51-60","61+"})</f>
        <v>3</v>
      </c>
      <c r="P102" s="20" t="str" cm="1">
        <f t="array" ref="P102">_xlfn.IFS(tbl_Clean[[#This Row],[Income]]&lt;=30000,"$10k-30k",tbl_Clean[[#This Row],[Income]]&lt;=60000,"$40k-60k",tbl_Clean[[#This Row],[Income]]&lt;=90000,"$70k-90k",TRUE,"$100k+")</f>
        <v>$40k-60k</v>
      </c>
      <c r="Q102" s="20">
        <f>_xlfn.XMATCH(tbl_Clean[[#This Row],[Income Band]],{"$10k-30k","$40k-60k","$70k-90k","$100k+"})</f>
        <v>2</v>
      </c>
      <c r="R102" s="20" t="str">
        <f>IF(tbl_Clean[[#This Row],[Cars]]&lt;=1,"0-1 Cars","2+ Cars")</f>
        <v>0-1 Cars</v>
      </c>
      <c r="S102" s="20">
        <f>_xlfn.XMATCH(tbl_Clean[[#This Row],[Commute Distance]],{"0-1 Miles","1-2 Miles","2-5 Miles","5-10 Miles","10+ Miles"})</f>
        <v>1</v>
      </c>
      <c r="T102" s="20">
        <f>_xlfn.XMATCH(tbl_Clean[[#This Row],[Education]],{"Partial High School","High School","Partial College","Bachelors","Graduate Degree"})</f>
        <v>4</v>
      </c>
      <c r="U102" s="20">
        <f>IF(tbl_Clean[[#This Row],[Purchased Bike]]="Yes",1,0)</f>
        <v>1</v>
      </c>
    </row>
    <row r="103" spans="1:21" x14ac:dyDescent="0.25">
      <c r="A103" s="20">
        <v>19441</v>
      </c>
      <c r="B103" s="3" t="s">
        <v>111</v>
      </c>
      <c r="C103" s="3" t="s">
        <v>113</v>
      </c>
      <c r="D103" s="19">
        <v>40000</v>
      </c>
      <c r="E103" s="20">
        <v>0</v>
      </c>
      <c r="F103" s="3" t="s">
        <v>34</v>
      </c>
      <c r="G103" s="3" t="s">
        <v>22</v>
      </c>
      <c r="H103" s="3" t="s">
        <v>17</v>
      </c>
      <c r="I103" s="20">
        <v>0</v>
      </c>
      <c r="J103" s="3" t="s">
        <v>18</v>
      </c>
      <c r="K103" s="3" t="s">
        <v>19</v>
      </c>
      <c r="L103" s="20">
        <v>25</v>
      </c>
      <c r="M103" s="3" t="s">
        <v>17</v>
      </c>
      <c r="N103" s="20" t="str" cm="1">
        <f t="array" ref="N103">_xlfn.IFS(tbl_Clean[[#This Row],[Age]]&lt;=30,"25-30",tbl_Clean[[#This Row],[Age]]&lt;=40,"31-40",tbl_Clean[[#This Row],[Age]]&lt;=50,"41-50",tbl_Clean[[#This Row],[Age]]&lt;=60,"51-60",TRUE,"61+")</f>
        <v>25-30</v>
      </c>
      <c r="O103" s="20">
        <f>_xlfn.XMATCH(tbl_Clean[[#This Row],[Age Band]],{"25-30","31-40","41-50","51-60","61+"})</f>
        <v>1</v>
      </c>
      <c r="P103" s="20" t="str" cm="1">
        <f t="array" ref="P103">_xlfn.IFS(tbl_Clean[[#This Row],[Income]]&lt;=30000,"$10k-30k",tbl_Clean[[#This Row],[Income]]&lt;=60000,"$40k-60k",tbl_Clean[[#This Row],[Income]]&lt;=90000,"$70k-90k",TRUE,"$100k+")</f>
        <v>$40k-60k</v>
      </c>
      <c r="Q103" s="20">
        <f>_xlfn.XMATCH(tbl_Clean[[#This Row],[Income Band]],{"$10k-30k","$40k-60k","$70k-90k","$100k+"})</f>
        <v>2</v>
      </c>
      <c r="R103" s="20" t="str">
        <f>IF(tbl_Clean[[#This Row],[Cars]]&lt;=1,"0-1 Cars","2+ Cars")</f>
        <v>0-1 Cars</v>
      </c>
      <c r="S103" s="20">
        <f>_xlfn.XMATCH(tbl_Clean[[#This Row],[Commute Distance]],{"0-1 Miles","1-2 Miles","2-5 Miles","5-10 Miles","10+ Miles"})</f>
        <v>1</v>
      </c>
      <c r="T103" s="20">
        <f>_xlfn.XMATCH(tbl_Clean[[#This Row],[Education]],{"Partial High School","High School","Partial College","Bachelors","Graduate Degree"})</f>
        <v>5</v>
      </c>
      <c r="U103" s="20">
        <f>IF(tbl_Clean[[#This Row],[Purchased Bike]]="Yes",1,0)</f>
        <v>1</v>
      </c>
    </row>
    <row r="104" spans="1:21" x14ac:dyDescent="0.25">
      <c r="A104" s="20">
        <v>26852</v>
      </c>
      <c r="B104" s="3" t="s">
        <v>111</v>
      </c>
      <c r="C104" s="3" t="s">
        <v>112</v>
      </c>
      <c r="D104" s="19">
        <v>20000</v>
      </c>
      <c r="E104" s="20">
        <v>3</v>
      </c>
      <c r="F104" s="3" t="s">
        <v>30</v>
      </c>
      <c r="G104" s="3" t="s">
        <v>28</v>
      </c>
      <c r="H104" s="3" t="s">
        <v>17</v>
      </c>
      <c r="I104" s="20">
        <v>2</v>
      </c>
      <c r="J104" s="3" t="s">
        <v>18</v>
      </c>
      <c r="K104" s="3" t="s">
        <v>19</v>
      </c>
      <c r="L104" s="20">
        <v>43</v>
      </c>
      <c r="M104" s="3" t="s">
        <v>20</v>
      </c>
      <c r="N104" s="20" t="str" cm="1">
        <f t="array" ref="N104">_xlfn.IFS(tbl_Clean[[#This Row],[Age]]&lt;=30,"25-30",tbl_Clean[[#This Row],[Age]]&lt;=40,"31-40",tbl_Clean[[#This Row],[Age]]&lt;=50,"41-50",tbl_Clean[[#This Row],[Age]]&lt;=60,"51-60",TRUE,"61+")</f>
        <v>41-50</v>
      </c>
      <c r="O104" s="20">
        <f>_xlfn.XMATCH(tbl_Clean[[#This Row],[Age Band]],{"25-30","31-40","41-50","51-60","61+"})</f>
        <v>3</v>
      </c>
      <c r="P104" s="20" t="str" cm="1">
        <f t="array" ref="P104">_xlfn.IFS(tbl_Clean[[#This Row],[Income]]&lt;=30000,"$10k-30k",tbl_Clean[[#This Row],[Income]]&lt;=60000,"$40k-60k",tbl_Clean[[#This Row],[Income]]&lt;=90000,"$70k-90k",TRUE,"$100k+")</f>
        <v>$10k-30k</v>
      </c>
      <c r="Q104" s="20">
        <f>_xlfn.XMATCH(tbl_Clean[[#This Row],[Income Band]],{"$10k-30k","$40k-60k","$70k-90k","$100k+"})</f>
        <v>1</v>
      </c>
      <c r="R104" s="20" t="str">
        <f>IF(tbl_Clean[[#This Row],[Cars]]&lt;=1,"0-1 Cars","2+ Cars")</f>
        <v>2+ Cars</v>
      </c>
      <c r="S104" s="20">
        <f>_xlfn.XMATCH(tbl_Clean[[#This Row],[Commute Distance]],{"0-1 Miles","1-2 Miles","2-5 Miles","5-10 Miles","10+ Miles"})</f>
        <v>1</v>
      </c>
      <c r="T104" s="20">
        <f>_xlfn.XMATCH(tbl_Clean[[#This Row],[Education]],{"Partial High School","High School","Partial College","Bachelors","Graduate Degree"})</f>
        <v>2</v>
      </c>
      <c r="U104" s="20">
        <f>IF(tbl_Clean[[#This Row],[Purchased Bike]]="Yes",1,0)</f>
        <v>0</v>
      </c>
    </row>
    <row r="105" spans="1:21" x14ac:dyDescent="0.25">
      <c r="A105" s="20">
        <v>12274</v>
      </c>
      <c r="B105" s="3" t="s">
        <v>114</v>
      </c>
      <c r="C105" s="3" t="s">
        <v>113</v>
      </c>
      <c r="D105" s="19">
        <v>10000</v>
      </c>
      <c r="E105" s="20">
        <v>2</v>
      </c>
      <c r="F105" s="3" t="s">
        <v>30</v>
      </c>
      <c r="G105" s="3" t="s">
        <v>28</v>
      </c>
      <c r="H105" s="3" t="s">
        <v>17</v>
      </c>
      <c r="I105" s="20">
        <v>0</v>
      </c>
      <c r="J105" s="3" t="s">
        <v>18</v>
      </c>
      <c r="K105" s="3" t="s">
        <v>19</v>
      </c>
      <c r="L105" s="20">
        <v>35</v>
      </c>
      <c r="M105" s="3" t="s">
        <v>20</v>
      </c>
      <c r="N105" s="20" t="str" cm="1">
        <f t="array" ref="N105">_xlfn.IFS(tbl_Clean[[#This Row],[Age]]&lt;=30,"25-30",tbl_Clean[[#This Row],[Age]]&lt;=40,"31-40",tbl_Clean[[#This Row],[Age]]&lt;=50,"41-50",tbl_Clean[[#This Row],[Age]]&lt;=60,"51-60",TRUE,"61+")</f>
        <v>31-40</v>
      </c>
      <c r="O105" s="20">
        <f>_xlfn.XMATCH(tbl_Clean[[#This Row],[Age Band]],{"25-30","31-40","41-50","51-60","61+"})</f>
        <v>2</v>
      </c>
      <c r="P105" s="20" t="str" cm="1">
        <f t="array" ref="P105">_xlfn.IFS(tbl_Clean[[#This Row],[Income]]&lt;=30000,"$10k-30k",tbl_Clean[[#This Row],[Income]]&lt;=60000,"$40k-60k",tbl_Clean[[#This Row],[Income]]&lt;=90000,"$70k-90k",TRUE,"$100k+")</f>
        <v>$10k-30k</v>
      </c>
      <c r="Q105" s="20">
        <f>_xlfn.XMATCH(tbl_Clean[[#This Row],[Income Band]],{"$10k-30k","$40k-60k","$70k-90k","$100k+"})</f>
        <v>1</v>
      </c>
      <c r="R105" s="20" t="str">
        <f>IF(tbl_Clean[[#This Row],[Cars]]&lt;=1,"0-1 Cars","2+ Cars")</f>
        <v>0-1 Cars</v>
      </c>
      <c r="S105" s="20">
        <f>_xlfn.XMATCH(tbl_Clean[[#This Row],[Commute Distance]],{"0-1 Miles","1-2 Miles","2-5 Miles","5-10 Miles","10+ Miles"})</f>
        <v>1</v>
      </c>
      <c r="T105" s="20">
        <f>_xlfn.XMATCH(tbl_Clean[[#This Row],[Education]],{"Partial High School","High School","Partial College","Bachelors","Graduate Degree"})</f>
        <v>2</v>
      </c>
      <c r="U105" s="20">
        <f>IF(tbl_Clean[[#This Row],[Purchased Bike]]="Yes",1,0)</f>
        <v>0</v>
      </c>
    </row>
    <row r="106" spans="1:21" x14ac:dyDescent="0.25">
      <c r="A106" s="20">
        <v>20236</v>
      </c>
      <c r="B106" s="3" t="s">
        <v>114</v>
      </c>
      <c r="C106" s="3" t="s">
        <v>113</v>
      </c>
      <c r="D106" s="19">
        <v>60000</v>
      </c>
      <c r="E106" s="20">
        <v>3</v>
      </c>
      <c r="F106" s="3" t="s">
        <v>15</v>
      </c>
      <c r="G106" s="3" t="s">
        <v>23</v>
      </c>
      <c r="H106" s="3" t="s">
        <v>20</v>
      </c>
      <c r="I106" s="20">
        <v>2</v>
      </c>
      <c r="J106" s="3" t="s">
        <v>18</v>
      </c>
      <c r="K106" s="3" t="s">
        <v>27</v>
      </c>
      <c r="L106" s="20">
        <v>43</v>
      </c>
      <c r="M106" s="3" t="s">
        <v>17</v>
      </c>
      <c r="N106" s="20" t="str" cm="1">
        <f t="array" ref="N106">_xlfn.IFS(tbl_Clean[[#This Row],[Age]]&lt;=30,"25-30",tbl_Clean[[#This Row],[Age]]&lt;=40,"31-40",tbl_Clean[[#This Row],[Age]]&lt;=50,"41-50",tbl_Clean[[#This Row],[Age]]&lt;=60,"51-60",TRUE,"61+")</f>
        <v>41-50</v>
      </c>
      <c r="O106" s="20">
        <f>_xlfn.XMATCH(tbl_Clean[[#This Row],[Age Band]],{"25-30","31-40","41-50","51-60","61+"})</f>
        <v>3</v>
      </c>
      <c r="P106" s="20" t="str" cm="1">
        <f t="array" ref="P106">_xlfn.IFS(tbl_Clean[[#This Row],[Income]]&lt;=30000,"$10k-30k",tbl_Clean[[#This Row],[Income]]&lt;=60000,"$40k-60k",tbl_Clean[[#This Row],[Income]]&lt;=90000,"$70k-90k",TRUE,"$100k+")</f>
        <v>$40k-60k</v>
      </c>
      <c r="Q106" s="20">
        <f>_xlfn.XMATCH(tbl_Clean[[#This Row],[Income Band]],{"$10k-30k","$40k-60k","$70k-90k","$100k+"})</f>
        <v>2</v>
      </c>
      <c r="R106" s="20" t="str">
        <f>IF(tbl_Clean[[#This Row],[Cars]]&lt;=1,"0-1 Cars","2+ Cars")</f>
        <v>2+ Cars</v>
      </c>
      <c r="S106" s="20">
        <f>_xlfn.XMATCH(tbl_Clean[[#This Row],[Commute Distance]],{"0-1 Miles","1-2 Miles","2-5 Miles","5-10 Miles","10+ Miles"})</f>
        <v>1</v>
      </c>
      <c r="T106" s="20">
        <f>_xlfn.XMATCH(tbl_Clean[[#This Row],[Education]],{"Partial High School","High School","Partial College","Bachelors","Graduate Degree"})</f>
        <v>4</v>
      </c>
      <c r="U106" s="20">
        <f>IF(tbl_Clean[[#This Row],[Purchased Bike]]="Yes",1,0)</f>
        <v>1</v>
      </c>
    </row>
    <row r="107" spans="1:21" x14ac:dyDescent="0.25">
      <c r="A107" s="20">
        <v>24149</v>
      </c>
      <c r="B107" s="3" t="s">
        <v>111</v>
      </c>
      <c r="C107" s="3" t="s">
        <v>113</v>
      </c>
      <c r="D107" s="19">
        <v>10000</v>
      </c>
      <c r="E107" s="20">
        <v>2</v>
      </c>
      <c r="F107" s="3" t="s">
        <v>21</v>
      </c>
      <c r="G107" s="3" t="s">
        <v>28</v>
      </c>
      <c r="H107" s="3" t="s">
        <v>17</v>
      </c>
      <c r="I107" s="20">
        <v>0</v>
      </c>
      <c r="J107" s="3" t="s">
        <v>29</v>
      </c>
      <c r="K107" s="3" t="s">
        <v>19</v>
      </c>
      <c r="L107" s="20">
        <v>49</v>
      </c>
      <c r="M107" s="3" t="s">
        <v>20</v>
      </c>
      <c r="N107" s="20" t="str" cm="1">
        <f t="array" ref="N107">_xlfn.IFS(tbl_Clean[[#This Row],[Age]]&lt;=30,"25-30",tbl_Clean[[#This Row],[Age]]&lt;=40,"31-40",tbl_Clean[[#This Row],[Age]]&lt;=50,"41-50",tbl_Clean[[#This Row],[Age]]&lt;=60,"51-60",TRUE,"61+")</f>
        <v>41-50</v>
      </c>
      <c r="O107" s="20">
        <f>_xlfn.XMATCH(tbl_Clean[[#This Row],[Age Band]],{"25-30","31-40","41-50","51-60","61+"})</f>
        <v>3</v>
      </c>
      <c r="P107" s="20" t="str" cm="1">
        <f t="array" ref="P107">_xlfn.IFS(tbl_Clean[[#This Row],[Income]]&lt;=30000,"$10k-30k",tbl_Clean[[#This Row],[Income]]&lt;=60000,"$40k-60k",tbl_Clean[[#This Row],[Income]]&lt;=90000,"$70k-90k",TRUE,"$100k+")</f>
        <v>$10k-30k</v>
      </c>
      <c r="Q107" s="20">
        <f>_xlfn.XMATCH(tbl_Clean[[#This Row],[Income Band]],{"$10k-30k","$40k-60k","$70k-90k","$100k+"})</f>
        <v>1</v>
      </c>
      <c r="R107" s="20" t="str">
        <f>IF(tbl_Clean[[#This Row],[Cars]]&lt;=1,"0-1 Cars","2+ Cars")</f>
        <v>0-1 Cars</v>
      </c>
      <c r="S107" s="20">
        <f>_xlfn.XMATCH(tbl_Clean[[#This Row],[Commute Distance]],{"0-1 Miles","1-2 Miles","2-5 Miles","5-10 Miles","10+ Miles"})</f>
        <v>2</v>
      </c>
      <c r="T107" s="20">
        <f>_xlfn.XMATCH(tbl_Clean[[#This Row],[Education]],{"Partial High School","High School","Partial College","Bachelors","Graduate Degree"})</f>
        <v>3</v>
      </c>
      <c r="U107" s="20">
        <f>IF(tbl_Clean[[#This Row],[Purchased Bike]]="Yes",1,0)</f>
        <v>0</v>
      </c>
    </row>
    <row r="108" spans="1:21" x14ac:dyDescent="0.25">
      <c r="A108" s="20">
        <v>26139</v>
      </c>
      <c r="B108" s="3" t="s">
        <v>114</v>
      </c>
      <c r="C108" s="3" t="s">
        <v>113</v>
      </c>
      <c r="D108" s="19">
        <v>60000</v>
      </c>
      <c r="E108" s="20">
        <v>1</v>
      </c>
      <c r="F108" s="3" t="s">
        <v>21</v>
      </c>
      <c r="G108" s="3" t="s">
        <v>16</v>
      </c>
      <c r="H108" s="3" t="s">
        <v>17</v>
      </c>
      <c r="I108" s="20">
        <v>1</v>
      </c>
      <c r="J108" s="3" t="s">
        <v>26</v>
      </c>
      <c r="K108" s="3" t="s">
        <v>27</v>
      </c>
      <c r="L108" s="20">
        <v>45</v>
      </c>
      <c r="M108" s="3" t="s">
        <v>20</v>
      </c>
      <c r="N108" s="20" t="str" cm="1">
        <f t="array" ref="N108">_xlfn.IFS(tbl_Clean[[#This Row],[Age]]&lt;=30,"25-30",tbl_Clean[[#This Row],[Age]]&lt;=40,"31-40",tbl_Clean[[#This Row],[Age]]&lt;=50,"41-50",tbl_Clean[[#This Row],[Age]]&lt;=60,"51-60",TRUE,"61+")</f>
        <v>41-50</v>
      </c>
      <c r="O108" s="20">
        <f>_xlfn.XMATCH(tbl_Clean[[#This Row],[Age Band]],{"25-30","31-40","41-50","51-60","61+"})</f>
        <v>3</v>
      </c>
      <c r="P108" s="20" t="str" cm="1">
        <f t="array" ref="P108">_xlfn.IFS(tbl_Clean[[#This Row],[Income]]&lt;=30000,"$10k-30k",tbl_Clean[[#This Row],[Income]]&lt;=60000,"$40k-60k",tbl_Clean[[#This Row],[Income]]&lt;=90000,"$70k-90k",TRUE,"$100k+")</f>
        <v>$40k-60k</v>
      </c>
      <c r="Q108" s="20">
        <f>_xlfn.XMATCH(tbl_Clean[[#This Row],[Income Band]],{"$10k-30k","$40k-60k","$70k-90k","$100k+"})</f>
        <v>2</v>
      </c>
      <c r="R108" s="20" t="str">
        <f>IF(tbl_Clean[[#This Row],[Cars]]&lt;=1,"0-1 Cars","2+ Cars")</f>
        <v>0-1 Cars</v>
      </c>
      <c r="S108" s="20">
        <f>_xlfn.XMATCH(tbl_Clean[[#This Row],[Commute Distance]],{"0-1 Miles","1-2 Miles","2-5 Miles","5-10 Miles","10+ Miles"})</f>
        <v>4</v>
      </c>
      <c r="T108" s="20">
        <f>_xlfn.XMATCH(tbl_Clean[[#This Row],[Education]],{"Partial High School","High School","Partial College","Bachelors","Graduate Degree"})</f>
        <v>3</v>
      </c>
      <c r="U108" s="20">
        <f>IF(tbl_Clean[[#This Row],[Purchased Bike]]="Yes",1,0)</f>
        <v>0</v>
      </c>
    </row>
    <row r="109" spans="1:21" x14ac:dyDescent="0.25">
      <c r="A109" s="20">
        <v>18491</v>
      </c>
      <c r="B109" s="3" t="s">
        <v>114</v>
      </c>
      <c r="C109" s="3" t="s">
        <v>112</v>
      </c>
      <c r="D109" s="19">
        <v>70000</v>
      </c>
      <c r="E109" s="20">
        <v>2</v>
      </c>
      <c r="F109" s="3" t="s">
        <v>30</v>
      </c>
      <c r="G109" s="3" t="s">
        <v>23</v>
      </c>
      <c r="H109" s="3" t="s">
        <v>17</v>
      </c>
      <c r="I109" s="20">
        <v>2</v>
      </c>
      <c r="J109" s="3" t="s">
        <v>26</v>
      </c>
      <c r="K109" s="3" t="s">
        <v>27</v>
      </c>
      <c r="L109" s="20">
        <v>49</v>
      </c>
      <c r="M109" s="3" t="s">
        <v>17</v>
      </c>
      <c r="N109" s="20" t="str" cm="1">
        <f t="array" ref="N109">_xlfn.IFS(tbl_Clean[[#This Row],[Age]]&lt;=30,"25-30",tbl_Clean[[#This Row],[Age]]&lt;=40,"31-40",tbl_Clean[[#This Row],[Age]]&lt;=50,"41-50",tbl_Clean[[#This Row],[Age]]&lt;=60,"51-60",TRUE,"61+")</f>
        <v>41-50</v>
      </c>
      <c r="O109" s="20">
        <f>_xlfn.XMATCH(tbl_Clean[[#This Row],[Age Band]],{"25-30","31-40","41-50","51-60","61+"})</f>
        <v>3</v>
      </c>
      <c r="P109" s="20" t="str" cm="1">
        <f t="array" ref="P109">_xlfn.IFS(tbl_Clean[[#This Row],[Income]]&lt;=30000,"$10k-30k",tbl_Clean[[#This Row],[Income]]&lt;=60000,"$40k-60k",tbl_Clean[[#This Row],[Income]]&lt;=90000,"$70k-90k",TRUE,"$100k+")</f>
        <v>$70k-90k</v>
      </c>
      <c r="Q109" s="20">
        <f>_xlfn.XMATCH(tbl_Clean[[#This Row],[Income Band]],{"$10k-30k","$40k-60k","$70k-90k","$100k+"})</f>
        <v>3</v>
      </c>
      <c r="R109" s="20" t="str">
        <f>IF(tbl_Clean[[#This Row],[Cars]]&lt;=1,"0-1 Cars","2+ Cars")</f>
        <v>2+ Cars</v>
      </c>
      <c r="S109" s="20">
        <f>_xlfn.XMATCH(tbl_Clean[[#This Row],[Commute Distance]],{"0-1 Miles","1-2 Miles","2-5 Miles","5-10 Miles","10+ Miles"})</f>
        <v>4</v>
      </c>
      <c r="T109" s="20">
        <f>_xlfn.XMATCH(tbl_Clean[[#This Row],[Education]],{"Partial High School","High School","Partial College","Bachelors","Graduate Degree"})</f>
        <v>2</v>
      </c>
      <c r="U109" s="20">
        <f>IF(tbl_Clean[[#This Row],[Purchased Bike]]="Yes",1,0)</f>
        <v>1</v>
      </c>
    </row>
    <row r="110" spans="1:21" x14ac:dyDescent="0.25">
      <c r="A110" s="20">
        <v>22707</v>
      </c>
      <c r="B110" s="3" t="s">
        <v>114</v>
      </c>
      <c r="C110" s="3" t="s">
        <v>112</v>
      </c>
      <c r="D110" s="19">
        <v>30000</v>
      </c>
      <c r="E110" s="20">
        <v>0</v>
      </c>
      <c r="F110" s="3" t="s">
        <v>21</v>
      </c>
      <c r="G110" s="3" t="s">
        <v>22</v>
      </c>
      <c r="H110" s="3" t="s">
        <v>20</v>
      </c>
      <c r="I110" s="20">
        <v>1</v>
      </c>
      <c r="J110" s="3" t="s">
        <v>24</v>
      </c>
      <c r="K110" s="3" t="s">
        <v>19</v>
      </c>
      <c r="L110" s="20">
        <v>30</v>
      </c>
      <c r="M110" s="3" t="s">
        <v>20</v>
      </c>
      <c r="N110" s="20" t="str" cm="1">
        <f t="array" ref="N110">_xlfn.IFS(tbl_Clean[[#This Row],[Age]]&lt;=30,"25-30",tbl_Clean[[#This Row],[Age]]&lt;=40,"31-40",tbl_Clean[[#This Row],[Age]]&lt;=50,"41-50",tbl_Clean[[#This Row],[Age]]&lt;=60,"51-60",TRUE,"61+")</f>
        <v>25-30</v>
      </c>
      <c r="O110" s="20">
        <f>_xlfn.XMATCH(tbl_Clean[[#This Row],[Age Band]],{"25-30","31-40","41-50","51-60","61+"})</f>
        <v>1</v>
      </c>
      <c r="P110" s="20" t="str" cm="1">
        <f t="array" ref="P110">_xlfn.IFS(tbl_Clean[[#This Row],[Income]]&lt;=30000,"$10k-30k",tbl_Clean[[#This Row],[Income]]&lt;=60000,"$40k-60k",tbl_Clean[[#This Row],[Income]]&lt;=90000,"$70k-90k",TRUE,"$100k+")</f>
        <v>$10k-30k</v>
      </c>
      <c r="Q110" s="20">
        <f>_xlfn.XMATCH(tbl_Clean[[#This Row],[Income Band]],{"$10k-30k","$40k-60k","$70k-90k","$100k+"})</f>
        <v>1</v>
      </c>
      <c r="R110" s="20" t="str">
        <f>IF(tbl_Clean[[#This Row],[Cars]]&lt;=1,"0-1 Cars","2+ Cars")</f>
        <v>0-1 Cars</v>
      </c>
      <c r="S110" s="20">
        <f>_xlfn.XMATCH(tbl_Clean[[#This Row],[Commute Distance]],{"0-1 Miles","1-2 Miles","2-5 Miles","5-10 Miles","10+ Miles"})</f>
        <v>3</v>
      </c>
      <c r="T110" s="20">
        <f>_xlfn.XMATCH(tbl_Clean[[#This Row],[Education]],{"Partial High School","High School","Partial College","Bachelors","Graduate Degree"})</f>
        <v>3</v>
      </c>
      <c r="U110" s="20">
        <f>IF(tbl_Clean[[#This Row],[Purchased Bike]]="Yes",1,0)</f>
        <v>0</v>
      </c>
    </row>
    <row r="111" spans="1:21" x14ac:dyDescent="0.25">
      <c r="A111" s="20">
        <v>20430</v>
      </c>
      <c r="B111" s="3" t="s">
        <v>111</v>
      </c>
      <c r="C111" s="3" t="s">
        <v>113</v>
      </c>
      <c r="D111" s="19">
        <v>70000</v>
      </c>
      <c r="E111" s="20">
        <v>2</v>
      </c>
      <c r="F111" s="3" t="s">
        <v>21</v>
      </c>
      <c r="G111" s="3" t="s">
        <v>16</v>
      </c>
      <c r="H111" s="3" t="s">
        <v>17</v>
      </c>
      <c r="I111" s="20">
        <v>2</v>
      </c>
      <c r="J111" s="3" t="s">
        <v>26</v>
      </c>
      <c r="K111" s="3" t="s">
        <v>27</v>
      </c>
      <c r="L111" s="20">
        <v>52</v>
      </c>
      <c r="M111" s="3" t="s">
        <v>17</v>
      </c>
      <c r="N111" s="20" t="str" cm="1">
        <f t="array" ref="N111">_xlfn.IFS(tbl_Clean[[#This Row],[Age]]&lt;=30,"25-30",tbl_Clean[[#This Row],[Age]]&lt;=40,"31-40",tbl_Clean[[#This Row],[Age]]&lt;=50,"41-50",tbl_Clean[[#This Row],[Age]]&lt;=60,"51-60",TRUE,"61+")</f>
        <v>51-60</v>
      </c>
      <c r="O111" s="20">
        <f>_xlfn.XMATCH(tbl_Clean[[#This Row],[Age Band]],{"25-30","31-40","41-50","51-60","61+"})</f>
        <v>4</v>
      </c>
      <c r="P111" s="20" t="str" cm="1">
        <f t="array" ref="P111">_xlfn.IFS(tbl_Clean[[#This Row],[Income]]&lt;=30000,"$10k-30k",tbl_Clean[[#This Row],[Income]]&lt;=60000,"$40k-60k",tbl_Clean[[#This Row],[Income]]&lt;=90000,"$70k-90k",TRUE,"$100k+")</f>
        <v>$70k-90k</v>
      </c>
      <c r="Q111" s="20">
        <f>_xlfn.XMATCH(tbl_Clean[[#This Row],[Income Band]],{"$10k-30k","$40k-60k","$70k-90k","$100k+"})</f>
        <v>3</v>
      </c>
      <c r="R111" s="20" t="str">
        <f>IF(tbl_Clean[[#This Row],[Cars]]&lt;=1,"0-1 Cars","2+ Cars")</f>
        <v>2+ Cars</v>
      </c>
      <c r="S111" s="20">
        <f>_xlfn.XMATCH(tbl_Clean[[#This Row],[Commute Distance]],{"0-1 Miles","1-2 Miles","2-5 Miles","5-10 Miles","10+ Miles"})</f>
        <v>4</v>
      </c>
      <c r="T111" s="20">
        <f>_xlfn.XMATCH(tbl_Clean[[#This Row],[Education]],{"Partial High School","High School","Partial College","Bachelors","Graduate Degree"})</f>
        <v>3</v>
      </c>
      <c r="U111" s="20">
        <f>IF(tbl_Clean[[#This Row],[Purchased Bike]]="Yes",1,0)</f>
        <v>1</v>
      </c>
    </row>
    <row r="112" spans="1:21" x14ac:dyDescent="0.25">
      <c r="A112" s="20">
        <v>27494</v>
      </c>
      <c r="B112" s="3" t="s">
        <v>114</v>
      </c>
      <c r="C112" s="3" t="s">
        <v>112</v>
      </c>
      <c r="D112" s="19">
        <v>40000</v>
      </c>
      <c r="E112" s="20">
        <v>2</v>
      </c>
      <c r="F112" s="3" t="s">
        <v>21</v>
      </c>
      <c r="G112" s="3" t="s">
        <v>16</v>
      </c>
      <c r="H112" s="3" t="s">
        <v>20</v>
      </c>
      <c r="I112" s="20">
        <v>2</v>
      </c>
      <c r="J112" s="3" t="s">
        <v>29</v>
      </c>
      <c r="K112" s="3" t="s">
        <v>27</v>
      </c>
      <c r="L112" s="20">
        <v>53</v>
      </c>
      <c r="M112" s="3" t="s">
        <v>17</v>
      </c>
      <c r="N112" s="20" t="str" cm="1">
        <f t="array" ref="N112">_xlfn.IFS(tbl_Clean[[#This Row],[Age]]&lt;=30,"25-30",tbl_Clean[[#This Row],[Age]]&lt;=40,"31-40",tbl_Clean[[#This Row],[Age]]&lt;=50,"41-50",tbl_Clean[[#This Row],[Age]]&lt;=60,"51-60",TRUE,"61+")</f>
        <v>51-60</v>
      </c>
      <c r="O112" s="20">
        <f>_xlfn.XMATCH(tbl_Clean[[#This Row],[Age Band]],{"25-30","31-40","41-50","51-60","61+"})</f>
        <v>4</v>
      </c>
      <c r="P112" s="20" t="str" cm="1">
        <f t="array" ref="P112">_xlfn.IFS(tbl_Clean[[#This Row],[Income]]&lt;=30000,"$10k-30k",tbl_Clean[[#This Row],[Income]]&lt;=60000,"$40k-60k",tbl_Clean[[#This Row],[Income]]&lt;=90000,"$70k-90k",TRUE,"$100k+")</f>
        <v>$40k-60k</v>
      </c>
      <c r="Q112" s="20">
        <f>_xlfn.XMATCH(tbl_Clean[[#This Row],[Income Band]],{"$10k-30k","$40k-60k","$70k-90k","$100k+"})</f>
        <v>2</v>
      </c>
      <c r="R112" s="20" t="str">
        <f>IF(tbl_Clean[[#This Row],[Cars]]&lt;=1,"0-1 Cars","2+ Cars")</f>
        <v>2+ Cars</v>
      </c>
      <c r="S112" s="20">
        <f>_xlfn.XMATCH(tbl_Clean[[#This Row],[Commute Distance]],{"0-1 Miles","1-2 Miles","2-5 Miles","5-10 Miles","10+ Miles"})</f>
        <v>2</v>
      </c>
      <c r="T112" s="20">
        <f>_xlfn.XMATCH(tbl_Clean[[#This Row],[Education]],{"Partial High School","High School","Partial College","Bachelors","Graduate Degree"})</f>
        <v>3</v>
      </c>
      <c r="U112" s="20">
        <f>IF(tbl_Clean[[#This Row],[Purchased Bike]]="Yes",1,0)</f>
        <v>1</v>
      </c>
    </row>
    <row r="113" spans="1:21" x14ac:dyDescent="0.25">
      <c r="A113" s="20">
        <v>26829</v>
      </c>
      <c r="B113" s="3" t="s">
        <v>111</v>
      </c>
      <c r="C113" s="3" t="s">
        <v>112</v>
      </c>
      <c r="D113" s="19">
        <v>40000</v>
      </c>
      <c r="E113" s="20">
        <v>0</v>
      </c>
      <c r="F113" s="3" t="s">
        <v>15</v>
      </c>
      <c r="G113" s="3" t="s">
        <v>22</v>
      </c>
      <c r="H113" s="3" t="s">
        <v>17</v>
      </c>
      <c r="I113" s="20">
        <v>0</v>
      </c>
      <c r="J113" s="3" t="s">
        <v>18</v>
      </c>
      <c r="K113" s="3" t="s">
        <v>19</v>
      </c>
      <c r="L113" s="20">
        <v>38</v>
      </c>
      <c r="M113" s="3" t="s">
        <v>17</v>
      </c>
      <c r="N113" s="20" t="str" cm="1">
        <f t="array" ref="N113">_xlfn.IFS(tbl_Clean[[#This Row],[Age]]&lt;=30,"25-30",tbl_Clean[[#This Row],[Age]]&lt;=40,"31-40",tbl_Clean[[#This Row],[Age]]&lt;=50,"41-50",tbl_Clean[[#This Row],[Age]]&lt;=60,"51-60",TRUE,"61+")</f>
        <v>31-40</v>
      </c>
      <c r="O113" s="20">
        <f>_xlfn.XMATCH(tbl_Clean[[#This Row],[Age Band]],{"25-30","31-40","41-50","51-60","61+"})</f>
        <v>2</v>
      </c>
      <c r="P113" s="20" t="str" cm="1">
        <f t="array" ref="P113">_xlfn.IFS(tbl_Clean[[#This Row],[Income]]&lt;=30000,"$10k-30k",tbl_Clean[[#This Row],[Income]]&lt;=60000,"$40k-60k",tbl_Clean[[#This Row],[Income]]&lt;=90000,"$70k-90k",TRUE,"$100k+")</f>
        <v>$40k-60k</v>
      </c>
      <c r="Q113" s="20">
        <f>_xlfn.XMATCH(tbl_Clean[[#This Row],[Income Band]],{"$10k-30k","$40k-60k","$70k-90k","$100k+"})</f>
        <v>2</v>
      </c>
      <c r="R113" s="20" t="str">
        <f>IF(tbl_Clean[[#This Row],[Cars]]&lt;=1,"0-1 Cars","2+ Cars")</f>
        <v>0-1 Cars</v>
      </c>
      <c r="S113" s="20">
        <f>_xlfn.XMATCH(tbl_Clean[[#This Row],[Commute Distance]],{"0-1 Miles","1-2 Miles","2-5 Miles","5-10 Miles","10+ Miles"})</f>
        <v>1</v>
      </c>
      <c r="T113" s="20">
        <f>_xlfn.XMATCH(tbl_Clean[[#This Row],[Education]],{"Partial High School","High School","Partial College","Bachelors","Graduate Degree"})</f>
        <v>4</v>
      </c>
      <c r="U113" s="20">
        <f>IF(tbl_Clean[[#This Row],[Purchased Bike]]="Yes",1,0)</f>
        <v>1</v>
      </c>
    </row>
    <row r="114" spans="1:21" x14ac:dyDescent="0.25">
      <c r="A114" s="20">
        <v>28395</v>
      </c>
      <c r="B114" s="3" t="s">
        <v>114</v>
      </c>
      <c r="C114" s="3" t="s">
        <v>113</v>
      </c>
      <c r="D114" s="19">
        <v>40000</v>
      </c>
      <c r="E114" s="20">
        <v>0</v>
      </c>
      <c r="F114" s="3" t="s">
        <v>15</v>
      </c>
      <c r="G114" s="3" t="s">
        <v>23</v>
      </c>
      <c r="H114" s="3" t="s">
        <v>20</v>
      </c>
      <c r="I114" s="20">
        <v>0</v>
      </c>
      <c r="J114" s="3" t="s">
        <v>18</v>
      </c>
      <c r="K114" s="3" t="s">
        <v>19</v>
      </c>
      <c r="L114" s="20">
        <v>39</v>
      </c>
      <c r="M114" s="3" t="s">
        <v>17</v>
      </c>
      <c r="N114" s="20" t="str" cm="1">
        <f t="array" ref="N114">_xlfn.IFS(tbl_Clean[[#This Row],[Age]]&lt;=30,"25-30",tbl_Clean[[#This Row],[Age]]&lt;=40,"31-40",tbl_Clean[[#This Row],[Age]]&lt;=50,"41-50",tbl_Clean[[#This Row],[Age]]&lt;=60,"51-60",TRUE,"61+")</f>
        <v>31-40</v>
      </c>
      <c r="O114" s="20">
        <f>_xlfn.XMATCH(tbl_Clean[[#This Row],[Age Band]],{"25-30","31-40","41-50","51-60","61+"})</f>
        <v>2</v>
      </c>
      <c r="P114" s="20" t="str" cm="1">
        <f t="array" ref="P114">_xlfn.IFS(tbl_Clean[[#This Row],[Income]]&lt;=30000,"$10k-30k",tbl_Clean[[#This Row],[Income]]&lt;=60000,"$40k-60k",tbl_Clean[[#This Row],[Income]]&lt;=90000,"$70k-90k",TRUE,"$100k+")</f>
        <v>$40k-60k</v>
      </c>
      <c r="Q114" s="20">
        <f>_xlfn.XMATCH(tbl_Clean[[#This Row],[Income Band]],{"$10k-30k","$40k-60k","$70k-90k","$100k+"})</f>
        <v>2</v>
      </c>
      <c r="R114" s="20" t="str">
        <f>IF(tbl_Clean[[#This Row],[Cars]]&lt;=1,"0-1 Cars","2+ Cars")</f>
        <v>0-1 Cars</v>
      </c>
      <c r="S114" s="20">
        <f>_xlfn.XMATCH(tbl_Clean[[#This Row],[Commute Distance]],{"0-1 Miles","1-2 Miles","2-5 Miles","5-10 Miles","10+ Miles"})</f>
        <v>1</v>
      </c>
      <c r="T114" s="20">
        <f>_xlfn.XMATCH(tbl_Clean[[#This Row],[Education]],{"Partial High School","High School","Partial College","Bachelors","Graduate Degree"})</f>
        <v>4</v>
      </c>
      <c r="U114" s="20">
        <f>IF(tbl_Clean[[#This Row],[Purchased Bike]]="Yes",1,0)</f>
        <v>1</v>
      </c>
    </row>
    <row r="115" spans="1:21" x14ac:dyDescent="0.25">
      <c r="A115" s="20">
        <v>21006</v>
      </c>
      <c r="B115" s="3" t="s">
        <v>114</v>
      </c>
      <c r="C115" s="3" t="s">
        <v>112</v>
      </c>
      <c r="D115" s="19">
        <v>30000</v>
      </c>
      <c r="E115" s="20">
        <v>1</v>
      </c>
      <c r="F115" s="3" t="s">
        <v>21</v>
      </c>
      <c r="G115" s="3" t="s">
        <v>28</v>
      </c>
      <c r="H115" s="3" t="s">
        <v>20</v>
      </c>
      <c r="I115" s="20">
        <v>0</v>
      </c>
      <c r="J115" s="3" t="s">
        <v>18</v>
      </c>
      <c r="K115" s="3" t="s">
        <v>19</v>
      </c>
      <c r="L115" s="20">
        <v>46</v>
      </c>
      <c r="M115" s="3" t="s">
        <v>17</v>
      </c>
      <c r="N115" s="20" t="str" cm="1">
        <f t="array" ref="N115">_xlfn.IFS(tbl_Clean[[#This Row],[Age]]&lt;=30,"25-30",tbl_Clean[[#This Row],[Age]]&lt;=40,"31-40",tbl_Clean[[#This Row],[Age]]&lt;=50,"41-50",tbl_Clean[[#This Row],[Age]]&lt;=60,"51-60",TRUE,"61+")</f>
        <v>41-50</v>
      </c>
      <c r="O115" s="20">
        <f>_xlfn.XMATCH(tbl_Clean[[#This Row],[Age Band]],{"25-30","31-40","41-50","51-60","61+"})</f>
        <v>3</v>
      </c>
      <c r="P115" s="20" t="str" cm="1">
        <f t="array" ref="P115">_xlfn.IFS(tbl_Clean[[#This Row],[Income]]&lt;=30000,"$10k-30k",tbl_Clean[[#This Row],[Income]]&lt;=60000,"$40k-60k",tbl_Clean[[#This Row],[Income]]&lt;=90000,"$70k-90k",TRUE,"$100k+")</f>
        <v>$10k-30k</v>
      </c>
      <c r="Q115" s="20">
        <f>_xlfn.XMATCH(tbl_Clean[[#This Row],[Income Band]],{"$10k-30k","$40k-60k","$70k-90k","$100k+"})</f>
        <v>1</v>
      </c>
      <c r="R115" s="20" t="str">
        <f>IF(tbl_Clean[[#This Row],[Cars]]&lt;=1,"0-1 Cars","2+ Cars")</f>
        <v>0-1 Cars</v>
      </c>
      <c r="S115" s="20">
        <f>_xlfn.XMATCH(tbl_Clean[[#This Row],[Commute Distance]],{"0-1 Miles","1-2 Miles","2-5 Miles","5-10 Miles","10+ Miles"})</f>
        <v>1</v>
      </c>
      <c r="T115" s="20">
        <f>_xlfn.XMATCH(tbl_Clean[[#This Row],[Education]],{"Partial High School","High School","Partial College","Bachelors","Graduate Degree"})</f>
        <v>3</v>
      </c>
      <c r="U115" s="20">
        <f>IF(tbl_Clean[[#This Row],[Purchased Bike]]="Yes",1,0)</f>
        <v>1</v>
      </c>
    </row>
    <row r="116" spans="1:21" x14ac:dyDescent="0.25">
      <c r="A116" s="20">
        <v>14682</v>
      </c>
      <c r="B116" s="3" t="s">
        <v>114</v>
      </c>
      <c r="C116" s="3" t="s">
        <v>112</v>
      </c>
      <c r="D116" s="19">
        <v>70000</v>
      </c>
      <c r="E116" s="20">
        <v>0</v>
      </c>
      <c r="F116" s="3" t="s">
        <v>15</v>
      </c>
      <c r="G116" s="3" t="s">
        <v>23</v>
      </c>
      <c r="H116" s="3" t="s">
        <v>20</v>
      </c>
      <c r="I116" s="20">
        <v>1</v>
      </c>
      <c r="J116" s="3" t="s">
        <v>26</v>
      </c>
      <c r="K116" s="3" t="s">
        <v>27</v>
      </c>
      <c r="L116" s="20">
        <v>38</v>
      </c>
      <c r="M116" s="3" t="s">
        <v>20</v>
      </c>
      <c r="N116" s="20" t="str" cm="1">
        <f t="array" ref="N116">_xlfn.IFS(tbl_Clean[[#This Row],[Age]]&lt;=30,"25-30",tbl_Clean[[#This Row],[Age]]&lt;=40,"31-40",tbl_Clean[[#This Row],[Age]]&lt;=50,"41-50",tbl_Clean[[#This Row],[Age]]&lt;=60,"51-60",TRUE,"61+")</f>
        <v>31-40</v>
      </c>
      <c r="O116" s="20">
        <f>_xlfn.XMATCH(tbl_Clean[[#This Row],[Age Band]],{"25-30","31-40","41-50","51-60","61+"})</f>
        <v>2</v>
      </c>
      <c r="P116" s="20" t="str" cm="1">
        <f t="array" ref="P116">_xlfn.IFS(tbl_Clean[[#This Row],[Income]]&lt;=30000,"$10k-30k",tbl_Clean[[#This Row],[Income]]&lt;=60000,"$40k-60k",tbl_Clean[[#This Row],[Income]]&lt;=90000,"$70k-90k",TRUE,"$100k+")</f>
        <v>$70k-90k</v>
      </c>
      <c r="Q116" s="20">
        <f>_xlfn.XMATCH(tbl_Clean[[#This Row],[Income Band]],{"$10k-30k","$40k-60k","$70k-90k","$100k+"})</f>
        <v>3</v>
      </c>
      <c r="R116" s="20" t="str">
        <f>IF(tbl_Clean[[#This Row],[Cars]]&lt;=1,"0-1 Cars","2+ Cars")</f>
        <v>0-1 Cars</v>
      </c>
      <c r="S116" s="20">
        <f>_xlfn.XMATCH(tbl_Clean[[#This Row],[Commute Distance]],{"0-1 Miles","1-2 Miles","2-5 Miles","5-10 Miles","10+ Miles"})</f>
        <v>4</v>
      </c>
      <c r="T116" s="20">
        <f>_xlfn.XMATCH(tbl_Clean[[#This Row],[Education]],{"Partial High School","High School","Partial College","Bachelors","Graduate Degree"})</f>
        <v>4</v>
      </c>
      <c r="U116" s="20">
        <f>IF(tbl_Clean[[#This Row],[Purchased Bike]]="Yes",1,0)</f>
        <v>0</v>
      </c>
    </row>
    <row r="117" spans="1:21" x14ac:dyDescent="0.25">
      <c r="A117" s="20">
        <v>17650</v>
      </c>
      <c r="B117" s="3" t="s">
        <v>114</v>
      </c>
      <c r="C117" s="3" t="s">
        <v>112</v>
      </c>
      <c r="D117" s="19">
        <v>40000</v>
      </c>
      <c r="E117" s="20">
        <v>2</v>
      </c>
      <c r="F117" s="3" t="s">
        <v>21</v>
      </c>
      <c r="G117" s="3" t="s">
        <v>22</v>
      </c>
      <c r="H117" s="3" t="s">
        <v>17</v>
      </c>
      <c r="I117" s="20">
        <v>2</v>
      </c>
      <c r="J117" s="3" t="s">
        <v>29</v>
      </c>
      <c r="K117" s="3" t="s">
        <v>19</v>
      </c>
      <c r="L117" s="20">
        <v>35</v>
      </c>
      <c r="M117" s="3" t="s">
        <v>20</v>
      </c>
      <c r="N117" s="20" t="str" cm="1">
        <f t="array" ref="N117">_xlfn.IFS(tbl_Clean[[#This Row],[Age]]&lt;=30,"25-30",tbl_Clean[[#This Row],[Age]]&lt;=40,"31-40",tbl_Clean[[#This Row],[Age]]&lt;=50,"41-50",tbl_Clean[[#This Row],[Age]]&lt;=60,"51-60",TRUE,"61+")</f>
        <v>31-40</v>
      </c>
      <c r="O117" s="20">
        <f>_xlfn.XMATCH(tbl_Clean[[#This Row],[Age Band]],{"25-30","31-40","41-50","51-60","61+"})</f>
        <v>2</v>
      </c>
      <c r="P117" s="20" t="str" cm="1">
        <f t="array" ref="P117">_xlfn.IFS(tbl_Clean[[#This Row],[Income]]&lt;=30000,"$10k-30k",tbl_Clean[[#This Row],[Income]]&lt;=60000,"$40k-60k",tbl_Clean[[#This Row],[Income]]&lt;=90000,"$70k-90k",TRUE,"$100k+")</f>
        <v>$40k-60k</v>
      </c>
      <c r="Q117" s="20">
        <f>_xlfn.XMATCH(tbl_Clean[[#This Row],[Income Band]],{"$10k-30k","$40k-60k","$70k-90k","$100k+"})</f>
        <v>2</v>
      </c>
      <c r="R117" s="20" t="str">
        <f>IF(tbl_Clean[[#This Row],[Cars]]&lt;=1,"0-1 Cars","2+ Cars")</f>
        <v>2+ Cars</v>
      </c>
      <c r="S117" s="20">
        <f>_xlfn.XMATCH(tbl_Clean[[#This Row],[Commute Distance]],{"0-1 Miles","1-2 Miles","2-5 Miles","5-10 Miles","10+ Miles"})</f>
        <v>2</v>
      </c>
      <c r="T117" s="20">
        <f>_xlfn.XMATCH(tbl_Clean[[#This Row],[Education]],{"Partial High School","High School","Partial College","Bachelors","Graduate Degree"})</f>
        <v>3</v>
      </c>
      <c r="U117" s="20">
        <f>IF(tbl_Clean[[#This Row],[Purchased Bike]]="Yes",1,0)</f>
        <v>0</v>
      </c>
    </row>
    <row r="118" spans="1:21" x14ac:dyDescent="0.25">
      <c r="A118" s="20">
        <v>29191</v>
      </c>
      <c r="B118" s="3" t="s">
        <v>114</v>
      </c>
      <c r="C118" s="3" t="s">
        <v>112</v>
      </c>
      <c r="D118" s="19">
        <v>130000</v>
      </c>
      <c r="E118" s="20">
        <v>1</v>
      </c>
      <c r="F118" s="3" t="s">
        <v>34</v>
      </c>
      <c r="G118" s="3" t="s">
        <v>31</v>
      </c>
      <c r="H118" s="3" t="s">
        <v>20</v>
      </c>
      <c r="I118" s="20">
        <v>1</v>
      </c>
      <c r="J118" s="3" t="s">
        <v>18</v>
      </c>
      <c r="K118" s="3" t="s">
        <v>27</v>
      </c>
      <c r="L118" s="20">
        <v>36</v>
      </c>
      <c r="M118" s="3" t="s">
        <v>17</v>
      </c>
      <c r="N118" s="20" t="str" cm="1">
        <f t="array" ref="N118">_xlfn.IFS(tbl_Clean[[#This Row],[Age]]&lt;=30,"25-30",tbl_Clean[[#This Row],[Age]]&lt;=40,"31-40",tbl_Clean[[#This Row],[Age]]&lt;=50,"41-50",tbl_Clean[[#This Row],[Age]]&lt;=60,"51-60",TRUE,"61+")</f>
        <v>31-40</v>
      </c>
      <c r="O118" s="20">
        <f>_xlfn.XMATCH(tbl_Clean[[#This Row],[Age Band]],{"25-30","31-40","41-50","51-60","61+"})</f>
        <v>2</v>
      </c>
      <c r="P118" s="20" t="str" cm="1">
        <f t="array" ref="P118">_xlfn.IFS(tbl_Clean[[#This Row],[Income]]&lt;=30000,"$10k-30k",tbl_Clean[[#This Row],[Income]]&lt;=60000,"$40k-60k",tbl_Clean[[#This Row],[Income]]&lt;=90000,"$70k-90k",TRUE,"$100k+")</f>
        <v>$100k+</v>
      </c>
      <c r="Q118" s="20">
        <f>_xlfn.XMATCH(tbl_Clean[[#This Row],[Income Band]],{"$10k-30k","$40k-60k","$70k-90k","$100k+"})</f>
        <v>4</v>
      </c>
      <c r="R118" s="20" t="str">
        <f>IF(tbl_Clean[[#This Row],[Cars]]&lt;=1,"0-1 Cars","2+ Cars")</f>
        <v>0-1 Cars</v>
      </c>
      <c r="S118" s="20">
        <f>_xlfn.XMATCH(tbl_Clean[[#This Row],[Commute Distance]],{"0-1 Miles","1-2 Miles","2-5 Miles","5-10 Miles","10+ Miles"})</f>
        <v>1</v>
      </c>
      <c r="T118" s="20">
        <f>_xlfn.XMATCH(tbl_Clean[[#This Row],[Education]],{"Partial High School","High School","Partial College","Bachelors","Graduate Degree"})</f>
        <v>5</v>
      </c>
      <c r="U118" s="20">
        <f>IF(tbl_Clean[[#This Row],[Purchased Bike]]="Yes",1,0)</f>
        <v>1</v>
      </c>
    </row>
    <row r="119" spans="1:21" x14ac:dyDescent="0.25">
      <c r="A119" s="20">
        <v>15030</v>
      </c>
      <c r="B119" s="3" t="s">
        <v>111</v>
      </c>
      <c r="C119" s="3" t="s">
        <v>113</v>
      </c>
      <c r="D119" s="19">
        <v>20000</v>
      </c>
      <c r="E119" s="20">
        <v>0</v>
      </c>
      <c r="F119" s="3" t="s">
        <v>15</v>
      </c>
      <c r="G119" s="3" t="s">
        <v>22</v>
      </c>
      <c r="H119" s="3" t="s">
        <v>17</v>
      </c>
      <c r="I119" s="20">
        <v>0</v>
      </c>
      <c r="J119" s="3" t="s">
        <v>18</v>
      </c>
      <c r="K119" s="3" t="s">
        <v>27</v>
      </c>
      <c r="L119" s="20">
        <v>26</v>
      </c>
      <c r="M119" s="3" t="s">
        <v>17</v>
      </c>
      <c r="N119" s="20" t="str" cm="1">
        <f t="array" ref="N119">_xlfn.IFS(tbl_Clean[[#This Row],[Age]]&lt;=30,"25-30",tbl_Clean[[#This Row],[Age]]&lt;=40,"31-40",tbl_Clean[[#This Row],[Age]]&lt;=50,"41-50",tbl_Clean[[#This Row],[Age]]&lt;=60,"51-60",TRUE,"61+")</f>
        <v>25-30</v>
      </c>
      <c r="O119" s="20">
        <f>_xlfn.XMATCH(tbl_Clean[[#This Row],[Age Band]],{"25-30","31-40","41-50","51-60","61+"})</f>
        <v>1</v>
      </c>
      <c r="P119" s="20" t="str" cm="1">
        <f t="array" ref="P119">_xlfn.IFS(tbl_Clean[[#This Row],[Income]]&lt;=30000,"$10k-30k",tbl_Clean[[#This Row],[Income]]&lt;=60000,"$40k-60k",tbl_Clean[[#This Row],[Income]]&lt;=90000,"$70k-90k",TRUE,"$100k+")</f>
        <v>$10k-30k</v>
      </c>
      <c r="Q119" s="20">
        <f>_xlfn.XMATCH(tbl_Clean[[#This Row],[Income Band]],{"$10k-30k","$40k-60k","$70k-90k","$100k+"})</f>
        <v>1</v>
      </c>
      <c r="R119" s="20" t="str">
        <f>IF(tbl_Clean[[#This Row],[Cars]]&lt;=1,"0-1 Cars","2+ Cars")</f>
        <v>0-1 Cars</v>
      </c>
      <c r="S119" s="20">
        <f>_xlfn.XMATCH(tbl_Clean[[#This Row],[Commute Distance]],{"0-1 Miles","1-2 Miles","2-5 Miles","5-10 Miles","10+ Miles"})</f>
        <v>1</v>
      </c>
      <c r="T119" s="20">
        <f>_xlfn.XMATCH(tbl_Clean[[#This Row],[Education]],{"Partial High School","High School","Partial College","Bachelors","Graduate Degree"})</f>
        <v>4</v>
      </c>
      <c r="U119" s="20">
        <f>IF(tbl_Clean[[#This Row],[Purchased Bike]]="Yes",1,0)</f>
        <v>1</v>
      </c>
    </row>
    <row r="120" spans="1:21" x14ac:dyDescent="0.25">
      <c r="A120" s="20">
        <v>24140</v>
      </c>
      <c r="B120" s="3" t="s">
        <v>114</v>
      </c>
      <c r="C120" s="3" t="s">
        <v>113</v>
      </c>
      <c r="D120" s="19">
        <v>10000</v>
      </c>
      <c r="E120" s="20">
        <v>0</v>
      </c>
      <c r="F120" s="3" t="s">
        <v>34</v>
      </c>
      <c r="G120" s="3" t="s">
        <v>28</v>
      </c>
      <c r="H120" s="3" t="s">
        <v>20</v>
      </c>
      <c r="I120" s="20">
        <v>0</v>
      </c>
      <c r="J120" s="3" t="s">
        <v>18</v>
      </c>
      <c r="K120" s="3" t="s">
        <v>19</v>
      </c>
      <c r="L120" s="20">
        <v>30</v>
      </c>
      <c r="M120" s="3" t="s">
        <v>17</v>
      </c>
      <c r="N120" s="20" t="str" cm="1">
        <f t="array" ref="N120">_xlfn.IFS(tbl_Clean[[#This Row],[Age]]&lt;=30,"25-30",tbl_Clean[[#This Row],[Age]]&lt;=40,"31-40",tbl_Clean[[#This Row],[Age]]&lt;=50,"41-50",tbl_Clean[[#This Row],[Age]]&lt;=60,"51-60",TRUE,"61+")</f>
        <v>25-30</v>
      </c>
      <c r="O120" s="20">
        <f>_xlfn.XMATCH(tbl_Clean[[#This Row],[Age Band]],{"25-30","31-40","41-50","51-60","61+"})</f>
        <v>1</v>
      </c>
      <c r="P120" s="20" t="str" cm="1">
        <f t="array" ref="P120">_xlfn.IFS(tbl_Clean[[#This Row],[Income]]&lt;=30000,"$10k-30k",tbl_Clean[[#This Row],[Income]]&lt;=60000,"$40k-60k",tbl_Clean[[#This Row],[Income]]&lt;=90000,"$70k-90k",TRUE,"$100k+")</f>
        <v>$10k-30k</v>
      </c>
      <c r="Q120" s="20">
        <f>_xlfn.XMATCH(tbl_Clean[[#This Row],[Income Band]],{"$10k-30k","$40k-60k","$70k-90k","$100k+"})</f>
        <v>1</v>
      </c>
      <c r="R120" s="20" t="str">
        <f>IF(tbl_Clean[[#This Row],[Cars]]&lt;=1,"0-1 Cars","2+ Cars")</f>
        <v>0-1 Cars</v>
      </c>
      <c r="S120" s="20">
        <f>_xlfn.XMATCH(tbl_Clean[[#This Row],[Commute Distance]],{"0-1 Miles","1-2 Miles","2-5 Miles","5-10 Miles","10+ Miles"})</f>
        <v>1</v>
      </c>
      <c r="T120" s="20">
        <f>_xlfn.XMATCH(tbl_Clean[[#This Row],[Education]],{"Partial High School","High School","Partial College","Bachelors","Graduate Degree"})</f>
        <v>5</v>
      </c>
      <c r="U120" s="20">
        <f>IF(tbl_Clean[[#This Row],[Purchased Bike]]="Yes",1,0)</f>
        <v>1</v>
      </c>
    </row>
    <row r="121" spans="1:21" x14ac:dyDescent="0.25">
      <c r="A121" s="20">
        <v>22496</v>
      </c>
      <c r="B121" s="3" t="s">
        <v>111</v>
      </c>
      <c r="C121" s="3" t="s">
        <v>112</v>
      </c>
      <c r="D121" s="19">
        <v>30000</v>
      </c>
      <c r="E121" s="20">
        <v>1</v>
      </c>
      <c r="F121" s="3" t="s">
        <v>15</v>
      </c>
      <c r="G121" s="3" t="s">
        <v>16</v>
      </c>
      <c r="H121" s="3" t="s">
        <v>17</v>
      </c>
      <c r="I121" s="20">
        <v>2</v>
      </c>
      <c r="J121" s="3" t="s">
        <v>18</v>
      </c>
      <c r="K121" s="3" t="s">
        <v>19</v>
      </c>
      <c r="L121" s="20">
        <v>42</v>
      </c>
      <c r="M121" s="3" t="s">
        <v>20</v>
      </c>
      <c r="N121" s="20" t="str" cm="1">
        <f t="array" ref="N121">_xlfn.IFS(tbl_Clean[[#This Row],[Age]]&lt;=30,"25-30",tbl_Clean[[#This Row],[Age]]&lt;=40,"31-40",tbl_Clean[[#This Row],[Age]]&lt;=50,"41-50",tbl_Clean[[#This Row],[Age]]&lt;=60,"51-60",TRUE,"61+")</f>
        <v>41-50</v>
      </c>
      <c r="O121" s="20">
        <f>_xlfn.XMATCH(tbl_Clean[[#This Row],[Age Band]],{"25-30","31-40","41-50","51-60","61+"})</f>
        <v>3</v>
      </c>
      <c r="P121" s="20" t="str" cm="1">
        <f t="array" ref="P121">_xlfn.IFS(tbl_Clean[[#This Row],[Income]]&lt;=30000,"$10k-30k",tbl_Clean[[#This Row],[Income]]&lt;=60000,"$40k-60k",tbl_Clean[[#This Row],[Income]]&lt;=90000,"$70k-90k",TRUE,"$100k+")</f>
        <v>$10k-30k</v>
      </c>
      <c r="Q121" s="20">
        <f>_xlfn.XMATCH(tbl_Clean[[#This Row],[Income Band]],{"$10k-30k","$40k-60k","$70k-90k","$100k+"})</f>
        <v>1</v>
      </c>
      <c r="R121" s="20" t="str">
        <f>IF(tbl_Clean[[#This Row],[Cars]]&lt;=1,"0-1 Cars","2+ Cars")</f>
        <v>2+ Cars</v>
      </c>
      <c r="S121" s="20">
        <f>_xlfn.XMATCH(tbl_Clean[[#This Row],[Commute Distance]],{"0-1 Miles","1-2 Miles","2-5 Miles","5-10 Miles","10+ Miles"})</f>
        <v>1</v>
      </c>
      <c r="T121" s="20">
        <f>_xlfn.XMATCH(tbl_Clean[[#This Row],[Education]],{"Partial High School","High School","Partial College","Bachelors","Graduate Degree"})</f>
        <v>4</v>
      </c>
      <c r="U121" s="20">
        <f>IF(tbl_Clean[[#This Row],[Purchased Bike]]="Yes",1,0)</f>
        <v>0</v>
      </c>
    </row>
    <row r="122" spans="1:21" x14ac:dyDescent="0.25">
      <c r="A122" s="20">
        <v>24065</v>
      </c>
      <c r="B122" s="3" t="s">
        <v>114</v>
      </c>
      <c r="C122" s="3" t="s">
        <v>112</v>
      </c>
      <c r="D122" s="19">
        <v>20000</v>
      </c>
      <c r="E122" s="20">
        <v>0</v>
      </c>
      <c r="F122" s="3" t="s">
        <v>30</v>
      </c>
      <c r="G122" s="3" t="s">
        <v>28</v>
      </c>
      <c r="H122" s="3" t="s">
        <v>17</v>
      </c>
      <c r="I122" s="20">
        <v>0</v>
      </c>
      <c r="J122" s="3" t="s">
        <v>18</v>
      </c>
      <c r="K122" s="3" t="s">
        <v>19</v>
      </c>
      <c r="L122" s="20">
        <v>40</v>
      </c>
      <c r="M122" s="3" t="s">
        <v>17</v>
      </c>
      <c r="N122" s="20" t="str" cm="1">
        <f t="array" ref="N122">_xlfn.IFS(tbl_Clean[[#This Row],[Age]]&lt;=30,"25-30",tbl_Clean[[#This Row],[Age]]&lt;=40,"31-40",tbl_Clean[[#This Row],[Age]]&lt;=50,"41-50",tbl_Clean[[#This Row],[Age]]&lt;=60,"51-60",TRUE,"61+")</f>
        <v>31-40</v>
      </c>
      <c r="O122" s="20">
        <f>_xlfn.XMATCH(tbl_Clean[[#This Row],[Age Band]],{"25-30","31-40","41-50","51-60","61+"})</f>
        <v>2</v>
      </c>
      <c r="P122" s="20" t="str" cm="1">
        <f t="array" ref="P122">_xlfn.IFS(tbl_Clean[[#This Row],[Income]]&lt;=30000,"$10k-30k",tbl_Clean[[#This Row],[Income]]&lt;=60000,"$40k-60k",tbl_Clean[[#This Row],[Income]]&lt;=90000,"$70k-90k",TRUE,"$100k+")</f>
        <v>$10k-30k</v>
      </c>
      <c r="Q122" s="20">
        <f>_xlfn.XMATCH(tbl_Clean[[#This Row],[Income Band]],{"$10k-30k","$40k-60k","$70k-90k","$100k+"})</f>
        <v>1</v>
      </c>
      <c r="R122" s="20" t="str">
        <f>IF(tbl_Clean[[#This Row],[Cars]]&lt;=1,"0-1 Cars","2+ Cars")</f>
        <v>0-1 Cars</v>
      </c>
      <c r="S122" s="20">
        <f>_xlfn.XMATCH(tbl_Clean[[#This Row],[Commute Distance]],{"0-1 Miles","1-2 Miles","2-5 Miles","5-10 Miles","10+ Miles"})</f>
        <v>1</v>
      </c>
      <c r="T122" s="20">
        <f>_xlfn.XMATCH(tbl_Clean[[#This Row],[Education]],{"Partial High School","High School","Partial College","Bachelors","Graduate Degree"})</f>
        <v>2</v>
      </c>
      <c r="U122" s="20">
        <f>IF(tbl_Clean[[#This Row],[Purchased Bike]]="Yes",1,0)</f>
        <v>1</v>
      </c>
    </row>
    <row r="123" spans="1:21" x14ac:dyDescent="0.25">
      <c r="A123" s="20">
        <v>19914</v>
      </c>
      <c r="B123" s="3" t="s">
        <v>111</v>
      </c>
      <c r="C123" s="3" t="s">
        <v>113</v>
      </c>
      <c r="D123" s="19">
        <v>80000</v>
      </c>
      <c r="E123" s="20">
        <v>5</v>
      </c>
      <c r="F123" s="3" t="s">
        <v>15</v>
      </c>
      <c r="G123" s="3" t="s">
        <v>31</v>
      </c>
      <c r="H123" s="3" t="s">
        <v>17</v>
      </c>
      <c r="I123" s="20">
        <v>2</v>
      </c>
      <c r="J123" s="3" t="s">
        <v>24</v>
      </c>
      <c r="K123" s="3" t="s">
        <v>19</v>
      </c>
      <c r="L123" s="20">
        <v>62</v>
      </c>
      <c r="M123" s="3" t="s">
        <v>20</v>
      </c>
      <c r="N123" s="20" t="str" cm="1">
        <f t="array" ref="N123">_xlfn.IFS(tbl_Clean[[#This Row],[Age]]&lt;=30,"25-30",tbl_Clean[[#This Row],[Age]]&lt;=40,"31-40",tbl_Clean[[#This Row],[Age]]&lt;=50,"41-50",tbl_Clean[[#This Row],[Age]]&lt;=60,"51-60",TRUE,"61+")</f>
        <v>61+</v>
      </c>
      <c r="O123" s="20">
        <f>_xlfn.XMATCH(tbl_Clean[[#This Row],[Age Band]],{"25-30","31-40","41-50","51-60","61+"})</f>
        <v>5</v>
      </c>
      <c r="P123" s="20" t="str" cm="1">
        <f t="array" ref="P123">_xlfn.IFS(tbl_Clean[[#This Row],[Income]]&lt;=30000,"$10k-30k",tbl_Clean[[#This Row],[Income]]&lt;=60000,"$40k-60k",tbl_Clean[[#This Row],[Income]]&lt;=90000,"$70k-90k",TRUE,"$100k+")</f>
        <v>$70k-90k</v>
      </c>
      <c r="Q123" s="20">
        <f>_xlfn.XMATCH(tbl_Clean[[#This Row],[Income Band]],{"$10k-30k","$40k-60k","$70k-90k","$100k+"})</f>
        <v>3</v>
      </c>
      <c r="R123" s="20" t="str">
        <f>IF(tbl_Clean[[#This Row],[Cars]]&lt;=1,"0-1 Cars","2+ Cars")</f>
        <v>2+ Cars</v>
      </c>
      <c r="S123" s="20">
        <f>_xlfn.XMATCH(tbl_Clean[[#This Row],[Commute Distance]],{"0-1 Miles","1-2 Miles","2-5 Miles","5-10 Miles","10+ Miles"})</f>
        <v>3</v>
      </c>
      <c r="T123" s="20">
        <f>_xlfn.XMATCH(tbl_Clean[[#This Row],[Education]],{"Partial High School","High School","Partial College","Bachelors","Graduate Degree"})</f>
        <v>4</v>
      </c>
      <c r="U123" s="20">
        <f>IF(tbl_Clean[[#This Row],[Purchased Bike]]="Yes",1,0)</f>
        <v>0</v>
      </c>
    </row>
    <row r="124" spans="1:21" x14ac:dyDescent="0.25">
      <c r="A124" s="20">
        <v>12871</v>
      </c>
      <c r="B124" s="3" t="s">
        <v>114</v>
      </c>
      <c r="C124" s="3" t="s">
        <v>112</v>
      </c>
      <c r="D124" s="19">
        <v>30000</v>
      </c>
      <c r="E124" s="20">
        <v>0</v>
      </c>
      <c r="F124" s="3" t="s">
        <v>21</v>
      </c>
      <c r="G124" s="3" t="s">
        <v>22</v>
      </c>
      <c r="H124" s="3" t="s">
        <v>20</v>
      </c>
      <c r="I124" s="20">
        <v>1</v>
      </c>
      <c r="J124" s="3" t="s">
        <v>24</v>
      </c>
      <c r="K124" s="3" t="s">
        <v>19</v>
      </c>
      <c r="L124" s="20">
        <v>29</v>
      </c>
      <c r="M124" s="3" t="s">
        <v>20</v>
      </c>
      <c r="N124" s="20" t="str" cm="1">
        <f t="array" ref="N124">_xlfn.IFS(tbl_Clean[[#This Row],[Age]]&lt;=30,"25-30",tbl_Clean[[#This Row],[Age]]&lt;=40,"31-40",tbl_Clean[[#This Row],[Age]]&lt;=50,"41-50",tbl_Clean[[#This Row],[Age]]&lt;=60,"51-60",TRUE,"61+")</f>
        <v>25-30</v>
      </c>
      <c r="O124" s="20">
        <f>_xlfn.XMATCH(tbl_Clean[[#This Row],[Age Band]],{"25-30","31-40","41-50","51-60","61+"})</f>
        <v>1</v>
      </c>
      <c r="P124" s="20" t="str" cm="1">
        <f t="array" ref="P124">_xlfn.IFS(tbl_Clean[[#This Row],[Income]]&lt;=30000,"$10k-30k",tbl_Clean[[#This Row],[Income]]&lt;=60000,"$40k-60k",tbl_Clean[[#This Row],[Income]]&lt;=90000,"$70k-90k",TRUE,"$100k+")</f>
        <v>$10k-30k</v>
      </c>
      <c r="Q124" s="20">
        <f>_xlfn.XMATCH(tbl_Clean[[#This Row],[Income Band]],{"$10k-30k","$40k-60k","$70k-90k","$100k+"})</f>
        <v>1</v>
      </c>
      <c r="R124" s="20" t="str">
        <f>IF(tbl_Clean[[#This Row],[Cars]]&lt;=1,"0-1 Cars","2+ Cars")</f>
        <v>0-1 Cars</v>
      </c>
      <c r="S124" s="20">
        <f>_xlfn.XMATCH(tbl_Clean[[#This Row],[Commute Distance]],{"0-1 Miles","1-2 Miles","2-5 Miles","5-10 Miles","10+ Miles"})</f>
        <v>3</v>
      </c>
      <c r="T124" s="20">
        <f>_xlfn.XMATCH(tbl_Clean[[#This Row],[Education]],{"Partial High School","High School","Partial College","Bachelors","Graduate Degree"})</f>
        <v>3</v>
      </c>
      <c r="U124" s="20">
        <f>IF(tbl_Clean[[#This Row],[Purchased Bike]]="Yes",1,0)</f>
        <v>0</v>
      </c>
    </row>
    <row r="125" spans="1:21" x14ac:dyDescent="0.25">
      <c r="A125" s="20">
        <v>22988</v>
      </c>
      <c r="B125" s="3" t="s">
        <v>111</v>
      </c>
      <c r="C125" s="3" t="s">
        <v>112</v>
      </c>
      <c r="D125" s="19">
        <v>40000</v>
      </c>
      <c r="E125" s="20">
        <v>2</v>
      </c>
      <c r="F125" s="3" t="s">
        <v>15</v>
      </c>
      <c r="G125" s="3" t="s">
        <v>31</v>
      </c>
      <c r="H125" s="3" t="s">
        <v>17</v>
      </c>
      <c r="I125" s="20">
        <v>2</v>
      </c>
      <c r="J125" s="3" t="s">
        <v>26</v>
      </c>
      <c r="K125" s="3" t="s">
        <v>27</v>
      </c>
      <c r="L125" s="20">
        <v>66</v>
      </c>
      <c r="M125" s="3" t="s">
        <v>17</v>
      </c>
      <c r="N125" s="20" t="str" cm="1">
        <f t="array" ref="N125">_xlfn.IFS(tbl_Clean[[#This Row],[Age]]&lt;=30,"25-30",tbl_Clean[[#This Row],[Age]]&lt;=40,"31-40",tbl_Clean[[#This Row],[Age]]&lt;=50,"41-50",tbl_Clean[[#This Row],[Age]]&lt;=60,"51-60",TRUE,"61+")</f>
        <v>61+</v>
      </c>
      <c r="O125" s="20">
        <f>_xlfn.XMATCH(tbl_Clean[[#This Row],[Age Band]],{"25-30","31-40","41-50","51-60","61+"})</f>
        <v>5</v>
      </c>
      <c r="P125" s="20" t="str" cm="1">
        <f t="array" ref="P125">_xlfn.IFS(tbl_Clean[[#This Row],[Income]]&lt;=30000,"$10k-30k",tbl_Clean[[#This Row],[Income]]&lt;=60000,"$40k-60k",tbl_Clean[[#This Row],[Income]]&lt;=90000,"$70k-90k",TRUE,"$100k+")</f>
        <v>$40k-60k</v>
      </c>
      <c r="Q125" s="20">
        <f>_xlfn.XMATCH(tbl_Clean[[#This Row],[Income Band]],{"$10k-30k","$40k-60k","$70k-90k","$100k+"})</f>
        <v>2</v>
      </c>
      <c r="R125" s="20" t="str">
        <f>IF(tbl_Clean[[#This Row],[Cars]]&lt;=1,"0-1 Cars","2+ Cars")</f>
        <v>2+ Cars</v>
      </c>
      <c r="S125" s="20">
        <f>_xlfn.XMATCH(tbl_Clean[[#This Row],[Commute Distance]],{"0-1 Miles","1-2 Miles","2-5 Miles","5-10 Miles","10+ Miles"})</f>
        <v>4</v>
      </c>
      <c r="T125" s="20">
        <f>_xlfn.XMATCH(tbl_Clean[[#This Row],[Education]],{"Partial High School","High School","Partial College","Bachelors","Graduate Degree"})</f>
        <v>4</v>
      </c>
      <c r="U125" s="20">
        <f>IF(tbl_Clean[[#This Row],[Purchased Bike]]="Yes",1,0)</f>
        <v>1</v>
      </c>
    </row>
    <row r="126" spans="1:21" x14ac:dyDescent="0.25">
      <c r="A126" s="20">
        <v>15922</v>
      </c>
      <c r="B126" s="3" t="s">
        <v>111</v>
      </c>
      <c r="C126" s="3" t="s">
        <v>113</v>
      </c>
      <c r="D126" s="19">
        <v>150000</v>
      </c>
      <c r="E126" s="20">
        <v>2</v>
      </c>
      <c r="F126" s="3" t="s">
        <v>30</v>
      </c>
      <c r="G126" s="3" t="s">
        <v>23</v>
      </c>
      <c r="H126" s="3" t="s">
        <v>17</v>
      </c>
      <c r="I126" s="20">
        <v>4</v>
      </c>
      <c r="J126" s="3" t="s">
        <v>18</v>
      </c>
      <c r="K126" s="3" t="s">
        <v>19</v>
      </c>
      <c r="L126" s="20">
        <v>48</v>
      </c>
      <c r="M126" s="3" t="s">
        <v>20</v>
      </c>
      <c r="N126" s="20" t="str" cm="1">
        <f t="array" ref="N126">_xlfn.IFS(tbl_Clean[[#This Row],[Age]]&lt;=30,"25-30",tbl_Clean[[#This Row],[Age]]&lt;=40,"31-40",tbl_Clean[[#This Row],[Age]]&lt;=50,"41-50",tbl_Clean[[#This Row],[Age]]&lt;=60,"51-60",TRUE,"61+")</f>
        <v>41-50</v>
      </c>
      <c r="O126" s="20">
        <f>_xlfn.XMATCH(tbl_Clean[[#This Row],[Age Band]],{"25-30","31-40","41-50","51-60","61+"})</f>
        <v>3</v>
      </c>
      <c r="P126" s="20" t="str" cm="1">
        <f t="array" ref="P126">_xlfn.IFS(tbl_Clean[[#This Row],[Income]]&lt;=30000,"$10k-30k",tbl_Clean[[#This Row],[Income]]&lt;=60000,"$40k-60k",tbl_Clean[[#This Row],[Income]]&lt;=90000,"$70k-90k",TRUE,"$100k+")</f>
        <v>$100k+</v>
      </c>
      <c r="Q126" s="20">
        <f>_xlfn.XMATCH(tbl_Clean[[#This Row],[Income Band]],{"$10k-30k","$40k-60k","$70k-90k","$100k+"})</f>
        <v>4</v>
      </c>
      <c r="R126" s="20" t="str">
        <f>IF(tbl_Clean[[#This Row],[Cars]]&lt;=1,"0-1 Cars","2+ Cars")</f>
        <v>2+ Cars</v>
      </c>
      <c r="S126" s="20">
        <f>_xlfn.XMATCH(tbl_Clean[[#This Row],[Commute Distance]],{"0-1 Miles","1-2 Miles","2-5 Miles","5-10 Miles","10+ Miles"})</f>
        <v>1</v>
      </c>
      <c r="T126" s="20">
        <f>_xlfn.XMATCH(tbl_Clean[[#This Row],[Education]],{"Partial High School","High School","Partial College","Bachelors","Graduate Degree"})</f>
        <v>2</v>
      </c>
      <c r="U126" s="20">
        <f>IF(tbl_Clean[[#This Row],[Purchased Bike]]="Yes",1,0)</f>
        <v>0</v>
      </c>
    </row>
    <row r="127" spans="1:21" x14ac:dyDescent="0.25">
      <c r="A127" s="20">
        <v>12344</v>
      </c>
      <c r="B127" s="3" t="s">
        <v>114</v>
      </c>
      <c r="C127" s="3" t="s">
        <v>112</v>
      </c>
      <c r="D127" s="19">
        <v>80000</v>
      </c>
      <c r="E127" s="20">
        <v>0</v>
      </c>
      <c r="F127" s="3" t="s">
        <v>15</v>
      </c>
      <c r="G127" s="3" t="s">
        <v>23</v>
      </c>
      <c r="H127" s="3" t="s">
        <v>20</v>
      </c>
      <c r="I127" s="20">
        <v>3</v>
      </c>
      <c r="J127" s="3" t="s">
        <v>33</v>
      </c>
      <c r="K127" s="3" t="s">
        <v>27</v>
      </c>
      <c r="L127" s="20">
        <v>31</v>
      </c>
      <c r="M127" s="3" t="s">
        <v>20</v>
      </c>
      <c r="N127" s="20" t="str" cm="1">
        <f t="array" ref="N127">_xlfn.IFS(tbl_Clean[[#This Row],[Age]]&lt;=30,"25-30",tbl_Clean[[#This Row],[Age]]&lt;=40,"31-40",tbl_Clean[[#This Row],[Age]]&lt;=50,"41-50",tbl_Clean[[#This Row],[Age]]&lt;=60,"51-60",TRUE,"61+")</f>
        <v>31-40</v>
      </c>
      <c r="O127" s="20">
        <f>_xlfn.XMATCH(tbl_Clean[[#This Row],[Age Band]],{"25-30","31-40","41-50","51-60","61+"})</f>
        <v>2</v>
      </c>
      <c r="P127" s="20" t="str" cm="1">
        <f t="array" ref="P127">_xlfn.IFS(tbl_Clean[[#This Row],[Income]]&lt;=30000,"$10k-30k",tbl_Clean[[#This Row],[Income]]&lt;=60000,"$40k-60k",tbl_Clean[[#This Row],[Income]]&lt;=90000,"$70k-90k",TRUE,"$100k+")</f>
        <v>$70k-90k</v>
      </c>
      <c r="Q127" s="20">
        <f>_xlfn.XMATCH(tbl_Clean[[#This Row],[Income Band]],{"$10k-30k","$40k-60k","$70k-90k","$100k+"})</f>
        <v>3</v>
      </c>
      <c r="R127" s="20" t="str">
        <f>IF(tbl_Clean[[#This Row],[Cars]]&lt;=1,"0-1 Cars","2+ Cars")</f>
        <v>2+ Cars</v>
      </c>
      <c r="S127" s="20">
        <f>_xlfn.XMATCH(tbl_Clean[[#This Row],[Commute Distance]],{"0-1 Miles","1-2 Miles","2-5 Miles","5-10 Miles","10+ Miles"})</f>
        <v>5</v>
      </c>
      <c r="T127" s="20">
        <f>_xlfn.XMATCH(tbl_Clean[[#This Row],[Education]],{"Partial High School","High School","Partial College","Bachelors","Graduate Degree"})</f>
        <v>4</v>
      </c>
      <c r="U127" s="20">
        <f>IF(tbl_Clean[[#This Row],[Purchased Bike]]="Yes",1,0)</f>
        <v>0</v>
      </c>
    </row>
    <row r="128" spans="1:21" x14ac:dyDescent="0.25">
      <c r="A128" s="20">
        <v>23627</v>
      </c>
      <c r="B128" s="3" t="s">
        <v>114</v>
      </c>
      <c r="C128" s="3" t="s">
        <v>112</v>
      </c>
      <c r="D128" s="19">
        <v>100000</v>
      </c>
      <c r="E128" s="20">
        <v>3</v>
      </c>
      <c r="F128" s="3" t="s">
        <v>21</v>
      </c>
      <c r="G128" s="3" t="s">
        <v>31</v>
      </c>
      <c r="H128" s="3" t="s">
        <v>20</v>
      </c>
      <c r="I128" s="20">
        <v>4</v>
      </c>
      <c r="J128" s="3" t="s">
        <v>26</v>
      </c>
      <c r="K128" s="3" t="s">
        <v>19</v>
      </c>
      <c r="L128" s="20">
        <v>56</v>
      </c>
      <c r="M128" s="3" t="s">
        <v>20</v>
      </c>
      <c r="N128" s="20" t="str" cm="1">
        <f t="array" ref="N128">_xlfn.IFS(tbl_Clean[[#This Row],[Age]]&lt;=30,"25-30",tbl_Clean[[#This Row],[Age]]&lt;=40,"31-40",tbl_Clean[[#This Row],[Age]]&lt;=50,"41-50",tbl_Clean[[#This Row],[Age]]&lt;=60,"51-60",TRUE,"61+")</f>
        <v>51-60</v>
      </c>
      <c r="O128" s="20">
        <f>_xlfn.XMATCH(tbl_Clean[[#This Row],[Age Band]],{"25-30","31-40","41-50","51-60","61+"})</f>
        <v>4</v>
      </c>
      <c r="P128" s="20" t="str" cm="1">
        <f t="array" ref="P128">_xlfn.IFS(tbl_Clean[[#This Row],[Income]]&lt;=30000,"$10k-30k",tbl_Clean[[#This Row],[Income]]&lt;=60000,"$40k-60k",tbl_Clean[[#This Row],[Income]]&lt;=90000,"$70k-90k",TRUE,"$100k+")</f>
        <v>$100k+</v>
      </c>
      <c r="Q128" s="20">
        <f>_xlfn.XMATCH(tbl_Clean[[#This Row],[Income Band]],{"$10k-30k","$40k-60k","$70k-90k","$100k+"})</f>
        <v>4</v>
      </c>
      <c r="R128" s="20" t="str">
        <f>IF(tbl_Clean[[#This Row],[Cars]]&lt;=1,"0-1 Cars","2+ Cars")</f>
        <v>2+ Cars</v>
      </c>
      <c r="S128" s="20">
        <f>_xlfn.XMATCH(tbl_Clean[[#This Row],[Commute Distance]],{"0-1 Miles","1-2 Miles","2-5 Miles","5-10 Miles","10+ Miles"})</f>
        <v>4</v>
      </c>
      <c r="T128" s="20">
        <f>_xlfn.XMATCH(tbl_Clean[[#This Row],[Education]],{"Partial High School","High School","Partial College","Bachelors","Graduate Degree"})</f>
        <v>3</v>
      </c>
      <c r="U128" s="20">
        <f>IF(tbl_Clean[[#This Row],[Purchased Bike]]="Yes",1,0)</f>
        <v>0</v>
      </c>
    </row>
    <row r="129" spans="1:21" x14ac:dyDescent="0.25">
      <c r="A129" s="20">
        <v>27775</v>
      </c>
      <c r="B129" s="3" t="s">
        <v>114</v>
      </c>
      <c r="C129" s="3" t="s">
        <v>112</v>
      </c>
      <c r="D129" s="19">
        <v>40000</v>
      </c>
      <c r="E129" s="20">
        <v>0</v>
      </c>
      <c r="F129" s="3" t="s">
        <v>15</v>
      </c>
      <c r="G129" s="3" t="s">
        <v>22</v>
      </c>
      <c r="H129" s="3" t="s">
        <v>20</v>
      </c>
      <c r="I129" s="20">
        <v>0</v>
      </c>
      <c r="J129" s="3" t="s">
        <v>18</v>
      </c>
      <c r="K129" s="3" t="s">
        <v>19</v>
      </c>
      <c r="L129" s="20">
        <v>38</v>
      </c>
      <c r="M129" s="3" t="s">
        <v>17</v>
      </c>
      <c r="N129" s="20" t="str" cm="1">
        <f t="array" ref="N129">_xlfn.IFS(tbl_Clean[[#This Row],[Age]]&lt;=30,"25-30",tbl_Clean[[#This Row],[Age]]&lt;=40,"31-40",tbl_Clean[[#This Row],[Age]]&lt;=50,"41-50",tbl_Clean[[#This Row],[Age]]&lt;=60,"51-60",TRUE,"61+")</f>
        <v>31-40</v>
      </c>
      <c r="O129" s="20">
        <f>_xlfn.XMATCH(tbl_Clean[[#This Row],[Age Band]],{"25-30","31-40","41-50","51-60","61+"})</f>
        <v>2</v>
      </c>
      <c r="P129" s="20" t="str" cm="1">
        <f t="array" ref="P129">_xlfn.IFS(tbl_Clean[[#This Row],[Income]]&lt;=30000,"$10k-30k",tbl_Clean[[#This Row],[Income]]&lt;=60000,"$40k-60k",tbl_Clean[[#This Row],[Income]]&lt;=90000,"$70k-90k",TRUE,"$100k+")</f>
        <v>$40k-60k</v>
      </c>
      <c r="Q129" s="20">
        <f>_xlfn.XMATCH(tbl_Clean[[#This Row],[Income Band]],{"$10k-30k","$40k-60k","$70k-90k","$100k+"})</f>
        <v>2</v>
      </c>
      <c r="R129" s="20" t="str">
        <f>IF(tbl_Clean[[#This Row],[Cars]]&lt;=1,"0-1 Cars","2+ Cars")</f>
        <v>0-1 Cars</v>
      </c>
      <c r="S129" s="20">
        <f>_xlfn.XMATCH(tbl_Clean[[#This Row],[Commute Distance]],{"0-1 Miles","1-2 Miles","2-5 Miles","5-10 Miles","10+ Miles"})</f>
        <v>1</v>
      </c>
      <c r="T129" s="20">
        <f>_xlfn.XMATCH(tbl_Clean[[#This Row],[Education]],{"Partial High School","High School","Partial College","Bachelors","Graduate Degree"})</f>
        <v>4</v>
      </c>
      <c r="U129" s="20">
        <f>IF(tbl_Clean[[#This Row],[Purchased Bike]]="Yes",1,0)</f>
        <v>1</v>
      </c>
    </row>
    <row r="130" spans="1:21" x14ac:dyDescent="0.25">
      <c r="A130" s="20">
        <v>29301</v>
      </c>
      <c r="B130" s="3" t="s">
        <v>111</v>
      </c>
      <c r="C130" s="3" t="s">
        <v>113</v>
      </c>
      <c r="D130" s="19">
        <v>80000</v>
      </c>
      <c r="E130" s="20">
        <v>5</v>
      </c>
      <c r="F130" s="3" t="s">
        <v>15</v>
      </c>
      <c r="G130" s="3" t="s">
        <v>23</v>
      </c>
      <c r="H130" s="3" t="s">
        <v>17</v>
      </c>
      <c r="I130" s="20">
        <v>4</v>
      </c>
      <c r="J130" s="3" t="s">
        <v>29</v>
      </c>
      <c r="K130" s="3" t="s">
        <v>27</v>
      </c>
      <c r="L130" s="20">
        <v>40</v>
      </c>
      <c r="M130" s="3" t="s">
        <v>20</v>
      </c>
      <c r="N130" s="20" t="str" cm="1">
        <f t="array" ref="N130">_xlfn.IFS(tbl_Clean[[#This Row],[Age]]&lt;=30,"25-30",tbl_Clean[[#This Row],[Age]]&lt;=40,"31-40",tbl_Clean[[#This Row],[Age]]&lt;=50,"41-50",tbl_Clean[[#This Row],[Age]]&lt;=60,"51-60",TRUE,"61+")</f>
        <v>31-40</v>
      </c>
      <c r="O130" s="20">
        <f>_xlfn.XMATCH(tbl_Clean[[#This Row],[Age Band]],{"25-30","31-40","41-50","51-60","61+"})</f>
        <v>2</v>
      </c>
      <c r="P130" s="20" t="str" cm="1">
        <f t="array" ref="P130">_xlfn.IFS(tbl_Clean[[#This Row],[Income]]&lt;=30000,"$10k-30k",tbl_Clean[[#This Row],[Income]]&lt;=60000,"$40k-60k",tbl_Clean[[#This Row],[Income]]&lt;=90000,"$70k-90k",TRUE,"$100k+")</f>
        <v>$70k-90k</v>
      </c>
      <c r="Q130" s="20">
        <f>_xlfn.XMATCH(tbl_Clean[[#This Row],[Income Band]],{"$10k-30k","$40k-60k","$70k-90k","$100k+"})</f>
        <v>3</v>
      </c>
      <c r="R130" s="20" t="str">
        <f>IF(tbl_Clean[[#This Row],[Cars]]&lt;=1,"0-1 Cars","2+ Cars")</f>
        <v>2+ Cars</v>
      </c>
      <c r="S130" s="20">
        <f>_xlfn.XMATCH(tbl_Clean[[#This Row],[Commute Distance]],{"0-1 Miles","1-2 Miles","2-5 Miles","5-10 Miles","10+ Miles"})</f>
        <v>2</v>
      </c>
      <c r="T130" s="20">
        <f>_xlfn.XMATCH(tbl_Clean[[#This Row],[Education]],{"Partial High School","High School","Partial College","Bachelors","Graduate Degree"})</f>
        <v>4</v>
      </c>
      <c r="U130" s="20">
        <f>IF(tbl_Clean[[#This Row],[Purchased Bike]]="Yes",1,0)</f>
        <v>0</v>
      </c>
    </row>
    <row r="131" spans="1:21" x14ac:dyDescent="0.25">
      <c r="A131" s="20">
        <v>12716</v>
      </c>
      <c r="B131" s="3" t="s">
        <v>114</v>
      </c>
      <c r="C131" s="3" t="s">
        <v>113</v>
      </c>
      <c r="D131" s="19">
        <v>30000</v>
      </c>
      <c r="E131" s="20">
        <v>0</v>
      </c>
      <c r="F131" s="3" t="s">
        <v>21</v>
      </c>
      <c r="G131" s="3" t="s">
        <v>22</v>
      </c>
      <c r="H131" s="3" t="s">
        <v>17</v>
      </c>
      <c r="I131" s="20">
        <v>1</v>
      </c>
      <c r="J131" s="3" t="s">
        <v>24</v>
      </c>
      <c r="K131" s="3" t="s">
        <v>19</v>
      </c>
      <c r="L131" s="20">
        <v>32</v>
      </c>
      <c r="M131" s="3" t="s">
        <v>20</v>
      </c>
      <c r="N131" s="20" t="str" cm="1">
        <f t="array" ref="N131">_xlfn.IFS(tbl_Clean[[#This Row],[Age]]&lt;=30,"25-30",tbl_Clean[[#This Row],[Age]]&lt;=40,"31-40",tbl_Clean[[#This Row],[Age]]&lt;=50,"41-50",tbl_Clean[[#This Row],[Age]]&lt;=60,"51-60",TRUE,"61+")</f>
        <v>31-40</v>
      </c>
      <c r="O131" s="20">
        <f>_xlfn.XMATCH(tbl_Clean[[#This Row],[Age Band]],{"25-30","31-40","41-50","51-60","61+"})</f>
        <v>2</v>
      </c>
      <c r="P131" s="20" t="str" cm="1">
        <f t="array" ref="P131">_xlfn.IFS(tbl_Clean[[#This Row],[Income]]&lt;=30000,"$10k-30k",tbl_Clean[[#This Row],[Income]]&lt;=60000,"$40k-60k",tbl_Clean[[#This Row],[Income]]&lt;=90000,"$70k-90k",TRUE,"$100k+")</f>
        <v>$10k-30k</v>
      </c>
      <c r="Q131" s="20">
        <f>_xlfn.XMATCH(tbl_Clean[[#This Row],[Income Band]],{"$10k-30k","$40k-60k","$70k-90k","$100k+"})</f>
        <v>1</v>
      </c>
      <c r="R131" s="20" t="str">
        <f>IF(tbl_Clean[[#This Row],[Cars]]&lt;=1,"0-1 Cars","2+ Cars")</f>
        <v>0-1 Cars</v>
      </c>
      <c r="S131" s="20">
        <f>_xlfn.XMATCH(tbl_Clean[[#This Row],[Commute Distance]],{"0-1 Miles","1-2 Miles","2-5 Miles","5-10 Miles","10+ Miles"})</f>
        <v>3</v>
      </c>
      <c r="T131" s="20">
        <f>_xlfn.XMATCH(tbl_Clean[[#This Row],[Education]],{"Partial High School","High School","Partial College","Bachelors","Graduate Degree"})</f>
        <v>3</v>
      </c>
      <c r="U131" s="20">
        <f>IF(tbl_Clean[[#This Row],[Purchased Bike]]="Yes",1,0)</f>
        <v>0</v>
      </c>
    </row>
    <row r="132" spans="1:21" x14ac:dyDescent="0.25">
      <c r="A132" s="20">
        <v>12472</v>
      </c>
      <c r="B132" s="3" t="s">
        <v>111</v>
      </c>
      <c r="C132" s="3" t="s">
        <v>113</v>
      </c>
      <c r="D132" s="19">
        <v>30000</v>
      </c>
      <c r="E132" s="20">
        <v>1</v>
      </c>
      <c r="F132" s="3" t="s">
        <v>15</v>
      </c>
      <c r="G132" s="3" t="s">
        <v>22</v>
      </c>
      <c r="H132" s="3" t="s">
        <v>17</v>
      </c>
      <c r="I132" s="20">
        <v>1</v>
      </c>
      <c r="J132" s="3" t="s">
        <v>24</v>
      </c>
      <c r="K132" s="3" t="s">
        <v>19</v>
      </c>
      <c r="L132" s="20">
        <v>39</v>
      </c>
      <c r="M132" s="3" t="s">
        <v>20</v>
      </c>
      <c r="N132" s="20" t="str" cm="1">
        <f t="array" ref="N132">_xlfn.IFS(tbl_Clean[[#This Row],[Age]]&lt;=30,"25-30",tbl_Clean[[#This Row],[Age]]&lt;=40,"31-40",tbl_Clean[[#This Row],[Age]]&lt;=50,"41-50",tbl_Clean[[#This Row],[Age]]&lt;=60,"51-60",TRUE,"61+")</f>
        <v>31-40</v>
      </c>
      <c r="O132" s="20">
        <f>_xlfn.XMATCH(tbl_Clean[[#This Row],[Age Band]],{"25-30","31-40","41-50","51-60","61+"})</f>
        <v>2</v>
      </c>
      <c r="P132" s="20" t="str" cm="1">
        <f t="array" ref="P132">_xlfn.IFS(tbl_Clean[[#This Row],[Income]]&lt;=30000,"$10k-30k",tbl_Clean[[#This Row],[Income]]&lt;=60000,"$40k-60k",tbl_Clean[[#This Row],[Income]]&lt;=90000,"$70k-90k",TRUE,"$100k+")</f>
        <v>$10k-30k</v>
      </c>
      <c r="Q132" s="20">
        <f>_xlfn.XMATCH(tbl_Clean[[#This Row],[Income Band]],{"$10k-30k","$40k-60k","$70k-90k","$100k+"})</f>
        <v>1</v>
      </c>
      <c r="R132" s="20" t="str">
        <f>IF(tbl_Clean[[#This Row],[Cars]]&lt;=1,"0-1 Cars","2+ Cars")</f>
        <v>0-1 Cars</v>
      </c>
      <c r="S132" s="20">
        <f>_xlfn.XMATCH(tbl_Clean[[#This Row],[Commute Distance]],{"0-1 Miles","1-2 Miles","2-5 Miles","5-10 Miles","10+ Miles"})</f>
        <v>3</v>
      </c>
      <c r="T132" s="20">
        <f>_xlfn.XMATCH(tbl_Clean[[#This Row],[Education]],{"Partial High School","High School","Partial College","Bachelors","Graduate Degree"})</f>
        <v>4</v>
      </c>
      <c r="U132" s="20">
        <f>IF(tbl_Clean[[#This Row],[Purchased Bike]]="Yes",1,0)</f>
        <v>0</v>
      </c>
    </row>
    <row r="133" spans="1:21" x14ac:dyDescent="0.25">
      <c r="A133" s="20">
        <v>20970</v>
      </c>
      <c r="B133" s="3" t="s">
        <v>114</v>
      </c>
      <c r="C133" s="3" t="s">
        <v>113</v>
      </c>
      <c r="D133" s="19">
        <v>10000</v>
      </c>
      <c r="E133" s="20">
        <v>2</v>
      </c>
      <c r="F133" s="3" t="s">
        <v>21</v>
      </c>
      <c r="G133" s="3" t="s">
        <v>28</v>
      </c>
      <c r="H133" s="3" t="s">
        <v>17</v>
      </c>
      <c r="I133" s="20">
        <v>1</v>
      </c>
      <c r="J133" s="3" t="s">
        <v>18</v>
      </c>
      <c r="K133" s="3" t="s">
        <v>19</v>
      </c>
      <c r="L133" s="20">
        <v>52</v>
      </c>
      <c r="M133" s="3" t="s">
        <v>17</v>
      </c>
      <c r="N133" s="20" t="str" cm="1">
        <f t="array" ref="N133">_xlfn.IFS(tbl_Clean[[#This Row],[Age]]&lt;=30,"25-30",tbl_Clean[[#This Row],[Age]]&lt;=40,"31-40",tbl_Clean[[#This Row],[Age]]&lt;=50,"41-50",tbl_Clean[[#This Row],[Age]]&lt;=60,"51-60",TRUE,"61+")</f>
        <v>51-60</v>
      </c>
      <c r="O133" s="20">
        <f>_xlfn.XMATCH(tbl_Clean[[#This Row],[Age Band]],{"25-30","31-40","41-50","51-60","61+"})</f>
        <v>4</v>
      </c>
      <c r="P133" s="20" t="str" cm="1">
        <f t="array" ref="P133">_xlfn.IFS(tbl_Clean[[#This Row],[Income]]&lt;=30000,"$10k-30k",tbl_Clean[[#This Row],[Income]]&lt;=60000,"$40k-60k",tbl_Clean[[#This Row],[Income]]&lt;=90000,"$70k-90k",TRUE,"$100k+")</f>
        <v>$10k-30k</v>
      </c>
      <c r="Q133" s="20">
        <f>_xlfn.XMATCH(tbl_Clean[[#This Row],[Income Band]],{"$10k-30k","$40k-60k","$70k-90k","$100k+"})</f>
        <v>1</v>
      </c>
      <c r="R133" s="20" t="str">
        <f>IF(tbl_Clean[[#This Row],[Cars]]&lt;=1,"0-1 Cars","2+ Cars")</f>
        <v>0-1 Cars</v>
      </c>
      <c r="S133" s="20">
        <f>_xlfn.XMATCH(tbl_Clean[[#This Row],[Commute Distance]],{"0-1 Miles","1-2 Miles","2-5 Miles","5-10 Miles","10+ Miles"})</f>
        <v>1</v>
      </c>
      <c r="T133" s="20">
        <f>_xlfn.XMATCH(tbl_Clean[[#This Row],[Education]],{"Partial High School","High School","Partial College","Bachelors","Graduate Degree"})</f>
        <v>3</v>
      </c>
      <c r="U133" s="20">
        <f>IF(tbl_Clean[[#This Row],[Purchased Bike]]="Yes",1,0)</f>
        <v>1</v>
      </c>
    </row>
    <row r="134" spans="1:21" x14ac:dyDescent="0.25">
      <c r="A134" s="20">
        <v>26818</v>
      </c>
      <c r="B134" s="3" t="s">
        <v>114</v>
      </c>
      <c r="C134" s="3" t="s">
        <v>113</v>
      </c>
      <c r="D134" s="19">
        <v>10000</v>
      </c>
      <c r="E134" s="20">
        <v>3</v>
      </c>
      <c r="F134" s="3" t="s">
        <v>30</v>
      </c>
      <c r="G134" s="3" t="s">
        <v>28</v>
      </c>
      <c r="H134" s="3" t="s">
        <v>17</v>
      </c>
      <c r="I134" s="20">
        <v>1</v>
      </c>
      <c r="J134" s="3" t="s">
        <v>18</v>
      </c>
      <c r="K134" s="3" t="s">
        <v>19</v>
      </c>
      <c r="L134" s="20">
        <v>39</v>
      </c>
      <c r="M134" s="3" t="s">
        <v>17</v>
      </c>
      <c r="N134" s="20" t="str" cm="1">
        <f t="array" ref="N134">_xlfn.IFS(tbl_Clean[[#This Row],[Age]]&lt;=30,"25-30",tbl_Clean[[#This Row],[Age]]&lt;=40,"31-40",tbl_Clean[[#This Row],[Age]]&lt;=50,"41-50",tbl_Clean[[#This Row],[Age]]&lt;=60,"51-60",TRUE,"61+")</f>
        <v>31-40</v>
      </c>
      <c r="O134" s="20">
        <f>_xlfn.XMATCH(tbl_Clean[[#This Row],[Age Band]],{"25-30","31-40","41-50","51-60","61+"})</f>
        <v>2</v>
      </c>
      <c r="P134" s="20" t="str" cm="1">
        <f t="array" ref="P134">_xlfn.IFS(tbl_Clean[[#This Row],[Income]]&lt;=30000,"$10k-30k",tbl_Clean[[#This Row],[Income]]&lt;=60000,"$40k-60k",tbl_Clean[[#This Row],[Income]]&lt;=90000,"$70k-90k",TRUE,"$100k+")</f>
        <v>$10k-30k</v>
      </c>
      <c r="Q134" s="20">
        <f>_xlfn.XMATCH(tbl_Clean[[#This Row],[Income Band]],{"$10k-30k","$40k-60k","$70k-90k","$100k+"})</f>
        <v>1</v>
      </c>
      <c r="R134" s="20" t="str">
        <f>IF(tbl_Clean[[#This Row],[Cars]]&lt;=1,"0-1 Cars","2+ Cars")</f>
        <v>0-1 Cars</v>
      </c>
      <c r="S134" s="20">
        <f>_xlfn.XMATCH(tbl_Clean[[#This Row],[Commute Distance]],{"0-1 Miles","1-2 Miles","2-5 Miles","5-10 Miles","10+ Miles"})</f>
        <v>1</v>
      </c>
      <c r="T134" s="20">
        <f>_xlfn.XMATCH(tbl_Clean[[#This Row],[Education]],{"Partial High School","High School","Partial College","Bachelors","Graduate Degree"})</f>
        <v>2</v>
      </c>
      <c r="U134" s="20">
        <f>IF(tbl_Clean[[#This Row],[Purchased Bike]]="Yes",1,0)</f>
        <v>1</v>
      </c>
    </row>
    <row r="135" spans="1:21" x14ac:dyDescent="0.25">
      <c r="A135" s="20">
        <v>12993</v>
      </c>
      <c r="B135" s="3" t="s">
        <v>111</v>
      </c>
      <c r="C135" s="3" t="s">
        <v>113</v>
      </c>
      <c r="D135" s="19">
        <v>60000</v>
      </c>
      <c r="E135" s="20">
        <v>2</v>
      </c>
      <c r="F135" s="3" t="s">
        <v>15</v>
      </c>
      <c r="G135" s="3" t="s">
        <v>23</v>
      </c>
      <c r="H135" s="3" t="s">
        <v>17</v>
      </c>
      <c r="I135" s="20">
        <v>1</v>
      </c>
      <c r="J135" s="3" t="s">
        <v>24</v>
      </c>
      <c r="K135" s="3" t="s">
        <v>27</v>
      </c>
      <c r="L135" s="20">
        <v>37</v>
      </c>
      <c r="M135" s="3" t="s">
        <v>20</v>
      </c>
      <c r="N135" s="20" t="str" cm="1">
        <f t="array" ref="N135">_xlfn.IFS(tbl_Clean[[#This Row],[Age]]&lt;=30,"25-30",tbl_Clean[[#This Row],[Age]]&lt;=40,"31-40",tbl_Clean[[#This Row],[Age]]&lt;=50,"41-50",tbl_Clean[[#This Row],[Age]]&lt;=60,"51-60",TRUE,"61+")</f>
        <v>31-40</v>
      </c>
      <c r="O135" s="20">
        <f>_xlfn.XMATCH(tbl_Clean[[#This Row],[Age Band]],{"25-30","31-40","41-50","51-60","61+"})</f>
        <v>2</v>
      </c>
      <c r="P135" s="20" t="str" cm="1">
        <f t="array" ref="P135">_xlfn.IFS(tbl_Clean[[#This Row],[Income]]&lt;=30000,"$10k-30k",tbl_Clean[[#This Row],[Income]]&lt;=60000,"$40k-60k",tbl_Clean[[#This Row],[Income]]&lt;=90000,"$70k-90k",TRUE,"$100k+")</f>
        <v>$40k-60k</v>
      </c>
      <c r="Q135" s="20">
        <f>_xlfn.XMATCH(tbl_Clean[[#This Row],[Income Band]],{"$10k-30k","$40k-60k","$70k-90k","$100k+"})</f>
        <v>2</v>
      </c>
      <c r="R135" s="20" t="str">
        <f>IF(tbl_Clean[[#This Row],[Cars]]&lt;=1,"0-1 Cars","2+ Cars")</f>
        <v>0-1 Cars</v>
      </c>
      <c r="S135" s="20">
        <f>_xlfn.XMATCH(tbl_Clean[[#This Row],[Commute Distance]],{"0-1 Miles","1-2 Miles","2-5 Miles","5-10 Miles","10+ Miles"})</f>
        <v>3</v>
      </c>
      <c r="T135" s="20">
        <f>_xlfn.XMATCH(tbl_Clean[[#This Row],[Education]],{"Partial High School","High School","Partial College","Bachelors","Graduate Degree"})</f>
        <v>4</v>
      </c>
      <c r="U135" s="20">
        <f>IF(tbl_Clean[[#This Row],[Purchased Bike]]="Yes",1,0)</f>
        <v>0</v>
      </c>
    </row>
    <row r="136" spans="1:21" x14ac:dyDescent="0.25">
      <c r="A136" s="20">
        <v>14192</v>
      </c>
      <c r="B136" s="3" t="s">
        <v>111</v>
      </c>
      <c r="C136" s="3" t="s">
        <v>113</v>
      </c>
      <c r="D136" s="19">
        <v>90000</v>
      </c>
      <c r="E136" s="20">
        <v>4</v>
      </c>
      <c r="F136" s="3" t="s">
        <v>30</v>
      </c>
      <c r="G136" s="3" t="s">
        <v>31</v>
      </c>
      <c r="H136" s="3" t="s">
        <v>17</v>
      </c>
      <c r="I136" s="20">
        <v>3</v>
      </c>
      <c r="J136" s="3" t="s">
        <v>26</v>
      </c>
      <c r="K136" s="3" t="s">
        <v>19</v>
      </c>
      <c r="L136" s="20">
        <v>56</v>
      </c>
      <c r="M136" s="3" t="s">
        <v>17</v>
      </c>
      <c r="N136" s="20" t="str" cm="1">
        <f t="array" ref="N136">_xlfn.IFS(tbl_Clean[[#This Row],[Age]]&lt;=30,"25-30",tbl_Clean[[#This Row],[Age]]&lt;=40,"31-40",tbl_Clean[[#This Row],[Age]]&lt;=50,"41-50",tbl_Clean[[#This Row],[Age]]&lt;=60,"51-60",TRUE,"61+")</f>
        <v>51-60</v>
      </c>
      <c r="O136" s="20">
        <f>_xlfn.XMATCH(tbl_Clean[[#This Row],[Age Band]],{"25-30","31-40","41-50","51-60","61+"})</f>
        <v>4</v>
      </c>
      <c r="P136" s="20" t="str" cm="1">
        <f t="array" ref="P136">_xlfn.IFS(tbl_Clean[[#This Row],[Income]]&lt;=30000,"$10k-30k",tbl_Clean[[#This Row],[Income]]&lt;=60000,"$40k-60k",tbl_Clean[[#This Row],[Income]]&lt;=90000,"$70k-90k",TRUE,"$100k+")</f>
        <v>$70k-90k</v>
      </c>
      <c r="Q136" s="20">
        <f>_xlfn.XMATCH(tbl_Clean[[#This Row],[Income Band]],{"$10k-30k","$40k-60k","$70k-90k","$100k+"})</f>
        <v>3</v>
      </c>
      <c r="R136" s="20" t="str">
        <f>IF(tbl_Clean[[#This Row],[Cars]]&lt;=1,"0-1 Cars","2+ Cars")</f>
        <v>2+ Cars</v>
      </c>
      <c r="S136" s="20">
        <f>_xlfn.XMATCH(tbl_Clean[[#This Row],[Commute Distance]],{"0-1 Miles","1-2 Miles","2-5 Miles","5-10 Miles","10+ Miles"})</f>
        <v>4</v>
      </c>
      <c r="T136" s="20">
        <f>_xlfn.XMATCH(tbl_Clean[[#This Row],[Education]],{"Partial High School","High School","Partial College","Bachelors","Graduate Degree"})</f>
        <v>2</v>
      </c>
      <c r="U136" s="20">
        <f>IF(tbl_Clean[[#This Row],[Purchased Bike]]="Yes",1,0)</f>
        <v>1</v>
      </c>
    </row>
    <row r="137" spans="1:21" x14ac:dyDescent="0.25">
      <c r="A137" s="20">
        <v>19477</v>
      </c>
      <c r="B137" s="3" t="s">
        <v>111</v>
      </c>
      <c r="C137" s="3" t="s">
        <v>113</v>
      </c>
      <c r="D137" s="19">
        <v>40000</v>
      </c>
      <c r="E137" s="20">
        <v>0</v>
      </c>
      <c r="F137" s="3" t="s">
        <v>15</v>
      </c>
      <c r="G137" s="3" t="s">
        <v>23</v>
      </c>
      <c r="H137" s="3" t="s">
        <v>17</v>
      </c>
      <c r="I137" s="20">
        <v>0</v>
      </c>
      <c r="J137" s="3" t="s">
        <v>18</v>
      </c>
      <c r="K137" s="3" t="s">
        <v>19</v>
      </c>
      <c r="L137" s="20">
        <v>40</v>
      </c>
      <c r="M137" s="3" t="s">
        <v>17</v>
      </c>
      <c r="N137" s="20" t="str" cm="1">
        <f t="array" ref="N137">_xlfn.IFS(tbl_Clean[[#This Row],[Age]]&lt;=30,"25-30",tbl_Clean[[#This Row],[Age]]&lt;=40,"31-40",tbl_Clean[[#This Row],[Age]]&lt;=50,"41-50",tbl_Clean[[#This Row],[Age]]&lt;=60,"51-60",TRUE,"61+")</f>
        <v>31-40</v>
      </c>
      <c r="O137" s="20">
        <f>_xlfn.XMATCH(tbl_Clean[[#This Row],[Age Band]],{"25-30","31-40","41-50","51-60","61+"})</f>
        <v>2</v>
      </c>
      <c r="P137" s="20" t="str" cm="1">
        <f t="array" ref="P137">_xlfn.IFS(tbl_Clean[[#This Row],[Income]]&lt;=30000,"$10k-30k",tbl_Clean[[#This Row],[Income]]&lt;=60000,"$40k-60k",tbl_Clean[[#This Row],[Income]]&lt;=90000,"$70k-90k",TRUE,"$100k+")</f>
        <v>$40k-60k</v>
      </c>
      <c r="Q137" s="20">
        <f>_xlfn.XMATCH(tbl_Clean[[#This Row],[Income Band]],{"$10k-30k","$40k-60k","$70k-90k","$100k+"})</f>
        <v>2</v>
      </c>
      <c r="R137" s="20" t="str">
        <f>IF(tbl_Clean[[#This Row],[Cars]]&lt;=1,"0-1 Cars","2+ Cars")</f>
        <v>0-1 Cars</v>
      </c>
      <c r="S137" s="20">
        <f>_xlfn.XMATCH(tbl_Clean[[#This Row],[Commute Distance]],{"0-1 Miles","1-2 Miles","2-5 Miles","5-10 Miles","10+ Miles"})</f>
        <v>1</v>
      </c>
      <c r="T137" s="20">
        <f>_xlfn.XMATCH(tbl_Clean[[#This Row],[Education]],{"Partial High School","High School","Partial College","Bachelors","Graduate Degree"})</f>
        <v>4</v>
      </c>
      <c r="U137" s="20">
        <f>IF(tbl_Clean[[#This Row],[Purchased Bike]]="Yes",1,0)</f>
        <v>1</v>
      </c>
    </row>
    <row r="138" spans="1:21" x14ac:dyDescent="0.25">
      <c r="A138" s="20">
        <v>26796</v>
      </c>
      <c r="B138" s="3" t="s">
        <v>114</v>
      </c>
      <c r="C138" s="3" t="s">
        <v>113</v>
      </c>
      <c r="D138" s="19">
        <v>40000</v>
      </c>
      <c r="E138" s="20">
        <v>2</v>
      </c>
      <c r="F138" s="3" t="s">
        <v>15</v>
      </c>
      <c r="G138" s="3" t="s">
        <v>31</v>
      </c>
      <c r="H138" s="3" t="s">
        <v>17</v>
      </c>
      <c r="I138" s="20">
        <v>2</v>
      </c>
      <c r="J138" s="3" t="s">
        <v>26</v>
      </c>
      <c r="K138" s="3" t="s">
        <v>27</v>
      </c>
      <c r="L138" s="20">
        <v>65</v>
      </c>
      <c r="M138" s="3" t="s">
        <v>17</v>
      </c>
      <c r="N138" s="20" t="str" cm="1">
        <f t="array" ref="N138">_xlfn.IFS(tbl_Clean[[#This Row],[Age]]&lt;=30,"25-30",tbl_Clean[[#This Row],[Age]]&lt;=40,"31-40",tbl_Clean[[#This Row],[Age]]&lt;=50,"41-50",tbl_Clean[[#This Row],[Age]]&lt;=60,"51-60",TRUE,"61+")</f>
        <v>61+</v>
      </c>
      <c r="O138" s="20">
        <f>_xlfn.XMATCH(tbl_Clean[[#This Row],[Age Band]],{"25-30","31-40","41-50","51-60","61+"})</f>
        <v>5</v>
      </c>
      <c r="P138" s="20" t="str" cm="1">
        <f t="array" ref="P138">_xlfn.IFS(tbl_Clean[[#This Row],[Income]]&lt;=30000,"$10k-30k",tbl_Clean[[#This Row],[Income]]&lt;=60000,"$40k-60k",tbl_Clean[[#This Row],[Income]]&lt;=90000,"$70k-90k",TRUE,"$100k+")</f>
        <v>$40k-60k</v>
      </c>
      <c r="Q138" s="20">
        <f>_xlfn.XMATCH(tbl_Clean[[#This Row],[Income Band]],{"$10k-30k","$40k-60k","$70k-90k","$100k+"})</f>
        <v>2</v>
      </c>
      <c r="R138" s="20" t="str">
        <f>IF(tbl_Clean[[#This Row],[Cars]]&lt;=1,"0-1 Cars","2+ Cars")</f>
        <v>2+ Cars</v>
      </c>
      <c r="S138" s="20">
        <f>_xlfn.XMATCH(tbl_Clean[[#This Row],[Commute Distance]],{"0-1 Miles","1-2 Miles","2-5 Miles","5-10 Miles","10+ Miles"})</f>
        <v>4</v>
      </c>
      <c r="T138" s="20">
        <f>_xlfn.XMATCH(tbl_Clean[[#This Row],[Education]],{"Partial High School","High School","Partial College","Bachelors","Graduate Degree"})</f>
        <v>4</v>
      </c>
      <c r="U138" s="20">
        <f>IF(tbl_Clean[[#This Row],[Purchased Bike]]="Yes",1,0)</f>
        <v>1</v>
      </c>
    </row>
    <row r="139" spans="1:21" x14ac:dyDescent="0.25">
      <c r="A139" s="20">
        <v>21094</v>
      </c>
      <c r="B139" s="3" t="s">
        <v>114</v>
      </c>
      <c r="C139" s="3" t="s">
        <v>112</v>
      </c>
      <c r="D139" s="19">
        <v>30000</v>
      </c>
      <c r="E139" s="20">
        <v>2</v>
      </c>
      <c r="F139" s="3" t="s">
        <v>21</v>
      </c>
      <c r="G139" s="3" t="s">
        <v>22</v>
      </c>
      <c r="H139" s="3" t="s">
        <v>17</v>
      </c>
      <c r="I139" s="20">
        <v>2</v>
      </c>
      <c r="J139" s="3" t="s">
        <v>18</v>
      </c>
      <c r="K139" s="3" t="s">
        <v>19</v>
      </c>
      <c r="L139" s="20">
        <v>42</v>
      </c>
      <c r="M139" s="3" t="s">
        <v>20</v>
      </c>
      <c r="N139" s="20" t="str" cm="1">
        <f t="array" ref="N139">_xlfn.IFS(tbl_Clean[[#This Row],[Age]]&lt;=30,"25-30",tbl_Clean[[#This Row],[Age]]&lt;=40,"31-40",tbl_Clean[[#This Row],[Age]]&lt;=50,"41-50",tbl_Clean[[#This Row],[Age]]&lt;=60,"51-60",TRUE,"61+")</f>
        <v>41-50</v>
      </c>
      <c r="O139" s="20">
        <f>_xlfn.XMATCH(tbl_Clean[[#This Row],[Age Band]],{"25-30","31-40","41-50","51-60","61+"})</f>
        <v>3</v>
      </c>
      <c r="P139" s="20" t="str" cm="1">
        <f t="array" ref="P139">_xlfn.IFS(tbl_Clean[[#This Row],[Income]]&lt;=30000,"$10k-30k",tbl_Clean[[#This Row],[Income]]&lt;=60000,"$40k-60k",tbl_Clean[[#This Row],[Income]]&lt;=90000,"$70k-90k",TRUE,"$100k+")</f>
        <v>$10k-30k</v>
      </c>
      <c r="Q139" s="20">
        <f>_xlfn.XMATCH(tbl_Clean[[#This Row],[Income Band]],{"$10k-30k","$40k-60k","$70k-90k","$100k+"})</f>
        <v>1</v>
      </c>
      <c r="R139" s="20" t="str">
        <f>IF(tbl_Clean[[#This Row],[Cars]]&lt;=1,"0-1 Cars","2+ Cars")</f>
        <v>2+ Cars</v>
      </c>
      <c r="S139" s="20">
        <f>_xlfn.XMATCH(tbl_Clean[[#This Row],[Commute Distance]],{"0-1 Miles","1-2 Miles","2-5 Miles","5-10 Miles","10+ Miles"})</f>
        <v>1</v>
      </c>
      <c r="T139" s="20">
        <f>_xlfn.XMATCH(tbl_Clean[[#This Row],[Education]],{"Partial High School","High School","Partial College","Bachelors","Graduate Degree"})</f>
        <v>3</v>
      </c>
      <c r="U139" s="20">
        <f>IF(tbl_Clean[[#This Row],[Purchased Bike]]="Yes",1,0)</f>
        <v>0</v>
      </c>
    </row>
    <row r="140" spans="1:21" x14ac:dyDescent="0.25">
      <c r="A140" s="20">
        <v>12234</v>
      </c>
      <c r="B140" s="3" t="s">
        <v>111</v>
      </c>
      <c r="C140" s="3" t="s">
        <v>113</v>
      </c>
      <c r="D140" s="19">
        <v>10000</v>
      </c>
      <c r="E140" s="20">
        <v>2</v>
      </c>
      <c r="F140" s="3" t="s">
        <v>21</v>
      </c>
      <c r="G140" s="3" t="s">
        <v>28</v>
      </c>
      <c r="H140" s="3" t="s">
        <v>17</v>
      </c>
      <c r="I140" s="20">
        <v>1</v>
      </c>
      <c r="J140" s="3" t="s">
        <v>24</v>
      </c>
      <c r="K140" s="3" t="s">
        <v>19</v>
      </c>
      <c r="L140" s="20">
        <v>52</v>
      </c>
      <c r="M140" s="3" t="s">
        <v>20</v>
      </c>
      <c r="N140" s="20" t="str" cm="1">
        <f t="array" ref="N140">_xlfn.IFS(tbl_Clean[[#This Row],[Age]]&lt;=30,"25-30",tbl_Clean[[#This Row],[Age]]&lt;=40,"31-40",tbl_Clean[[#This Row],[Age]]&lt;=50,"41-50",tbl_Clean[[#This Row],[Age]]&lt;=60,"51-60",TRUE,"61+")</f>
        <v>51-60</v>
      </c>
      <c r="O140" s="20">
        <f>_xlfn.XMATCH(tbl_Clean[[#This Row],[Age Band]],{"25-30","31-40","41-50","51-60","61+"})</f>
        <v>4</v>
      </c>
      <c r="P140" s="20" t="str" cm="1">
        <f t="array" ref="P140">_xlfn.IFS(tbl_Clean[[#This Row],[Income]]&lt;=30000,"$10k-30k",tbl_Clean[[#This Row],[Income]]&lt;=60000,"$40k-60k",tbl_Clean[[#This Row],[Income]]&lt;=90000,"$70k-90k",TRUE,"$100k+")</f>
        <v>$10k-30k</v>
      </c>
      <c r="Q140" s="20">
        <f>_xlfn.XMATCH(tbl_Clean[[#This Row],[Income Band]],{"$10k-30k","$40k-60k","$70k-90k","$100k+"})</f>
        <v>1</v>
      </c>
      <c r="R140" s="20" t="str">
        <f>IF(tbl_Clean[[#This Row],[Cars]]&lt;=1,"0-1 Cars","2+ Cars")</f>
        <v>0-1 Cars</v>
      </c>
      <c r="S140" s="20">
        <f>_xlfn.XMATCH(tbl_Clean[[#This Row],[Commute Distance]],{"0-1 Miles","1-2 Miles","2-5 Miles","5-10 Miles","10+ Miles"})</f>
        <v>3</v>
      </c>
      <c r="T140" s="20">
        <f>_xlfn.XMATCH(tbl_Clean[[#This Row],[Education]],{"Partial High School","High School","Partial College","Bachelors","Graduate Degree"})</f>
        <v>3</v>
      </c>
      <c r="U140" s="20">
        <f>IF(tbl_Clean[[#This Row],[Purchased Bike]]="Yes",1,0)</f>
        <v>0</v>
      </c>
    </row>
    <row r="141" spans="1:21" x14ac:dyDescent="0.25">
      <c r="A141" s="20">
        <v>28683</v>
      </c>
      <c r="B141" s="3" t="s">
        <v>114</v>
      </c>
      <c r="C141" s="3" t="s">
        <v>112</v>
      </c>
      <c r="D141" s="19">
        <v>10000</v>
      </c>
      <c r="E141" s="20">
        <v>1</v>
      </c>
      <c r="F141" s="3" t="s">
        <v>30</v>
      </c>
      <c r="G141" s="3" t="s">
        <v>28</v>
      </c>
      <c r="H141" s="3" t="s">
        <v>20</v>
      </c>
      <c r="I141" s="20">
        <v>1</v>
      </c>
      <c r="J141" s="3" t="s">
        <v>26</v>
      </c>
      <c r="K141" s="3" t="s">
        <v>19</v>
      </c>
      <c r="L141" s="20">
        <v>35</v>
      </c>
      <c r="M141" s="3" t="s">
        <v>17</v>
      </c>
      <c r="N141" s="20" t="str" cm="1">
        <f t="array" ref="N141">_xlfn.IFS(tbl_Clean[[#This Row],[Age]]&lt;=30,"25-30",tbl_Clean[[#This Row],[Age]]&lt;=40,"31-40",tbl_Clean[[#This Row],[Age]]&lt;=50,"41-50",tbl_Clean[[#This Row],[Age]]&lt;=60,"51-60",TRUE,"61+")</f>
        <v>31-40</v>
      </c>
      <c r="O141" s="20">
        <f>_xlfn.XMATCH(tbl_Clean[[#This Row],[Age Band]],{"25-30","31-40","41-50","51-60","61+"})</f>
        <v>2</v>
      </c>
      <c r="P141" s="20" t="str" cm="1">
        <f t="array" ref="P141">_xlfn.IFS(tbl_Clean[[#This Row],[Income]]&lt;=30000,"$10k-30k",tbl_Clean[[#This Row],[Income]]&lt;=60000,"$40k-60k",tbl_Clean[[#This Row],[Income]]&lt;=90000,"$70k-90k",TRUE,"$100k+")</f>
        <v>$10k-30k</v>
      </c>
      <c r="Q141" s="20">
        <f>_xlfn.XMATCH(tbl_Clean[[#This Row],[Income Band]],{"$10k-30k","$40k-60k","$70k-90k","$100k+"})</f>
        <v>1</v>
      </c>
      <c r="R141" s="20" t="str">
        <f>IF(tbl_Clean[[#This Row],[Cars]]&lt;=1,"0-1 Cars","2+ Cars")</f>
        <v>0-1 Cars</v>
      </c>
      <c r="S141" s="20">
        <f>_xlfn.XMATCH(tbl_Clean[[#This Row],[Commute Distance]],{"0-1 Miles","1-2 Miles","2-5 Miles","5-10 Miles","10+ Miles"})</f>
        <v>4</v>
      </c>
      <c r="T141" s="20">
        <f>_xlfn.XMATCH(tbl_Clean[[#This Row],[Education]],{"Partial High School","High School","Partial College","Bachelors","Graduate Degree"})</f>
        <v>2</v>
      </c>
      <c r="U141" s="20">
        <f>IF(tbl_Clean[[#This Row],[Purchased Bike]]="Yes",1,0)</f>
        <v>1</v>
      </c>
    </row>
    <row r="142" spans="1:21" x14ac:dyDescent="0.25">
      <c r="A142" s="20">
        <v>17994</v>
      </c>
      <c r="B142" s="3" t="s">
        <v>114</v>
      </c>
      <c r="C142" s="3" t="s">
        <v>113</v>
      </c>
      <c r="D142" s="19">
        <v>20000</v>
      </c>
      <c r="E142" s="20">
        <v>2</v>
      </c>
      <c r="F142" s="3" t="s">
        <v>30</v>
      </c>
      <c r="G142" s="3" t="s">
        <v>28</v>
      </c>
      <c r="H142" s="3" t="s">
        <v>17</v>
      </c>
      <c r="I142" s="20">
        <v>2</v>
      </c>
      <c r="J142" s="3" t="s">
        <v>18</v>
      </c>
      <c r="K142" s="3" t="s">
        <v>19</v>
      </c>
      <c r="L142" s="20">
        <v>42</v>
      </c>
      <c r="M142" s="3" t="s">
        <v>20</v>
      </c>
      <c r="N142" s="20" t="str" cm="1">
        <f t="array" ref="N142">_xlfn.IFS(tbl_Clean[[#This Row],[Age]]&lt;=30,"25-30",tbl_Clean[[#This Row],[Age]]&lt;=40,"31-40",tbl_Clean[[#This Row],[Age]]&lt;=50,"41-50",tbl_Clean[[#This Row],[Age]]&lt;=60,"51-60",TRUE,"61+")</f>
        <v>41-50</v>
      </c>
      <c r="O142" s="20">
        <f>_xlfn.XMATCH(tbl_Clean[[#This Row],[Age Band]],{"25-30","31-40","41-50","51-60","61+"})</f>
        <v>3</v>
      </c>
      <c r="P142" s="20" t="str" cm="1">
        <f t="array" ref="P142">_xlfn.IFS(tbl_Clean[[#This Row],[Income]]&lt;=30000,"$10k-30k",tbl_Clean[[#This Row],[Income]]&lt;=60000,"$40k-60k",tbl_Clean[[#This Row],[Income]]&lt;=90000,"$70k-90k",TRUE,"$100k+")</f>
        <v>$10k-30k</v>
      </c>
      <c r="Q142" s="20">
        <f>_xlfn.XMATCH(tbl_Clean[[#This Row],[Income Band]],{"$10k-30k","$40k-60k","$70k-90k","$100k+"})</f>
        <v>1</v>
      </c>
      <c r="R142" s="20" t="str">
        <f>IF(tbl_Clean[[#This Row],[Cars]]&lt;=1,"0-1 Cars","2+ Cars")</f>
        <v>2+ Cars</v>
      </c>
      <c r="S142" s="20">
        <f>_xlfn.XMATCH(tbl_Clean[[#This Row],[Commute Distance]],{"0-1 Miles","1-2 Miles","2-5 Miles","5-10 Miles","10+ Miles"})</f>
        <v>1</v>
      </c>
      <c r="T142" s="20">
        <f>_xlfn.XMATCH(tbl_Clean[[#This Row],[Education]],{"Partial High School","High School","Partial College","Bachelors","Graduate Degree"})</f>
        <v>2</v>
      </c>
      <c r="U142" s="20">
        <f>IF(tbl_Clean[[#This Row],[Purchased Bike]]="Yes",1,0)</f>
        <v>0</v>
      </c>
    </row>
    <row r="143" spans="1:21" x14ac:dyDescent="0.25">
      <c r="A143" s="20">
        <v>24273</v>
      </c>
      <c r="B143" s="3" t="s">
        <v>111</v>
      </c>
      <c r="C143" s="3" t="s">
        <v>112</v>
      </c>
      <c r="D143" s="19">
        <v>20000</v>
      </c>
      <c r="E143" s="20">
        <v>2</v>
      </c>
      <c r="F143" s="3" t="s">
        <v>32</v>
      </c>
      <c r="G143" s="3" t="s">
        <v>22</v>
      </c>
      <c r="H143" s="3" t="s">
        <v>17</v>
      </c>
      <c r="I143" s="20">
        <v>2</v>
      </c>
      <c r="J143" s="3" t="s">
        <v>26</v>
      </c>
      <c r="K143" s="3" t="s">
        <v>27</v>
      </c>
      <c r="L143" s="20">
        <v>55</v>
      </c>
      <c r="M143" s="3" t="s">
        <v>17</v>
      </c>
      <c r="N143" s="20" t="str" cm="1">
        <f t="array" ref="N143">_xlfn.IFS(tbl_Clean[[#This Row],[Age]]&lt;=30,"25-30",tbl_Clean[[#This Row],[Age]]&lt;=40,"31-40",tbl_Clean[[#This Row],[Age]]&lt;=50,"41-50",tbl_Clean[[#This Row],[Age]]&lt;=60,"51-60",TRUE,"61+")</f>
        <v>51-60</v>
      </c>
      <c r="O143" s="20">
        <f>_xlfn.XMATCH(tbl_Clean[[#This Row],[Age Band]],{"25-30","31-40","41-50","51-60","61+"})</f>
        <v>4</v>
      </c>
      <c r="P143" s="20" t="str" cm="1">
        <f t="array" ref="P143">_xlfn.IFS(tbl_Clean[[#This Row],[Income]]&lt;=30000,"$10k-30k",tbl_Clean[[#This Row],[Income]]&lt;=60000,"$40k-60k",tbl_Clean[[#This Row],[Income]]&lt;=90000,"$70k-90k",TRUE,"$100k+")</f>
        <v>$10k-30k</v>
      </c>
      <c r="Q143" s="20">
        <f>_xlfn.XMATCH(tbl_Clean[[#This Row],[Income Band]],{"$10k-30k","$40k-60k","$70k-90k","$100k+"})</f>
        <v>1</v>
      </c>
      <c r="R143" s="20" t="str">
        <f>IF(tbl_Clean[[#This Row],[Cars]]&lt;=1,"0-1 Cars","2+ Cars")</f>
        <v>2+ Cars</v>
      </c>
      <c r="S143" s="20">
        <f>_xlfn.XMATCH(tbl_Clean[[#This Row],[Commute Distance]],{"0-1 Miles","1-2 Miles","2-5 Miles","5-10 Miles","10+ Miles"})</f>
        <v>4</v>
      </c>
      <c r="T143" s="20">
        <f>_xlfn.XMATCH(tbl_Clean[[#This Row],[Education]],{"Partial High School","High School","Partial College","Bachelors","Graduate Degree"})</f>
        <v>1</v>
      </c>
      <c r="U143" s="20">
        <f>IF(tbl_Clean[[#This Row],[Purchased Bike]]="Yes",1,0)</f>
        <v>1</v>
      </c>
    </row>
    <row r="144" spans="1:21" x14ac:dyDescent="0.25">
      <c r="A144" s="20">
        <v>26547</v>
      </c>
      <c r="B144" s="3" t="s">
        <v>114</v>
      </c>
      <c r="C144" s="3" t="s">
        <v>112</v>
      </c>
      <c r="D144" s="19">
        <v>30000</v>
      </c>
      <c r="E144" s="20">
        <v>2</v>
      </c>
      <c r="F144" s="3" t="s">
        <v>21</v>
      </c>
      <c r="G144" s="3" t="s">
        <v>22</v>
      </c>
      <c r="H144" s="3" t="s">
        <v>20</v>
      </c>
      <c r="I144" s="20">
        <v>2</v>
      </c>
      <c r="J144" s="3" t="s">
        <v>26</v>
      </c>
      <c r="K144" s="3" t="s">
        <v>27</v>
      </c>
      <c r="L144" s="20">
        <v>60</v>
      </c>
      <c r="M144" s="3" t="s">
        <v>17</v>
      </c>
      <c r="N144" s="20" t="str" cm="1">
        <f t="array" ref="N144">_xlfn.IFS(tbl_Clean[[#This Row],[Age]]&lt;=30,"25-30",tbl_Clean[[#This Row],[Age]]&lt;=40,"31-40",tbl_Clean[[#This Row],[Age]]&lt;=50,"41-50",tbl_Clean[[#This Row],[Age]]&lt;=60,"51-60",TRUE,"61+")</f>
        <v>51-60</v>
      </c>
      <c r="O144" s="20">
        <f>_xlfn.XMATCH(tbl_Clean[[#This Row],[Age Band]],{"25-30","31-40","41-50","51-60","61+"})</f>
        <v>4</v>
      </c>
      <c r="P144" s="20" t="str" cm="1">
        <f t="array" ref="P144">_xlfn.IFS(tbl_Clean[[#This Row],[Income]]&lt;=30000,"$10k-30k",tbl_Clean[[#This Row],[Income]]&lt;=60000,"$40k-60k",tbl_Clean[[#This Row],[Income]]&lt;=90000,"$70k-90k",TRUE,"$100k+")</f>
        <v>$10k-30k</v>
      </c>
      <c r="Q144" s="20">
        <f>_xlfn.XMATCH(tbl_Clean[[#This Row],[Income Band]],{"$10k-30k","$40k-60k","$70k-90k","$100k+"})</f>
        <v>1</v>
      </c>
      <c r="R144" s="20" t="str">
        <f>IF(tbl_Clean[[#This Row],[Cars]]&lt;=1,"0-1 Cars","2+ Cars")</f>
        <v>2+ Cars</v>
      </c>
      <c r="S144" s="20">
        <f>_xlfn.XMATCH(tbl_Clean[[#This Row],[Commute Distance]],{"0-1 Miles","1-2 Miles","2-5 Miles","5-10 Miles","10+ Miles"})</f>
        <v>4</v>
      </c>
      <c r="T144" s="20">
        <f>_xlfn.XMATCH(tbl_Clean[[#This Row],[Education]],{"Partial High School","High School","Partial College","Bachelors","Graduate Degree"})</f>
        <v>3</v>
      </c>
      <c r="U144" s="20">
        <f>IF(tbl_Clean[[#This Row],[Purchased Bike]]="Yes",1,0)</f>
        <v>1</v>
      </c>
    </row>
    <row r="145" spans="1:21" x14ac:dyDescent="0.25">
      <c r="A145" s="20">
        <v>22500</v>
      </c>
      <c r="B145" s="3" t="s">
        <v>114</v>
      </c>
      <c r="C145" s="3" t="s">
        <v>113</v>
      </c>
      <c r="D145" s="19">
        <v>40000</v>
      </c>
      <c r="E145" s="20">
        <v>0</v>
      </c>
      <c r="F145" s="3" t="s">
        <v>15</v>
      </c>
      <c r="G145" s="3" t="s">
        <v>23</v>
      </c>
      <c r="H145" s="3" t="s">
        <v>20</v>
      </c>
      <c r="I145" s="20">
        <v>0</v>
      </c>
      <c r="J145" s="3" t="s">
        <v>18</v>
      </c>
      <c r="K145" s="3" t="s">
        <v>19</v>
      </c>
      <c r="L145" s="20">
        <v>40</v>
      </c>
      <c r="M145" s="3" t="s">
        <v>17</v>
      </c>
      <c r="N145" s="20" t="str" cm="1">
        <f t="array" ref="N145">_xlfn.IFS(tbl_Clean[[#This Row],[Age]]&lt;=30,"25-30",tbl_Clean[[#This Row],[Age]]&lt;=40,"31-40",tbl_Clean[[#This Row],[Age]]&lt;=50,"41-50",tbl_Clean[[#This Row],[Age]]&lt;=60,"51-60",TRUE,"61+")</f>
        <v>31-40</v>
      </c>
      <c r="O145" s="20">
        <f>_xlfn.XMATCH(tbl_Clean[[#This Row],[Age Band]],{"25-30","31-40","41-50","51-60","61+"})</f>
        <v>2</v>
      </c>
      <c r="P145" s="20" t="str" cm="1">
        <f t="array" ref="P145">_xlfn.IFS(tbl_Clean[[#This Row],[Income]]&lt;=30000,"$10k-30k",tbl_Clean[[#This Row],[Income]]&lt;=60000,"$40k-60k",tbl_Clean[[#This Row],[Income]]&lt;=90000,"$70k-90k",TRUE,"$100k+")</f>
        <v>$40k-60k</v>
      </c>
      <c r="Q145" s="20">
        <f>_xlfn.XMATCH(tbl_Clean[[#This Row],[Income Band]],{"$10k-30k","$40k-60k","$70k-90k","$100k+"})</f>
        <v>2</v>
      </c>
      <c r="R145" s="20" t="str">
        <f>IF(tbl_Clean[[#This Row],[Cars]]&lt;=1,"0-1 Cars","2+ Cars")</f>
        <v>0-1 Cars</v>
      </c>
      <c r="S145" s="20">
        <f>_xlfn.XMATCH(tbl_Clean[[#This Row],[Commute Distance]],{"0-1 Miles","1-2 Miles","2-5 Miles","5-10 Miles","10+ Miles"})</f>
        <v>1</v>
      </c>
      <c r="T145" s="20">
        <f>_xlfn.XMATCH(tbl_Clean[[#This Row],[Education]],{"Partial High School","High School","Partial College","Bachelors","Graduate Degree"})</f>
        <v>4</v>
      </c>
      <c r="U145" s="20">
        <f>IF(tbl_Clean[[#This Row],[Purchased Bike]]="Yes",1,0)</f>
        <v>1</v>
      </c>
    </row>
    <row r="146" spans="1:21" x14ac:dyDescent="0.25">
      <c r="A146" s="20">
        <v>23993</v>
      </c>
      <c r="B146" s="3" t="s">
        <v>114</v>
      </c>
      <c r="C146" s="3" t="s">
        <v>112</v>
      </c>
      <c r="D146" s="19">
        <v>10000</v>
      </c>
      <c r="E146" s="20">
        <v>0</v>
      </c>
      <c r="F146" s="3" t="s">
        <v>21</v>
      </c>
      <c r="G146" s="3" t="s">
        <v>28</v>
      </c>
      <c r="H146" s="3" t="s">
        <v>20</v>
      </c>
      <c r="I146" s="20">
        <v>1</v>
      </c>
      <c r="J146" s="3" t="s">
        <v>18</v>
      </c>
      <c r="K146" s="3" t="s">
        <v>27</v>
      </c>
      <c r="L146" s="20">
        <v>26</v>
      </c>
      <c r="M146" s="3" t="s">
        <v>17</v>
      </c>
      <c r="N146" s="20" t="str" cm="1">
        <f t="array" ref="N146">_xlfn.IFS(tbl_Clean[[#This Row],[Age]]&lt;=30,"25-30",tbl_Clean[[#This Row],[Age]]&lt;=40,"31-40",tbl_Clean[[#This Row],[Age]]&lt;=50,"41-50",tbl_Clean[[#This Row],[Age]]&lt;=60,"51-60",TRUE,"61+")</f>
        <v>25-30</v>
      </c>
      <c r="O146" s="20">
        <f>_xlfn.XMATCH(tbl_Clean[[#This Row],[Age Band]],{"25-30","31-40","41-50","51-60","61+"})</f>
        <v>1</v>
      </c>
      <c r="P146" s="20" t="str" cm="1">
        <f t="array" ref="P146">_xlfn.IFS(tbl_Clean[[#This Row],[Income]]&lt;=30000,"$10k-30k",tbl_Clean[[#This Row],[Income]]&lt;=60000,"$40k-60k",tbl_Clean[[#This Row],[Income]]&lt;=90000,"$70k-90k",TRUE,"$100k+")</f>
        <v>$10k-30k</v>
      </c>
      <c r="Q146" s="20">
        <f>_xlfn.XMATCH(tbl_Clean[[#This Row],[Income Band]],{"$10k-30k","$40k-60k","$70k-90k","$100k+"})</f>
        <v>1</v>
      </c>
      <c r="R146" s="20" t="str">
        <f>IF(tbl_Clean[[#This Row],[Cars]]&lt;=1,"0-1 Cars","2+ Cars")</f>
        <v>0-1 Cars</v>
      </c>
      <c r="S146" s="20">
        <f>_xlfn.XMATCH(tbl_Clean[[#This Row],[Commute Distance]],{"0-1 Miles","1-2 Miles","2-5 Miles","5-10 Miles","10+ Miles"})</f>
        <v>1</v>
      </c>
      <c r="T146" s="20">
        <f>_xlfn.XMATCH(tbl_Clean[[#This Row],[Education]],{"Partial High School","High School","Partial College","Bachelors","Graduate Degree"})</f>
        <v>3</v>
      </c>
      <c r="U146" s="20">
        <f>IF(tbl_Clean[[#This Row],[Purchased Bike]]="Yes",1,0)</f>
        <v>1</v>
      </c>
    </row>
    <row r="147" spans="1:21" x14ac:dyDescent="0.25">
      <c r="A147" s="20">
        <v>14832</v>
      </c>
      <c r="B147" s="3" t="s">
        <v>111</v>
      </c>
      <c r="C147" s="3" t="s">
        <v>113</v>
      </c>
      <c r="D147" s="19">
        <v>40000</v>
      </c>
      <c r="E147" s="20">
        <v>1</v>
      </c>
      <c r="F147" s="3" t="s">
        <v>15</v>
      </c>
      <c r="G147" s="3" t="s">
        <v>16</v>
      </c>
      <c r="H147" s="3" t="s">
        <v>17</v>
      </c>
      <c r="I147" s="20">
        <v>0</v>
      </c>
      <c r="J147" s="3" t="s">
        <v>18</v>
      </c>
      <c r="K147" s="3" t="s">
        <v>19</v>
      </c>
      <c r="L147" s="20">
        <v>42</v>
      </c>
      <c r="M147" s="3" t="s">
        <v>17</v>
      </c>
      <c r="N147" s="20" t="str" cm="1">
        <f t="array" ref="N147">_xlfn.IFS(tbl_Clean[[#This Row],[Age]]&lt;=30,"25-30",tbl_Clean[[#This Row],[Age]]&lt;=40,"31-40",tbl_Clean[[#This Row],[Age]]&lt;=50,"41-50",tbl_Clean[[#This Row],[Age]]&lt;=60,"51-60",TRUE,"61+")</f>
        <v>41-50</v>
      </c>
      <c r="O147" s="20">
        <f>_xlfn.XMATCH(tbl_Clean[[#This Row],[Age Band]],{"25-30","31-40","41-50","51-60","61+"})</f>
        <v>3</v>
      </c>
      <c r="P147" s="20" t="str" cm="1">
        <f t="array" ref="P147">_xlfn.IFS(tbl_Clean[[#This Row],[Income]]&lt;=30000,"$10k-30k",tbl_Clean[[#This Row],[Income]]&lt;=60000,"$40k-60k",tbl_Clean[[#This Row],[Income]]&lt;=90000,"$70k-90k",TRUE,"$100k+")</f>
        <v>$40k-60k</v>
      </c>
      <c r="Q147" s="20">
        <f>_xlfn.XMATCH(tbl_Clean[[#This Row],[Income Band]],{"$10k-30k","$40k-60k","$70k-90k","$100k+"})</f>
        <v>2</v>
      </c>
      <c r="R147" s="20" t="str">
        <f>IF(tbl_Clean[[#This Row],[Cars]]&lt;=1,"0-1 Cars","2+ Cars")</f>
        <v>0-1 Cars</v>
      </c>
      <c r="S147" s="20">
        <f>_xlfn.XMATCH(tbl_Clean[[#This Row],[Commute Distance]],{"0-1 Miles","1-2 Miles","2-5 Miles","5-10 Miles","10+ Miles"})</f>
        <v>1</v>
      </c>
      <c r="T147" s="20">
        <f>_xlfn.XMATCH(tbl_Clean[[#This Row],[Education]],{"Partial High School","High School","Partial College","Bachelors","Graduate Degree"})</f>
        <v>4</v>
      </c>
      <c r="U147" s="20">
        <f>IF(tbl_Clean[[#This Row],[Purchased Bike]]="Yes",1,0)</f>
        <v>1</v>
      </c>
    </row>
    <row r="148" spans="1:21" x14ac:dyDescent="0.25">
      <c r="A148" s="20">
        <v>16614</v>
      </c>
      <c r="B148" s="3" t="s">
        <v>111</v>
      </c>
      <c r="C148" s="3" t="s">
        <v>112</v>
      </c>
      <c r="D148" s="19">
        <v>80000</v>
      </c>
      <c r="E148" s="20">
        <v>0</v>
      </c>
      <c r="F148" s="3" t="s">
        <v>15</v>
      </c>
      <c r="G148" s="3" t="s">
        <v>23</v>
      </c>
      <c r="H148" s="3" t="s">
        <v>17</v>
      </c>
      <c r="I148" s="20">
        <v>3</v>
      </c>
      <c r="J148" s="3" t="s">
        <v>33</v>
      </c>
      <c r="K148" s="3" t="s">
        <v>27</v>
      </c>
      <c r="L148" s="20">
        <v>32</v>
      </c>
      <c r="M148" s="3" t="s">
        <v>20</v>
      </c>
      <c r="N148" s="20" t="str" cm="1">
        <f t="array" ref="N148">_xlfn.IFS(tbl_Clean[[#This Row],[Age]]&lt;=30,"25-30",tbl_Clean[[#This Row],[Age]]&lt;=40,"31-40",tbl_Clean[[#This Row],[Age]]&lt;=50,"41-50",tbl_Clean[[#This Row],[Age]]&lt;=60,"51-60",TRUE,"61+")</f>
        <v>31-40</v>
      </c>
      <c r="O148" s="20">
        <f>_xlfn.XMATCH(tbl_Clean[[#This Row],[Age Band]],{"25-30","31-40","41-50","51-60","61+"})</f>
        <v>2</v>
      </c>
      <c r="P148" s="20" t="str" cm="1">
        <f t="array" ref="P148">_xlfn.IFS(tbl_Clean[[#This Row],[Income]]&lt;=30000,"$10k-30k",tbl_Clean[[#This Row],[Income]]&lt;=60000,"$40k-60k",tbl_Clean[[#This Row],[Income]]&lt;=90000,"$70k-90k",TRUE,"$100k+")</f>
        <v>$70k-90k</v>
      </c>
      <c r="Q148" s="20">
        <f>_xlfn.XMATCH(tbl_Clean[[#This Row],[Income Band]],{"$10k-30k","$40k-60k","$70k-90k","$100k+"})</f>
        <v>3</v>
      </c>
      <c r="R148" s="20" t="str">
        <f>IF(tbl_Clean[[#This Row],[Cars]]&lt;=1,"0-1 Cars","2+ Cars")</f>
        <v>2+ Cars</v>
      </c>
      <c r="S148" s="20">
        <f>_xlfn.XMATCH(tbl_Clean[[#This Row],[Commute Distance]],{"0-1 Miles","1-2 Miles","2-5 Miles","5-10 Miles","10+ Miles"})</f>
        <v>5</v>
      </c>
      <c r="T148" s="20">
        <f>_xlfn.XMATCH(tbl_Clean[[#This Row],[Education]],{"Partial High School","High School","Partial College","Bachelors","Graduate Degree"})</f>
        <v>4</v>
      </c>
      <c r="U148" s="20">
        <f>IF(tbl_Clean[[#This Row],[Purchased Bike]]="Yes",1,0)</f>
        <v>0</v>
      </c>
    </row>
    <row r="149" spans="1:21" x14ac:dyDescent="0.25">
      <c r="A149" s="20">
        <v>20877</v>
      </c>
      <c r="B149" s="3" t="s">
        <v>114</v>
      </c>
      <c r="C149" s="3" t="s">
        <v>113</v>
      </c>
      <c r="D149" s="19">
        <v>30000</v>
      </c>
      <c r="E149" s="20">
        <v>1</v>
      </c>
      <c r="F149" s="3" t="s">
        <v>15</v>
      </c>
      <c r="G149" s="3" t="s">
        <v>22</v>
      </c>
      <c r="H149" s="3" t="s">
        <v>17</v>
      </c>
      <c r="I149" s="20">
        <v>0</v>
      </c>
      <c r="J149" s="3" t="s">
        <v>29</v>
      </c>
      <c r="K149" s="3" t="s">
        <v>19</v>
      </c>
      <c r="L149" s="20">
        <v>37</v>
      </c>
      <c r="M149" s="3" t="s">
        <v>17</v>
      </c>
      <c r="N149" s="20" t="str" cm="1">
        <f t="array" ref="N149">_xlfn.IFS(tbl_Clean[[#This Row],[Age]]&lt;=30,"25-30",tbl_Clean[[#This Row],[Age]]&lt;=40,"31-40",tbl_Clean[[#This Row],[Age]]&lt;=50,"41-50",tbl_Clean[[#This Row],[Age]]&lt;=60,"51-60",TRUE,"61+")</f>
        <v>31-40</v>
      </c>
      <c r="O149" s="20">
        <f>_xlfn.XMATCH(tbl_Clean[[#This Row],[Age Band]],{"25-30","31-40","41-50","51-60","61+"})</f>
        <v>2</v>
      </c>
      <c r="P149" s="20" t="str" cm="1">
        <f t="array" ref="P149">_xlfn.IFS(tbl_Clean[[#This Row],[Income]]&lt;=30000,"$10k-30k",tbl_Clean[[#This Row],[Income]]&lt;=60000,"$40k-60k",tbl_Clean[[#This Row],[Income]]&lt;=90000,"$70k-90k",TRUE,"$100k+")</f>
        <v>$10k-30k</v>
      </c>
      <c r="Q149" s="20">
        <f>_xlfn.XMATCH(tbl_Clean[[#This Row],[Income Band]],{"$10k-30k","$40k-60k","$70k-90k","$100k+"})</f>
        <v>1</v>
      </c>
      <c r="R149" s="20" t="str">
        <f>IF(tbl_Clean[[#This Row],[Cars]]&lt;=1,"0-1 Cars","2+ Cars")</f>
        <v>0-1 Cars</v>
      </c>
      <c r="S149" s="20">
        <f>_xlfn.XMATCH(tbl_Clean[[#This Row],[Commute Distance]],{"0-1 Miles","1-2 Miles","2-5 Miles","5-10 Miles","10+ Miles"})</f>
        <v>2</v>
      </c>
      <c r="T149" s="20">
        <f>_xlfn.XMATCH(tbl_Clean[[#This Row],[Education]],{"Partial High School","High School","Partial College","Bachelors","Graduate Degree"})</f>
        <v>4</v>
      </c>
      <c r="U149" s="20">
        <f>IF(tbl_Clean[[#This Row],[Purchased Bike]]="Yes",1,0)</f>
        <v>1</v>
      </c>
    </row>
    <row r="150" spans="1:21" x14ac:dyDescent="0.25">
      <c r="A150" s="20">
        <v>20729</v>
      </c>
      <c r="B150" s="3" t="s">
        <v>111</v>
      </c>
      <c r="C150" s="3" t="s">
        <v>112</v>
      </c>
      <c r="D150" s="19">
        <v>40000</v>
      </c>
      <c r="E150" s="20">
        <v>2</v>
      </c>
      <c r="F150" s="3" t="s">
        <v>21</v>
      </c>
      <c r="G150" s="3" t="s">
        <v>22</v>
      </c>
      <c r="H150" s="3" t="s">
        <v>20</v>
      </c>
      <c r="I150" s="20">
        <v>1</v>
      </c>
      <c r="J150" s="3" t="s">
        <v>18</v>
      </c>
      <c r="K150" s="3" t="s">
        <v>19</v>
      </c>
      <c r="L150" s="20">
        <v>34</v>
      </c>
      <c r="M150" s="3" t="s">
        <v>20</v>
      </c>
      <c r="N150" s="20" t="str" cm="1">
        <f t="array" ref="N150">_xlfn.IFS(tbl_Clean[[#This Row],[Age]]&lt;=30,"25-30",tbl_Clean[[#This Row],[Age]]&lt;=40,"31-40",tbl_Clean[[#This Row],[Age]]&lt;=50,"41-50",tbl_Clean[[#This Row],[Age]]&lt;=60,"51-60",TRUE,"61+")</f>
        <v>31-40</v>
      </c>
      <c r="O150" s="20">
        <f>_xlfn.XMATCH(tbl_Clean[[#This Row],[Age Band]],{"25-30","31-40","41-50","51-60","61+"})</f>
        <v>2</v>
      </c>
      <c r="P150" s="20" t="str" cm="1">
        <f t="array" ref="P150">_xlfn.IFS(tbl_Clean[[#This Row],[Income]]&lt;=30000,"$10k-30k",tbl_Clean[[#This Row],[Income]]&lt;=60000,"$40k-60k",tbl_Clean[[#This Row],[Income]]&lt;=90000,"$70k-90k",TRUE,"$100k+")</f>
        <v>$40k-60k</v>
      </c>
      <c r="Q150" s="20">
        <f>_xlfn.XMATCH(tbl_Clean[[#This Row],[Income Band]],{"$10k-30k","$40k-60k","$70k-90k","$100k+"})</f>
        <v>2</v>
      </c>
      <c r="R150" s="20" t="str">
        <f>IF(tbl_Clean[[#This Row],[Cars]]&lt;=1,"0-1 Cars","2+ Cars")</f>
        <v>0-1 Cars</v>
      </c>
      <c r="S150" s="20">
        <f>_xlfn.XMATCH(tbl_Clean[[#This Row],[Commute Distance]],{"0-1 Miles","1-2 Miles","2-5 Miles","5-10 Miles","10+ Miles"})</f>
        <v>1</v>
      </c>
      <c r="T150" s="20">
        <f>_xlfn.XMATCH(tbl_Clean[[#This Row],[Education]],{"Partial High School","High School","Partial College","Bachelors","Graduate Degree"})</f>
        <v>3</v>
      </c>
      <c r="U150" s="20">
        <f>IF(tbl_Clean[[#This Row],[Purchased Bike]]="Yes",1,0)</f>
        <v>0</v>
      </c>
    </row>
    <row r="151" spans="1:21" x14ac:dyDescent="0.25">
      <c r="A151" s="20">
        <v>22464</v>
      </c>
      <c r="B151" s="3" t="s">
        <v>111</v>
      </c>
      <c r="C151" s="3" t="s">
        <v>113</v>
      </c>
      <c r="D151" s="19">
        <v>40000</v>
      </c>
      <c r="E151" s="20">
        <v>0</v>
      </c>
      <c r="F151" s="3" t="s">
        <v>34</v>
      </c>
      <c r="G151" s="3" t="s">
        <v>22</v>
      </c>
      <c r="H151" s="3" t="s">
        <v>17</v>
      </c>
      <c r="I151" s="20">
        <v>0</v>
      </c>
      <c r="J151" s="3" t="s">
        <v>18</v>
      </c>
      <c r="K151" s="3" t="s">
        <v>19</v>
      </c>
      <c r="L151" s="20">
        <v>37</v>
      </c>
      <c r="M151" s="3" t="s">
        <v>17</v>
      </c>
      <c r="N151" s="20" t="str" cm="1">
        <f t="array" ref="N151">_xlfn.IFS(tbl_Clean[[#This Row],[Age]]&lt;=30,"25-30",tbl_Clean[[#This Row],[Age]]&lt;=40,"31-40",tbl_Clean[[#This Row],[Age]]&lt;=50,"41-50",tbl_Clean[[#This Row],[Age]]&lt;=60,"51-60",TRUE,"61+")</f>
        <v>31-40</v>
      </c>
      <c r="O151" s="20">
        <f>_xlfn.XMATCH(tbl_Clean[[#This Row],[Age Band]],{"25-30","31-40","41-50","51-60","61+"})</f>
        <v>2</v>
      </c>
      <c r="P151" s="20" t="str" cm="1">
        <f t="array" ref="P151">_xlfn.IFS(tbl_Clean[[#This Row],[Income]]&lt;=30000,"$10k-30k",tbl_Clean[[#This Row],[Income]]&lt;=60000,"$40k-60k",tbl_Clean[[#This Row],[Income]]&lt;=90000,"$70k-90k",TRUE,"$100k+")</f>
        <v>$40k-60k</v>
      </c>
      <c r="Q151" s="20">
        <f>_xlfn.XMATCH(tbl_Clean[[#This Row],[Income Band]],{"$10k-30k","$40k-60k","$70k-90k","$100k+"})</f>
        <v>2</v>
      </c>
      <c r="R151" s="20" t="str">
        <f>IF(tbl_Clean[[#This Row],[Cars]]&lt;=1,"0-1 Cars","2+ Cars")</f>
        <v>0-1 Cars</v>
      </c>
      <c r="S151" s="20">
        <f>_xlfn.XMATCH(tbl_Clean[[#This Row],[Commute Distance]],{"0-1 Miles","1-2 Miles","2-5 Miles","5-10 Miles","10+ Miles"})</f>
        <v>1</v>
      </c>
      <c r="T151" s="20">
        <f>_xlfn.XMATCH(tbl_Clean[[#This Row],[Education]],{"Partial High School","High School","Partial College","Bachelors","Graduate Degree"})</f>
        <v>5</v>
      </c>
      <c r="U151" s="20">
        <f>IF(tbl_Clean[[#This Row],[Purchased Bike]]="Yes",1,0)</f>
        <v>1</v>
      </c>
    </row>
    <row r="152" spans="1:21" x14ac:dyDescent="0.25">
      <c r="A152" s="20">
        <v>19475</v>
      </c>
      <c r="B152" s="3" t="s">
        <v>111</v>
      </c>
      <c r="C152" s="3" t="s">
        <v>112</v>
      </c>
      <c r="D152" s="19">
        <v>40000</v>
      </c>
      <c r="E152" s="20">
        <v>0</v>
      </c>
      <c r="F152" s="3" t="s">
        <v>15</v>
      </c>
      <c r="G152" s="3" t="s">
        <v>23</v>
      </c>
      <c r="H152" s="3" t="s">
        <v>20</v>
      </c>
      <c r="I152" s="20">
        <v>0</v>
      </c>
      <c r="J152" s="3" t="s">
        <v>18</v>
      </c>
      <c r="K152" s="3" t="s">
        <v>19</v>
      </c>
      <c r="L152" s="20">
        <v>40</v>
      </c>
      <c r="M152" s="3" t="s">
        <v>17</v>
      </c>
      <c r="N152" s="20" t="str" cm="1">
        <f t="array" ref="N152">_xlfn.IFS(tbl_Clean[[#This Row],[Age]]&lt;=30,"25-30",tbl_Clean[[#This Row],[Age]]&lt;=40,"31-40",tbl_Clean[[#This Row],[Age]]&lt;=50,"41-50",tbl_Clean[[#This Row],[Age]]&lt;=60,"51-60",TRUE,"61+")</f>
        <v>31-40</v>
      </c>
      <c r="O152" s="20">
        <f>_xlfn.XMATCH(tbl_Clean[[#This Row],[Age Band]],{"25-30","31-40","41-50","51-60","61+"})</f>
        <v>2</v>
      </c>
      <c r="P152" s="20" t="str" cm="1">
        <f t="array" ref="P152">_xlfn.IFS(tbl_Clean[[#This Row],[Income]]&lt;=30000,"$10k-30k",tbl_Clean[[#This Row],[Income]]&lt;=60000,"$40k-60k",tbl_Clean[[#This Row],[Income]]&lt;=90000,"$70k-90k",TRUE,"$100k+")</f>
        <v>$40k-60k</v>
      </c>
      <c r="Q152" s="20">
        <f>_xlfn.XMATCH(tbl_Clean[[#This Row],[Income Band]],{"$10k-30k","$40k-60k","$70k-90k","$100k+"})</f>
        <v>2</v>
      </c>
      <c r="R152" s="20" t="str">
        <f>IF(tbl_Clean[[#This Row],[Cars]]&lt;=1,"0-1 Cars","2+ Cars")</f>
        <v>0-1 Cars</v>
      </c>
      <c r="S152" s="20">
        <f>_xlfn.XMATCH(tbl_Clean[[#This Row],[Commute Distance]],{"0-1 Miles","1-2 Miles","2-5 Miles","5-10 Miles","10+ Miles"})</f>
        <v>1</v>
      </c>
      <c r="T152" s="20">
        <f>_xlfn.XMATCH(tbl_Clean[[#This Row],[Education]],{"Partial High School","High School","Partial College","Bachelors","Graduate Degree"})</f>
        <v>4</v>
      </c>
      <c r="U152" s="20">
        <f>IF(tbl_Clean[[#This Row],[Purchased Bike]]="Yes",1,0)</f>
        <v>1</v>
      </c>
    </row>
    <row r="153" spans="1:21" x14ac:dyDescent="0.25">
      <c r="A153" s="20">
        <v>19675</v>
      </c>
      <c r="B153" s="3" t="s">
        <v>111</v>
      </c>
      <c r="C153" s="3" t="s">
        <v>113</v>
      </c>
      <c r="D153" s="19">
        <v>20000</v>
      </c>
      <c r="E153" s="20">
        <v>4</v>
      </c>
      <c r="F153" s="3" t="s">
        <v>30</v>
      </c>
      <c r="G153" s="3" t="s">
        <v>16</v>
      </c>
      <c r="H153" s="3" t="s">
        <v>17</v>
      </c>
      <c r="I153" s="20">
        <v>2</v>
      </c>
      <c r="J153" s="3" t="s">
        <v>26</v>
      </c>
      <c r="K153" s="3" t="s">
        <v>27</v>
      </c>
      <c r="L153" s="20">
        <v>60</v>
      </c>
      <c r="M153" s="3" t="s">
        <v>20</v>
      </c>
      <c r="N153" s="20" t="str" cm="1">
        <f t="array" ref="N153">_xlfn.IFS(tbl_Clean[[#This Row],[Age]]&lt;=30,"25-30",tbl_Clean[[#This Row],[Age]]&lt;=40,"31-40",tbl_Clean[[#This Row],[Age]]&lt;=50,"41-50",tbl_Clean[[#This Row],[Age]]&lt;=60,"51-60",TRUE,"61+")</f>
        <v>51-60</v>
      </c>
      <c r="O153" s="20">
        <f>_xlfn.XMATCH(tbl_Clean[[#This Row],[Age Band]],{"25-30","31-40","41-50","51-60","61+"})</f>
        <v>4</v>
      </c>
      <c r="P153" s="20" t="str" cm="1">
        <f t="array" ref="P153">_xlfn.IFS(tbl_Clean[[#This Row],[Income]]&lt;=30000,"$10k-30k",tbl_Clean[[#This Row],[Income]]&lt;=60000,"$40k-60k",tbl_Clean[[#This Row],[Income]]&lt;=90000,"$70k-90k",TRUE,"$100k+")</f>
        <v>$10k-30k</v>
      </c>
      <c r="Q153" s="20">
        <f>_xlfn.XMATCH(tbl_Clean[[#This Row],[Income Band]],{"$10k-30k","$40k-60k","$70k-90k","$100k+"})</f>
        <v>1</v>
      </c>
      <c r="R153" s="20" t="str">
        <f>IF(tbl_Clean[[#This Row],[Cars]]&lt;=1,"0-1 Cars","2+ Cars")</f>
        <v>2+ Cars</v>
      </c>
      <c r="S153" s="20">
        <f>_xlfn.XMATCH(tbl_Clean[[#This Row],[Commute Distance]],{"0-1 Miles","1-2 Miles","2-5 Miles","5-10 Miles","10+ Miles"})</f>
        <v>4</v>
      </c>
      <c r="T153" s="20">
        <f>_xlfn.XMATCH(tbl_Clean[[#This Row],[Education]],{"Partial High School","High School","Partial College","Bachelors","Graduate Degree"})</f>
        <v>2</v>
      </c>
      <c r="U153" s="20">
        <f>IF(tbl_Clean[[#This Row],[Purchased Bike]]="Yes",1,0)</f>
        <v>0</v>
      </c>
    </row>
    <row r="154" spans="1:21" x14ac:dyDescent="0.25">
      <c r="A154" s="20">
        <v>12728</v>
      </c>
      <c r="B154" s="3" t="s">
        <v>114</v>
      </c>
      <c r="C154" s="3" t="s">
        <v>113</v>
      </c>
      <c r="D154" s="19">
        <v>30000</v>
      </c>
      <c r="E154" s="20">
        <v>0</v>
      </c>
      <c r="F154" s="3" t="s">
        <v>21</v>
      </c>
      <c r="G154" s="3" t="s">
        <v>22</v>
      </c>
      <c r="H154" s="3" t="s">
        <v>20</v>
      </c>
      <c r="I154" s="20">
        <v>1</v>
      </c>
      <c r="J154" s="3" t="s">
        <v>29</v>
      </c>
      <c r="K154" s="3" t="s">
        <v>19</v>
      </c>
      <c r="L154" s="20">
        <v>27</v>
      </c>
      <c r="M154" s="3" t="s">
        <v>20</v>
      </c>
      <c r="N154" s="20" t="str" cm="1">
        <f t="array" ref="N154">_xlfn.IFS(tbl_Clean[[#This Row],[Age]]&lt;=30,"25-30",tbl_Clean[[#This Row],[Age]]&lt;=40,"31-40",tbl_Clean[[#This Row],[Age]]&lt;=50,"41-50",tbl_Clean[[#This Row],[Age]]&lt;=60,"51-60",TRUE,"61+")</f>
        <v>25-30</v>
      </c>
      <c r="O154" s="20">
        <f>_xlfn.XMATCH(tbl_Clean[[#This Row],[Age Band]],{"25-30","31-40","41-50","51-60","61+"})</f>
        <v>1</v>
      </c>
      <c r="P154" s="20" t="str" cm="1">
        <f t="array" ref="P154">_xlfn.IFS(tbl_Clean[[#This Row],[Income]]&lt;=30000,"$10k-30k",tbl_Clean[[#This Row],[Income]]&lt;=60000,"$40k-60k",tbl_Clean[[#This Row],[Income]]&lt;=90000,"$70k-90k",TRUE,"$100k+")</f>
        <v>$10k-30k</v>
      </c>
      <c r="Q154" s="20">
        <f>_xlfn.XMATCH(tbl_Clean[[#This Row],[Income Band]],{"$10k-30k","$40k-60k","$70k-90k","$100k+"})</f>
        <v>1</v>
      </c>
      <c r="R154" s="20" t="str">
        <f>IF(tbl_Clean[[#This Row],[Cars]]&lt;=1,"0-1 Cars","2+ Cars")</f>
        <v>0-1 Cars</v>
      </c>
      <c r="S154" s="20">
        <f>_xlfn.XMATCH(tbl_Clean[[#This Row],[Commute Distance]],{"0-1 Miles","1-2 Miles","2-5 Miles","5-10 Miles","10+ Miles"})</f>
        <v>2</v>
      </c>
      <c r="T154" s="20">
        <f>_xlfn.XMATCH(tbl_Clean[[#This Row],[Education]],{"Partial High School","High School","Partial College","Bachelors","Graduate Degree"})</f>
        <v>3</v>
      </c>
      <c r="U154" s="20">
        <f>IF(tbl_Clean[[#This Row],[Purchased Bike]]="Yes",1,0)</f>
        <v>0</v>
      </c>
    </row>
    <row r="155" spans="1:21" x14ac:dyDescent="0.25">
      <c r="A155" s="20">
        <v>26154</v>
      </c>
      <c r="B155" s="3" t="s">
        <v>111</v>
      </c>
      <c r="C155" s="3" t="s">
        <v>113</v>
      </c>
      <c r="D155" s="19">
        <v>60000</v>
      </c>
      <c r="E155" s="20">
        <v>1</v>
      </c>
      <c r="F155" s="3" t="s">
        <v>21</v>
      </c>
      <c r="G155" s="3" t="s">
        <v>16</v>
      </c>
      <c r="H155" s="3" t="s">
        <v>17</v>
      </c>
      <c r="I155" s="20">
        <v>1</v>
      </c>
      <c r="J155" s="3" t="s">
        <v>26</v>
      </c>
      <c r="K155" s="3" t="s">
        <v>27</v>
      </c>
      <c r="L155" s="20">
        <v>43</v>
      </c>
      <c r="M155" s="3" t="s">
        <v>17</v>
      </c>
      <c r="N155" s="20" t="str" cm="1">
        <f t="array" ref="N155">_xlfn.IFS(tbl_Clean[[#This Row],[Age]]&lt;=30,"25-30",tbl_Clean[[#This Row],[Age]]&lt;=40,"31-40",tbl_Clean[[#This Row],[Age]]&lt;=50,"41-50",tbl_Clean[[#This Row],[Age]]&lt;=60,"51-60",TRUE,"61+")</f>
        <v>41-50</v>
      </c>
      <c r="O155" s="20">
        <f>_xlfn.XMATCH(tbl_Clean[[#This Row],[Age Band]],{"25-30","31-40","41-50","51-60","61+"})</f>
        <v>3</v>
      </c>
      <c r="P155" s="20" t="str" cm="1">
        <f t="array" ref="P155">_xlfn.IFS(tbl_Clean[[#This Row],[Income]]&lt;=30000,"$10k-30k",tbl_Clean[[#This Row],[Income]]&lt;=60000,"$40k-60k",tbl_Clean[[#This Row],[Income]]&lt;=90000,"$70k-90k",TRUE,"$100k+")</f>
        <v>$40k-60k</v>
      </c>
      <c r="Q155" s="20">
        <f>_xlfn.XMATCH(tbl_Clean[[#This Row],[Income Band]],{"$10k-30k","$40k-60k","$70k-90k","$100k+"})</f>
        <v>2</v>
      </c>
      <c r="R155" s="20" t="str">
        <f>IF(tbl_Clean[[#This Row],[Cars]]&lt;=1,"0-1 Cars","2+ Cars")</f>
        <v>0-1 Cars</v>
      </c>
      <c r="S155" s="20">
        <f>_xlfn.XMATCH(tbl_Clean[[#This Row],[Commute Distance]],{"0-1 Miles","1-2 Miles","2-5 Miles","5-10 Miles","10+ Miles"})</f>
        <v>4</v>
      </c>
      <c r="T155" s="20">
        <f>_xlfn.XMATCH(tbl_Clean[[#This Row],[Education]],{"Partial High School","High School","Partial College","Bachelors","Graduate Degree"})</f>
        <v>3</v>
      </c>
      <c r="U155" s="20">
        <f>IF(tbl_Clean[[#This Row],[Purchased Bike]]="Yes",1,0)</f>
        <v>1</v>
      </c>
    </row>
    <row r="156" spans="1:21" x14ac:dyDescent="0.25">
      <c r="A156" s="20">
        <v>29117</v>
      </c>
      <c r="B156" s="3" t="s">
        <v>114</v>
      </c>
      <c r="C156" s="3" t="s">
        <v>113</v>
      </c>
      <c r="D156" s="19">
        <v>100000</v>
      </c>
      <c r="E156" s="20">
        <v>1</v>
      </c>
      <c r="F156" s="3" t="s">
        <v>15</v>
      </c>
      <c r="G156" s="3" t="s">
        <v>31</v>
      </c>
      <c r="H156" s="3" t="s">
        <v>20</v>
      </c>
      <c r="I156" s="20">
        <v>3</v>
      </c>
      <c r="J156" s="3" t="s">
        <v>18</v>
      </c>
      <c r="K156" s="3" t="s">
        <v>27</v>
      </c>
      <c r="L156" s="20">
        <v>48</v>
      </c>
      <c r="M156" s="3" t="s">
        <v>20</v>
      </c>
      <c r="N156" s="20" t="str" cm="1">
        <f t="array" ref="N156">_xlfn.IFS(tbl_Clean[[#This Row],[Age]]&lt;=30,"25-30",tbl_Clean[[#This Row],[Age]]&lt;=40,"31-40",tbl_Clean[[#This Row],[Age]]&lt;=50,"41-50",tbl_Clean[[#This Row],[Age]]&lt;=60,"51-60",TRUE,"61+")</f>
        <v>41-50</v>
      </c>
      <c r="O156" s="20">
        <f>_xlfn.XMATCH(tbl_Clean[[#This Row],[Age Band]],{"25-30","31-40","41-50","51-60","61+"})</f>
        <v>3</v>
      </c>
      <c r="P156" s="20" t="str" cm="1">
        <f t="array" ref="P156">_xlfn.IFS(tbl_Clean[[#This Row],[Income]]&lt;=30000,"$10k-30k",tbl_Clean[[#This Row],[Income]]&lt;=60000,"$40k-60k",tbl_Clean[[#This Row],[Income]]&lt;=90000,"$70k-90k",TRUE,"$100k+")</f>
        <v>$100k+</v>
      </c>
      <c r="Q156" s="20">
        <f>_xlfn.XMATCH(tbl_Clean[[#This Row],[Income Band]],{"$10k-30k","$40k-60k","$70k-90k","$100k+"})</f>
        <v>4</v>
      </c>
      <c r="R156" s="20" t="str">
        <f>IF(tbl_Clean[[#This Row],[Cars]]&lt;=1,"0-1 Cars","2+ Cars")</f>
        <v>2+ Cars</v>
      </c>
      <c r="S156" s="20">
        <f>_xlfn.XMATCH(tbl_Clean[[#This Row],[Commute Distance]],{"0-1 Miles","1-2 Miles","2-5 Miles","5-10 Miles","10+ Miles"})</f>
        <v>1</v>
      </c>
      <c r="T156" s="20">
        <f>_xlfn.XMATCH(tbl_Clean[[#This Row],[Education]],{"Partial High School","High School","Partial College","Bachelors","Graduate Degree"})</f>
        <v>4</v>
      </c>
      <c r="U156" s="20">
        <f>IF(tbl_Clean[[#This Row],[Purchased Bike]]="Yes",1,0)</f>
        <v>0</v>
      </c>
    </row>
    <row r="157" spans="1:21" x14ac:dyDescent="0.25">
      <c r="A157" s="20">
        <v>17845</v>
      </c>
      <c r="B157" s="3" t="s">
        <v>114</v>
      </c>
      <c r="C157" s="3" t="s">
        <v>112</v>
      </c>
      <c r="D157" s="19">
        <v>20000</v>
      </c>
      <c r="E157" s="20">
        <v>0</v>
      </c>
      <c r="F157" s="3" t="s">
        <v>32</v>
      </c>
      <c r="G157" s="3" t="s">
        <v>28</v>
      </c>
      <c r="H157" s="3" t="s">
        <v>20</v>
      </c>
      <c r="I157" s="20">
        <v>2</v>
      </c>
      <c r="J157" s="3" t="s">
        <v>29</v>
      </c>
      <c r="K157" s="3" t="s">
        <v>19</v>
      </c>
      <c r="L157" s="20">
        <v>32</v>
      </c>
      <c r="M157" s="3" t="s">
        <v>20</v>
      </c>
      <c r="N157" s="20" t="str" cm="1">
        <f t="array" ref="N157">_xlfn.IFS(tbl_Clean[[#This Row],[Age]]&lt;=30,"25-30",tbl_Clean[[#This Row],[Age]]&lt;=40,"31-40",tbl_Clean[[#This Row],[Age]]&lt;=50,"41-50",tbl_Clean[[#This Row],[Age]]&lt;=60,"51-60",TRUE,"61+")</f>
        <v>31-40</v>
      </c>
      <c r="O157" s="20">
        <f>_xlfn.XMATCH(tbl_Clean[[#This Row],[Age Band]],{"25-30","31-40","41-50","51-60","61+"})</f>
        <v>2</v>
      </c>
      <c r="P157" s="20" t="str" cm="1">
        <f t="array" ref="P157">_xlfn.IFS(tbl_Clean[[#This Row],[Income]]&lt;=30000,"$10k-30k",tbl_Clean[[#This Row],[Income]]&lt;=60000,"$40k-60k",tbl_Clean[[#This Row],[Income]]&lt;=90000,"$70k-90k",TRUE,"$100k+")</f>
        <v>$10k-30k</v>
      </c>
      <c r="Q157" s="20">
        <f>_xlfn.XMATCH(tbl_Clean[[#This Row],[Income Band]],{"$10k-30k","$40k-60k","$70k-90k","$100k+"})</f>
        <v>1</v>
      </c>
      <c r="R157" s="20" t="str">
        <f>IF(tbl_Clean[[#This Row],[Cars]]&lt;=1,"0-1 Cars","2+ Cars")</f>
        <v>2+ Cars</v>
      </c>
      <c r="S157" s="20">
        <f>_xlfn.XMATCH(tbl_Clean[[#This Row],[Commute Distance]],{"0-1 Miles","1-2 Miles","2-5 Miles","5-10 Miles","10+ Miles"})</f>
        <v>2</v>
      </c>
      <c r="T157" s="20">
        <f>_xlfn.XMATCH(tbl_Clean[[#This Row],[Education]],{"Partial High School","High School","Partial College","Bachelors","Graduate Degree"})</f>
        <v>1</v>
      </c>
      <c r="U157" s="20">
        <f>IF(tbl_Clean[[#This Row],[Purchased Bike]]="Yes",1,0)</f>
        <v>0</v>
      </c>
    </row>
    <row r="158" spans="1:21" x14ac:dyDescent="0.25">
      <c r="A158" s="20">
        <v>25058</v>
      </c>
      <c r="B158" s="3" t="s">
        <v>111</v>
      </c>
      <c r="C158" s="3" t="s">
        <v>113</v>
      </c>
      <c r="D158" s="19">
        <v>100000</v>
      </c>
      <c r="E158" s="20">
        <v>1</v>
      </c>
      <c r="F158" s="3" t="s">
        <v>15</v>
      </c>
      <c r="G158" s="3" t="s">
        <v>31</v>
      </c>
      <c r="H158" s="3" t="s">
        <v>17</v>
      </c>
      <c r="I158" s="20">
        <v>3</v>
      </c>
      <c r="J158" s="3" t="s">
        <v>24</v>
      </c>
      <c r="K158" s="3" t="s">
        <v>27</v>
      </c>
      <c r="L158" s="20">
        <v>47</v>
      </c>
      <c r="M158" s="3" t="s">
        <v>20</v>
      </c>
      <c r="N158" s="20" t="str" cm="1">
        <f t="array" ref="N158">_xlfn.IFS(tbl_Clean[[#This Row],[Age]]&lt;=30,"25-30",tbl_Clean[[#This Row],[Age]]&lt;=40,"31-40",tbl_Clean[[#This Row],[Age]]&lt;=50,"41-50",tbl_Clean[[#This Row],[Age]]&lt;=60,"51-60",TRUE,"61+")</f>
        <v>41-50</v>
      </c>
      <c r="O158" s="20">
        <f>_xlfn.XMATCH(tbl_Clean[[#This Row],[Age Band]],{"25-30","31-40","41-50","51-60","61+"})</f>
        <v>3</v>
      </c>
      <c r="P158" s="20" t="str" cm="1">
        <f t="array" ref="P158">_xlfn.IFS(tbl_Clean[[#This Row],[Income]]&lt;=30000,"$10k-30k",tbl_Clean[[#This Row],[Income]]&lt;=60000,"$40k-60k",tbl_Clean[[#This Row],[Income]]&lt;=90000,"$70k-90k",TRUE,"$100k+")</f>
        <v>$100k+</v>
      </c>
      <c r="Q158" s="20">
        <f>_xlfn.XMATCH(tbl_Clean[[#This Row],[Income Band]],{"$10k-30k","$40k-60k","$70k-90k","$100k+"})</f>
        <v>4</v>
      </c>
      <c r="R158" s="20" t="str">
        <f>IF(tbl_Clean[[#This Row],[Cars]]&lt;=1,"0-1 Cars","2+ Cars")</f>
        <v>2+ Cars</v>
      </c>
      <c r="S158" s="20">
        <f>_xlfn.XMATCH(tbl_Clean[[#This Row],[Commute Distance]],{"0-1 Miles","1-2 Miles","2-5 Miles","5-10 Miles","10+ Miles"})</f>
        <v>3</v>
      </c>
      <c r="T158" s="20">
        <f>_xlfn.XMATCH(tbl_Clean[[#This Row],[Education]],{"Partial High School","High School","Partial College","Bachelors","Graduate Degree"})</f>
        <v>4</v>
      </c>
      <c r="U158" s="20">
        <f>IF(tbl_Clean[[#This Row],[Purchased Bike]]="Yes",1,0)</f>
        <v>0</v>
      </c>
    </row>
    <row r="159" spans="1:21" x14ac:dyDescent="0.25">
      <c r="A159" s="20">
        <v>23426</v>
      </c>
      <c r="B159" s="3" t="s">
        <v>114</v>
      </c>
      <c r="C159" s="3" t="s">
        <v>113</v>
      </c>
      <c r="D159" s="19">
        <v>80000</v>
      </c>
      <c r="E159" s="20">
        <v>5</v>
      </c>
      <c r="F159" s="3" t="s">
        <v>34</v>
      </c>
      <c r="G159" s="3" t="s">
        <v>31</v>
      </c>
      <c r="H159" s="3" t="s">
        <v>17</v>
      </c>
      <c r="I159" s="20">
        <v>3</v>
      </c>
      <c r="J159" s="3" t="s">
        <v>18</v>
      </c>
      <c r="K159" s="3" t="s">
        <v>27</v>
      </c>
      <c r="L159" s="20">
        <v>40</v>
      </c>
      <c r="M159" s="3" t="s">
        <v>20</v>
      </c>
      <c r="N159" s="20" t="str" cm="1">
        <f t="array" ref="N159">_xlfn.IFS(tbl_Clean[[#This Row],[Age]]&lt;=30,"25-30",tbl_Clean[[#This Row],[Age]]&lt;=40,"31-40",tbl_Clean[[#This Row],[Age]]&lt;=50,"41-50",tbl_Clean[[#This Row],[Age]]&lt;=60,"51-60",TRUE,"61+")</f>
        <v>31-40</v>
      </c>
      <c r="O159" s="20">
        <f>_xlfn.XMATCH(tbl_Clean[[#This Row],[Age Band]],{"25-30","31-40","41-50","51-60","61+"})</f>
        <v>2</v>
      </c>
      <c r="P159" s="20" t="str" cm="1">
        <f t="array" ref="P159">_xlfn.IFS(tbl_Clean[[#This Row],[Income]]&lt;=30000,"$10k-30k",tbl_Clean[[#This Row],[Income]]&lt;=60000,"$40k-60k",tbl_Clean[[#This Row],[Income]]&lt;=90000,"$70k-90k",TRUE,"$100k+")</f>
        <v>$70k-90k</v>
      </c>
      <c r="Q159" s="20">
        <f>_xlfn.XMATCH(tbl_Clean[[#This Row],[Income Band]],{"$10k-30k","$40k-60k","$70k-90k","$100k+"})</f>
        <v>3</v>
      </c>
      <c r="R159" s="20" t="str">
        <f>IF(tbl_Clean[[#This Row],[Cars]]&lt;=1,"0-1 Cars","2+ Cars")</f>
        <v>2+ Cars</v>
      </c>
      <c r="S159" s="20">
        <f>_xlfn.XMATCH(tbl_Clean[[#This Row],[Commute Distance]],{"0-1 Miles","1-2 Miles","2-5 Miles","5-10 Miles","10+ Miles"})</f>
        <v>1</v>
      </c>
      <c r="T159" s="20">
        <f>_xlfn.XMATCH(tbl_Clean[[#This Row],[Education]],{"Partial High School","High School","Partial College","Bachelors","Graduate Degree"})</f>
        <v>5</v>
      </c>
      <c r="U159" s="20">
        <f>IF(tbl_Clean[[#This Row],[Purchased Bike]]="Yes",1,0)</f>
        <v>0</v>
      </c>
    </row>
    <row r="160" spans="1:21" x14ac:dyDescent="0.25">
      <c r="A160" s="20">
        <v>14798</v>
      </c>
      <c r="B160" s="3" t="s">
        <v>114</v>
      </c>
      <c r="C160" s="3" t="s">
        <v>112</v>
      </c>
      <c r="D160" s="19">
        <v>10000</v>
      </c>
      <c r="E160" s="20">
        <v>4</v>
      </c>
      <c r="F160" s="3" t="s">
        <v>32</v>
      </c>
      <c r="G160" s="3" t="s">
        <v>28</v>
      </c>
      <c r="H160" s="3" t="s">
        <v>17</v>
      </c>
      <c r="I160" s="20">
        <v>2</v>
      </c>
      <c r="J160" s="3" t="s">
        <v>18</v>
      </c>
      <c r="K160" s="3" t="s">
        <v>19</v>
      </c>
      <c r="L160" s="20">
        <v>41</v>
      </c>
      <c r="M160" s="3" t="s">
        <v>17</v>
      </c>
      <c r="N160" s="20" t="str" cm="1">
        <f t="array" ref="N160">_xlfn.IFS(tbl_Clean[[#This Row],[Age]]&lt;=30,"25-30",tbl_Clean[[#This Row],[Age]]&lt;=40,"31-40",tbl_Clean[[#This Row],[Age]]&lt;=50,"41-50",tbl_Clean[[#This Row],[Age]]&lt;=60,"51-60",TRUE,"61+")</f>
        <v>41-50</v>
      </c>
      <c r="O160" s="20">
        <f>_xlfn.XMATCH(tbl_Clean[[#This Row],[Age Band]],{"25-30","31-40","41-50","51-60","61+"})</f>
        <v>3</v>
      </c>
      <c r="P160" s="20" t="str" cm="1">
        <f t="array" ref="P160">_xlfn.IFS(tbl_Clean[[#This Row],[Income]]&lt;=30000,"$10k-30k",tbl_Clean[[#This Row],[Income]]&lt;=60000,"$40k-60k",tbl_Clean[[#This Row],[Income]]&lt;=90000,"$70k-90k",TRUE,"$100k+")</f>
        <v>$10k-30k</v>
      </c>
      <c r="Q160" s="20">
        <f>_xlfn.XMATCH(tbl_Clean[[#This Row],[Income Band]],{"$10k-30k","$40k-60k","$70k-90k","$100k+"})</f>
        <v>1</v>
      </c>
      <c r="R160" s="20" t="str">
        <f>IF(tbl_Clean[[#This Row],[Cars]]&lt;=1,"0-1 Cars","2+ Cars")</f>
        <v>2+ Cars</v>
      </c>
      <c r="S160" s="20">
        <f>_xlfn.XMATCH(tbl_Clean[[#This Row],[Commute Distance]],{"0-1 Miles","1-2 Miles","2-5 Miles","5-10 Miles","10+ Miles"})</f>
        <v>1</v>
      </c>
      <c r="T160" s="20">
        <f>_xlfn.XMATCH(tbl_Clean[[#This Row],[Education]],{"Partial High School","High School","Partial College","Bachelors","Graduate Degree"})</f>
        <v>1</v>
      </c>
      <c r="U160" s="20">
        <f>IF(tbl_Clean[[#This Row],[Purchased Bike]]="Yes",1,0)</f>
        <v>1</v>
      </c>
    </row>
    <row r="161" spans="1:21" x14ac:dyDescent="0.25">
      <c r="A161" s="20">
        <v>12664</v>
      </c>
      <c r="B161" s="3" t="s">
        <v>111</v>
      </c>
      <c r="C161" s="3" t="s">
        <v>112</v>
      </c>
      <c r="D161" s="19">
        <v>130000</v>
      </c>
      <c r="E161" s="20">
        <v>5</v>
      </c>
      <c r="F161" s="3" t="s">
        <v>21</v>
      </c>
      <c r="G161" s="3" t="s">
        <v>23</v>
      </c>
      <c r="H161" s="3" t="s">
        <v>17</v>
      </c>
      <c r="I161" s="20">
        <v>4</v>
      </c>
      <c r="J161" s="3" t="s">
        <v>18</v>
      </c>
      <c r="K161" s="3" t="s">
        <v>19</v>
      </c>
      <c r="L161" s="20">
        <v>59</v>
      </c>
      <c r="M161" s="3" t="s">
        <v>20</v>
      </c>
      <c r="N161" s="20" t="str" cm="1">
        <f t="array" ref="N161">_xlfn.IFS(tbl_Clean[[#This Row],[Age]]&lt;=30,"25-30",tbl_Clean[[#This Row],[Age]]&lt;=40,"31-40",tbl_Clean[[#This Row],[Age]]&lt;=50,"41-50",tbl_Clean[[#This Row],[Age]]&lt;=60,"51-60",TRUE,"61+")</f>
        <v>51-60</v>
      </c>
      <c r="O161" s="20">
        <f>_xlfn.XMATCH(tbl_Clean[[#This Row],[Age Band]],{"25-30","31-40","41-50","51-60","61+"})</f>
        <v>4</v>
      </c>
      <c r="P161" s="20" t="str" cm="1">
        <f t="array" ref="P161">_xlfn.IFS(tbl_Clean[[#This Row],[Income]]&lt;=30000,"$10k-30k",tbl_Clean[[#This Row],[Income]]&lt;=60000,"$40k-60k",tbl_Clean[[#This Row],[Income]]&lt;=90000,"$70k-90k",TRUE,"$100k+")</f>
        <v>$100k+</v>
      </c>
      <c r="Q161" s="20">
        <f>_xlfn.XMATCH(tbl_Clean[[#This Row],[Income Band]],{"$10k-30k","$40k-60k","$70k-90k","$100k+"})</f>
        <v>4</v>
      </c>
      <c r="R161" s="20" t="str">
        <f>IF(tbl_Clean[[#This Row],[Cars]]&lt;=1,"0-1 Cars","2+ Cars")</f>
        <v>2+ Cars</v>
      </c>
      <c r="S161" s="20">
        <f>_xlfn.XMATCH(tbl_Clean[[#This Row],[Commute Distance]],{"0-1 Miles","1-2 Miles","2-5 Miles","5-10 Miles","10+ Miles"})</f>
        <v>1</v>
      </c>
      <c r="T161" s="20">
        <f>_xlfn.XMATCH(tbl_Clean[[#This Row],[Education]],{"Partial High School","High School","Partial College","Bachelors","Graduate Degree"})</f>
        <v>3</v>
      </c>
      <c r="U161" s="20">
        <f>IF(tbl_Clean[[#This Row],[Purchased Bike]]="Yes",1,0)</f>
        <v>0</v>
      </c>
    </row>
    <row r="162" spans="1:21" x14ac:dyDescent="0.25">
      <c r="A162" s="20">
        <v>23979</v>
      </c>
      <c r="B162" s="3" t="s">
        <v>114</v>
      </c>
      <c r="C162" s="3" t="s">
        <v>113</v>
      </c>
      <c r="D162" s="19">
        <v>10000</v>
      </c>
      <c r="E162" s="20">
        <v>2</v>
      </c>
      <c r="F162" s="3" t="s">
        <v>21</v>
      </c>
      <c r="G162" s="3" t="s">
        <v>28</v>
      </c>
      <c r="H162" s="3" t="s">
        <v>20</v>
      </c>
      <c r="I162" s="20">
        <v>0</v>
      </c>
      <c r="J162" s="3" t="s">
        <v>18</v>
      </c>
      <c r="K162" s="3" t="s">
        <v>19</v>
      </c>
      <c r="L162" s="20">
        <v>50</v>
      </c>
      <c r="M162" s="3" t="s">
        <v>20</v>
      </c>
      <c r="N162" s="20" t="str" cm="1">
        <f t="array" ref="N162">_xlfn.IFS(tbl_Clean[[#This Row],[Age]]&lt;=30,"25-30",tbl_Clean[[#This Row],[Age]]&lt;=40,"31-40",tbl_Clean[[#This Row],[Age]]&lt;=50,"41-50",tbl_Clean[[#This Row],[Age]]&lt;=60,"51-60",TRUE,"61+")</f>
        <v>41-50</v>
      </c>
      <c r="O162" s="20">
        <f>_xlfn.XMATCH(tbl_Clean[[#This Row],[Age Band]],{"25-30","31-40","41-50","51-60","61+"})</f>
        <v>3</v>
      </c>
      <c r="P162" s="20" t="str" cm="1">
        <f t="array" ref="P162">_xlfn.IFS(tbl_Clean[[#This Row],[Income]]&lt;=30000,"$10k-30k",tbl_Clean[[#This Row],[Income]]&lt;=60000,"$40k-60k",tbl_Clean[[#This Row],[Income]]&lt;=90000,"$70k-90k",TRUE,"$100k+")</f>
        <v>$10k-30k</v>
      </c>
      <c r="Q162" s="20">
        <f>_xlfn.XMATCH(tbl_Clean[[#This Row],[Income Band]],{"$10k-30k","$40k-60k","$70k-90k","$100k+"})</f>
        <v>1</v>
      </c>
      <c r="R162" s="20" t="str">
        <f>IF(tbl_Clean[[#This Row],[Cars]]&lt;=1,"0-1 Cars","2+ Cars")</f>
        <v>0-1 Cars</v>
      </c>
      <c r="S162" s="20">
        <f>_xlfn.XMATCH(tbl_Clean[[#This Row],[Commute Distance]],{"0-1 Miles","1-2 Miles","2-5 Miles","5-10 Miles","10+ Miles"})</f>
        <v>1</v>
      </c>
      <c r="T162" s="20">
        <f>_xlfn.XMATCH(tbl_Clean[[#This Row],[Education]],{"Partial High School","High School","Partial College","Bachelors","Graduate Degree"})</f>
        <v>3</v>
      </c>
      <c r="U162" s="20">
        <f>IF(tbl_Clean[[#This Row],[Purchased Bike]]="Yes",1,0)</f>
        <v>0</v>
      </c>
    </row>
    <row r="163" spans="1:21" x14ac:dyDescent="0.25">
      <c r="A163" s="20">
        <v>25605</v>
      </c>
      <c r="B163" s="3" t="s">
        <v>114</v>
      </c>
      <c r="C163" s="3" t="s">
        <v>112</v>
      </c>
      <c r="D163" s="19">
        <v>20000</v>
      </c>
      <c r="E163" s="20">
        <v>2</v>
      </c>
      <c r="F163" s="3" t="s">
        <v>21</v>
      </c>
      <c r="G163" s="3" t="s">
        <v>28</v>
      </c>
      <c r="H163" s="3" t="s">
        <v>20</v>
      </c>
      <c r="I163" s="20">
        <v>1</v>
      </c>
      <c r="J163" s="3" t="s">
        <v>18</v>
      </c>
      <c r="K163" s="3" t="s">
        <v>19</v>
      </c>
      <c r="L163" s="20">
        <v>54</v>
      </c>
      <c r="M163" s="3" t="s">
        <v>17</v>
      </c>
      <c r="N163" s="20" t="str" cm="1">
        <f t="array" ref="N163">_xlfn.IFS(tbl_Clean[[#This Row],[Age]]&lt;=30,"25-30",tbl_Clean[[#This Row],[Age]]&lt;=40,"31-40",tbl_Clean[[#This Row],[Age]]&lt;=50,"41-50",tbl_Clean[[#This Row],[Age]]&lt;=60,"51-60",TRUE,"61+")</f>
        <v>51-60</v>
      </c>
      <c r="O163" s="20">
        <f>_xlfn.XMATCH(tbl_Clean[[#This Row],[Age Band]],{"25-30","31-40","41-50","51-60","61+"})</f>
        <v>4</v>
      </c>
      <c r="P163" s="20" t="str" cm="1">
        <f t="array" ref="P163">_xlfn.IFS(tbl_Clean[[#This Row],[Income]]&lt;=30000,"$10k-30k",tbl_Clean[[#This Row],[Income]]&lt;=60000,"$40k-60k",tbl_Clean[[#This Row],[Income]]&lt;=90000,"$70k-90k",TRUE,"$100k+")</f>
        <v>$10k-30k</v>
      </c>
      <c r="Q163" s="20">
        <f>_xlfn.XMATCH(tbl_Clean[[#This Row],[Income Band]],{"$10k-30k","$40k-60k","$70k-90k","$100k+"})</f>
        <v>1</v>
      </c>
      <c r="R163" s="20" t="str">
        <f>IF(tbl_Clean[[#This Row],[Cars]]&lt;=1,"0-1 Cars","2+ Cars")</f>
        <v>0-1 Cars</v>
      </c>
      <c r="S163" s="20">
        <f>_xlfn.XMATCH(tbl_Clean[[#This Row],[Commute Distance]],{"0-1 Miles","1-2 Miles","2-5 Miles","5-10 Miles","10+ Miles"})</f>
        <v>1</v>
      </c>
      <c r="T163" s="20">
        <f>_xlfn.XMATCH(tbl_Clean[[#This Row],[Education]],{"Partial High School","High School","Partial College","Bachelors","Graduate Degree"})</f>
        <v>3</v>
      </c>
      <c r="U163" s="20">
        <f>IF(tbl_Clean[[#This Row],[Purchased Bike]]="Yes",1,0)</f>
        <v>1</v>
      </c>
    </row>
    <row r="164" spans="1:21" x14ac:dyDescent="0.25">
      <c r="A164" s="20">
        <v>20797</v>
      </c>
      <c r="B164" s="3" t="s">
        <v>111</v>
      </c>
      <c r="C164" s="3" t="s">
        <v>112</v>
      </c>
      <c r="D164" s="19">
        <v>10000</v>
      </c>
      <c r="E164" s="20">
        <v>1</v>
      </c>
      <c r="F164" s="3" t="s">
        <v>15</v>
      </c>
      <c r="G164" s="3" t="s">
        <v>28</v>
      </c>
      <c r="H164" s="3" t="s">
        <v>17</v>
      </c>
      <c r="I164" s="20">
        <v>0</v>
      </c>
      <c r="J164" s="3" t="s">
        <v>18</v>
      </c>
      <c r="K164" s="3" t="s">
        <v>19</v>
      </c>
      <c r="L164" s="20">
        <v>48</v>
      </c>
      <c r="M164" s="3" t="s">
        <v>20</v>
      </c>
      <c r="N164" s="20" t="str" cm="1">
        <f t="array" ref="N164">_xlfn.IFS(tbl_Clean[[#This Row],[Age]]&lt;=30,"25-30",tbl_Clean[[#This Row],[Age]]&lt;=40,"31-40",tbl_Clean[[#This Row],[Age]]&lt;=50,"41-50",tbl_Clean[[#This Row],[Age]]&lt;=60,"51-60",TRUE,"61+")</f>
        <v>41-50</v>
      </c>
      <c r="O164" s="20">
        <f>_xlfn.XMATCH(tbl_Clean[[#This Row],[Age Band]],{"25-30","31-40","41-50","51-60","61+"})</f>
        <v>3</v>
      </c>
      <c r="P164" s="20" t="str" cm="1">
        <f t="array" ref="P164">_xlfn.IFS(tbl_Clean[[#This Row],[Income]]&lt;=30000,"$10k-30k",tbl_Clean[[#This Row],[Income]]&lt;=60000,"$40k-60k",tbl_Clean[[#This Row],[Income]]&lt;=90000,"$70k-90k",TRUE,"$100k+")</f>
        <v>$10k-30k</v>
      </c>
      <c r="Q164" s="20">
        <f>_xlfn.XMATCH(tbl_Clean[[#This Row],[Income Band]],{"$10k-30k","$40k-60k","$70k-90k","$100k+"})</f>
        <v>1</v>
      </c>
      <c r="R164" s="20" t="str">
        <f>IF(tbl_Clean[[#This Row],[Cars]]&lt;=1,"0-1 Cars","2+ Cars")</f>
        <v>0-1 Cars</v>
      </c>
      <c r="S164" s="20">
        <f>_xlfn.XMATCH(tbl_Clean[[#This Row],[Commute Distance]],{"0-1 Miles","1-2 Miles","2-5 Miles","5-10 Miles","10+ Miles"})</f>
        <v>1</v>
      </c>
      <c r="T164" s="20">
        <f>_xlfn.XMATCH(tbl_Clean[[#This Row],[Education]],{"Partial High School","High School","Partial College","Bachelors","Graduate Degree"})</f>
        <v>4</v>
      </c>
      <c r="U164" s="20">
        <f>IF(tbl_Clean[[#This Row],[Purchased Bike]]="Yes",1,0)</f>
        <v>0</v>
      </c>
    </row>
    <row r="165" spans="1:21" x14ac:dyDescent="0.25">
      <c r="A165" s="20">
        <v>21980</v>
      </c>
      <c r="B165" s="3" t="s">
        <v>114</v>
      </c>
      <c r="C165" s="3" t="s">
        <v>112</v>
      </c>
      <c r="D165" s="19">
        <v>60000</v>
      </c>
      <c r="E165" s="20">
        <v>1</v>
      </c>
      <c r="F165" s="3" t="s">
        <v>15</v>
      </c>
      <c r="G165" s="3" t="s">
        <v>23</v>
      </c>
      <c r="H165" s="3" t="s">
        <v>17</v>
      </c>
      <c r="I165" s="20">
        <v>1</v>
      </c>
      <c r="J165" s="3" t="s">
        <v>26</v>
      </c>
      <c r="K165" s="3" t="s">
        <v>27</v>
      </c>
      <c r="L165" s="20">
        <v>44</v>
      </c>
      <c r="M165" s="3" t="s">
        <v>17</v>
      </c>
      <c r="N165" s="20" t="str" cm="1">
        <f t="array" ref="N165">_xlfn.IFS(tbl_Clean[[#This Row],[Age]]&lt;=30,"25-30",tbl_Clean[[#This Row],[Age]]&lt;=40,"31-40",tbl_Clean[[#This Row],[Age]]&lt;=50,"41-50",tbl_Clean[[#This Row],[Age]]&lt;=60,"51-60",TRUE,"61+")</f>
        <v>41-50</v>
      </c>
      <c r="O165" s="20">
        <f>_xlfn.XMATCH(tbl_Clean[[#This Row],[Age Band]],{"25-30","31-40","41-50","51-60","61+"})</f>
        <v>3</v>
      </c>
      <c r="P165" s="20" t="str" cm="1">
        <f t="array" ref="P165">_xlfn.IFS(tbl_Clean[[#This Row],[Income]]&lt;=30000,"$10k-30k",tbl_Clean[[#This Row],[Income]]&lt;=60000,"$40k-60k",tbl_Clean[[#This Row],[Income]]&lt;=90000,"$70k-90k",TRUE,"$100k+")</f>
        <v>$40k-60k</v>
      </c>
      <c r="Q165" s="20">
        <f>_xlfn.XMATCH(tbl_Clean[[#This Row],[Income Band]],{"$10k-30k","$40k-60k","$70k-90k","$100k+"})</f>
        <v>2</v>
      </c>
      <c r="R165" s="20" t="str">
        <f>IF(tbl_Clean[[#This Row],[Cars]]&lt;=1,"0-1 Cars","2+ Cars")</f>
        <v>0-1 Cars</v>
      </c>
      <c r="S165" s="20">
        <f>_xlfn.XMATCH(tbl_Clean[[#This Row],[Commute Distance]],{"0-1 Miles","1-2 Miles","2-5 Miles","5-10 Miles","10+ Miles"})</f>
        <v>4</v>
      </c>
      <c r="T165" s="20">
        <f>_xlfn.XMATCH(tbl_Clean[[#This Row],[Education]],{"Partial High School","High School","Partial College","Bachelors","Graduate Degree"})</f>
        <v>4</v>
      </c>
      <c r="U165" s="20">
        <f>IF(tbl_Clean[[#This Row],[Purchased Bike]]="Yes",1,0)</f>
        <v>1</v>
      </c>
    </row>
    <row r="166" spans="1:21" x14ac:dyDescent="0.25">
      <c r="A166" s="20">
        <v>25460</v>
      </c>
      <c r="B166" s="3" t="s">
        <v>111</v>
      </c>
      <c r="C166" s="3" t="s">
        <v>112</v>
      </c>
      <c r="D166" s="19">
        <v>20000</v>
      </c>
      <c r="E166" s="20">
        <v>2</v>
      </c>
      <c r="F166" s="3" t="s">
        <v>30</v>
      </c>
      <c r="G166" s="3" t="s">
        <v>28</v>
      </c>
      <c r="H166" s="3" t="s">
        <v>17</v>
      </c>
      <c r="I166" s="20">
        <v>0</v>
      </c>
      <c r="J166" s="3" t="s">
        <v>18</v>
      </c>
      <c r="K166" s="3" t="s">
        <v>19</v>
      </c>
      <c r="L166" s="20">
        <v>40</v>
      </c>
      <c r="M166" s="3" t="s">
        <v>17</v>
      </c>
      <c r="N166" s="20" t="str" cm="1">
        <f t="array" ref="N166">_xlfn.IFS(tbl_Clean[[#This Row],[Age]]&lt;=30,"25-30",tbl_Clean[[#This Row],[Age]]&lt;=40,"31-40",tbl_Clean[[#This Row],[Age]]&lt;=50,"41-50",tbl_Clean[[#This Row],[Age]]&lt;=60,"51-60",TRUE,"61+")</f>
        <v>31-40</v>
      </c>
      <c r="O166" s="20">
        <f>_xlfn.XMATCH(tbl_Clean[[#This Row],[Age Band]],{"25-30","31-40","41-50","51-60","61+"})</f>
        <v>2</v>
      </c>
      <c r="P166" s="20" t="str" cm="1">
        <f t="array" ref="P166">_xlfn.IFS(tbl_Clean[[#This Row],[Income]]&lt;=30000,"$10k-30k",tbl_Clean[[#This Row],[Income]]&lt;=60000,"$40k-60k",tbl_Clean[[#This Row],[Income]]&lt;=90000,"$70k-90k",TRUE,"$100k+")</f>
        <v>$10k-30k</v>
      </c>
      <c r="Q166" s="20">
        <f>_xlfn.XMATCH(tbl_Clean[[#This Row],[Income Band]],{"$10k-30k","$40k-60k","$70k-90k","$100k+"})</f>
        <v>1</v>
      </c>
      <c r="R166" s="20" t="str">
        <f>IF(tbl_Clean[[#This Row],[Cars]]&lt;=1,"0-1 Cars","2+ Cars")</f>
        <v>0-1 Cars</v>
      </c>
      <c r="S166" s="20">
        <f>_xlfn.XMATCH(tbl_Clean[[#This Row],[Commute Distance]],{"0-1 Miles","1-2 Miles","2-5 Miles","5-10 Miles","10+ Miles"})</f>
        <v>1</v>
      </c>
      <c r="T166" s="20">
        <f>_xlfn.XMATCH(tbl_Clean[[#This Row],[Education]],{"Partial High School","High School","Partial College","Bachelors","Graduate Degree"})</f>
        <v>2</v>
      </c>
      <c r="U166" s="20">
        <f>IF(tbl_Clean[[#This Row],[Purchased Bike]]="Yes",1,0)</f>
        <v>1</v>
      </c>
    </row>
    <row r="167" spans="1:21" x14ac:dyDescent="0.25">
      <c r="A167" s="20">
        <v>29181</v>
      </c>
      <c r="B167" s="3" t="s">
        <v>114</v>
      </c>
      <c r="C167" s="3" t="s">
        <v>112</v>
      </c>
      <c r="D167" s="19">
        <v>60000</v>
      </c>
      <c r="E167" s="20">
        <v>2</v>
      </c>
      <c r="F167" s="3" t="s">
        <v>15</v>
      </c>
      <c r="G167" s="3" t="s">
        <v>23</v>
      </c>
      <c r="H167" s="3" t="s">
        <v>20</v>
      </c>
      <c r="I167" s="20">
        <v>1</v>
      </c>
      <c r="J167" s="3" t="s">
        <v>18</v>
      </c>
      <c r="K167" s="3" t="s">
        <v>27</v>
      </c>
      <c r="L167" s="20">
        <v>38</v>
      </c>
      <c r="M167" s="3" t="s">
        <v>17</v>
      </c>
      <c r="N167" s="20" t="str" cm="1">
        <f t="array" ref="N167">_xlfn.IFS(tbl_Clean[[#This Row],[Age]]&lt;=30,"25-30",tbl_Clean[[#This Row],[Age]]&lt;=40,"31-40",tbl_Clean[[#This Row],[Age]]&lt;=50,"41-50",tbl_Clean[[#This Row],[Age]]&lt;=60,"51-60",TRUE,"61+")</f>
        <v>31-40</v>
      </c>
      <c r="O167" s="20">
        <f>_xlfn.XMATCH(tbl_Clean[[#This Row],[Age Band]],{"25-30","31-40","41-50","51-60","61+"})</f>
        <v>2</v>
      </c>
      <c r="P167" s="20" t="str" cm="1">
        <f t="array" ref="P167">_xlfn.IFS(tbl_Clean[[#This Row],[Income]]&lt;=30000,"$10k-30k",tbl_Clean[[#This Row],[Income]]&lt;=60000,"$40k-60k",tbl_Clean[[#This Row],[Income]]&lt;=90000,"$70k-90k",TRUE,"$100k+")</f>
        <v>$40k-60k</v>
      </c>
      <c r="Q167" s="20">
        <f>_xlfn.XMATCH(tbl_Clean[[#This Row],[Income Band]],{"$10k-30k","$40k-60k","$70k-90k","$100k+"})</f>
        <v>2</v>
      </c>
      <c r="R167" s="20" t="str">
        <f>IF(tbl_Clean[[#This Row],[Cars]]&lt;=1,"0-1 Cars","2+ Cars")</f>
        <v>0-1 Cars</v>
      </c>
      <c r="S167" s="20">
        <f>_xlfn.XMATCH(tbl_Clean[[#This Row],[Commute Distance]],{"0-1 Miles","1-2 Miles","2-5 Miles","5-10 Miles","10+ Miles"})</f>
        <v>1</v>
      </c>
      <c r="T167" s="20">
        <f>_xlfn.XMATCH(tbl_Clean[[#This Row],[Education]],{"Partial High School","High School","Partial College","Bachelors","Graduate Degree"})</f>
        <v>4</v>
      </c>
      <c r="U167" s="20">
        <f>IF(tbl_Clean[[#This Row],[Purchased Bike]]="Yes",1,0)</f>
        <v>1</v>
      </c>
    </row>
    <row r="168" spans="1:21" x14ac:dyDescent="0.25">
      <c r="A168" s="20">
        <v>24279</v>
      </c>
      <c r="B168" s="3" t="s">
        <v>114</v>
      </c>
      <c r="C168" s="3" t="s">
        <v>113</v>
      </c>
      <c r="D168" s="19">
        <v>40000</v>
      </c>
      <c r="E168" s="20">
        <v>2</v>
      </c>
      <c r="F168" s="3" t="s">
        <v>21</v>
      </c>
      <c r="G168" s="3" t="s">
        <v>16</v>
      </c>
      <c r="H168" s="3" t="s">
        <v>20</v>
      </c>
      <c r="I168" s="20">
        <v>2</v>
      </c>
      <c r="J168" s="3" t="s">
        <v>29</v>
      </c>
      <c r="K168" s="3" t="s">
        <v>27</v>
      </c>
      <c r="L168" s="20">
        <v>52</v>
      </c>
      <c r="M168" s="3" t="s">
        <v>20</v>
      </c>
      <c r="N168" s="20" t="str" cm="1">
        <f t="array" ref="N168">_xlfn.IFS(tbl_Clean[[#This Row],[Age]]&lt;=30,"25-30",tbl_Clean[[#This Row],[Age]]&lt;=40,"31-40",tbl_Clean[[#This Row],[Age]]&lt;=50,"41-50",tbl_Clean[[#This Row],[Age]]&lt;=60,"51-60",TRUE,"61+")</f>
        <v>51-60</v>
      </c>
      <c r="O168" s="20">
        <f>_xlfn.XMATCH(tbl_Clean[[#This Row],[Age Band]],{"25-30","31-40","41-50","51-60","61+"})</f>
        <v>4</v>
      </c>
      <c r="P168" s="20" t="str" cm="1">
        <f t="array" ref="P168">_xlfn.IFS(tbl_Clean[[#This Row],[Income]]&lt;=30000,"$10k-30k",tbl_Clean[[#This Row],[Income]]&lt;=60000,"$40k-60k",tbl_Clean[[#This Row],[Income]]&lt;=90000,"$70k-90k",TRUE,"$100k+")</f>
        <v>$40k-60k</v>
      </c>
      <c r="Q168" s="20">
        <f>_xlfn.XMATCH(tbl_Clean[[#This Row],[Income Band]],{"$10k-30k","$40k-60k","$70k-90k","$100k+"})</f>
        <v>2</v>
      </c>
      <c r="R168" s="20" t="str">
        <f>IF(tbl_Clean[[#This Row],[Cars]]&lt;=1,"0-1 Cars","2+ Cars")</f>
        <v>2+ Cars</v>
      </c>
      <c r="S168" s="20">
        <f>_xlfn.XMATCH(tbl_Clean[[#This Row],[Commute Distance]],{"0-1 Miles","1-2 Miles","2-5 Miles","5-10 Miles","10+ Miles"})</f>
        <v>2</v>
      </c>
      <c r="T168" s="20">
        <f>_xlfn.XMATCH(tbl_Clean[[#This Row],[Education]],{"Partial High School","High School","Partial College","Bachelors","Graduate Degree"})</f>
        <v>3</v>
      </c>
      <c r="U168" s="20">
        <f>IF(tbl_Clean[[#This Row],[Purchased Bike]]="Yes",1,0)</f>
        <v>0</v>
      </c>
    </row>
    <row r="169" spans="1:21" x14ac:dyDescent="0.25">
      <c r="A169" s="20">
        <v>22402</v>
      </c>
      <c r="B169" s="3" t="s">
        <v>111</v>
      </c>
      <c r="C169" s="3" t="s">
        <v>113</v>
      </c>
      <c r="D169" s="19">
        <v>10000</v>
      </c>
      <c r="E169" s="20">
        <v>0</v>
      </c>
      <c r="F169" s="3" t="s">
        <v>21</v>
      </c>
      <c r="G169" s="3" t="s">
        <v>28</v>
      </c>
      <c r="H169" s="3" t="s">
        <v>17</v>
      </c>
      <c r="I169" s="20">
        <v>1</v>
      </c>
      <c r="J169" s="3" t="s">
        <v>24</v>
      </c>
      <c r="K169" s="3" t="s">
        <v>27</v>
      </c>
      <c r="L169" s="20">
        <v>25</v>
      </c>
      <c r="M169" s="3" t="s">
        <v>17</v>
      </c>
      <c r="N169" s="20" t="str" cm="1">
        <f t="array" ref="N169">_xlfn.IFS(tbl_Clean[[#This Row],[Age]]&lt;=30,"25-30",tbl_Clean[[#This Row],[Age]]&lt;=40,"31-40",tbl_Clean[[#This Row],[Age]]&lt;=50,"41-50",tbl_Clean[[#This Row],[Age]]&lt;=60,"51-60",TRUE,"61+")</f>
        <v>25-30</v>
      </c>
      <c r="O169" s="20">
        <f>_xlfn.XMATCH(tbl_Clean[[#This Row],[Age Band]],{"25-30","31-40","41-50","51-60","61+"})</f>
        <v>1</v>
      </c>
      <c r="P169" s="20" t="str" cm="1">
        <f t="array" ref="P169">_xlfn.IFS(tbl_Clean[[#This Row],[Income]]&lt;=30000,"$10k-30k",tbl_Clean[[#This Row],[Income]]&lt;=60000,"$40k-60k",tbl_Clean[[#This Row],[Income]]&lt;=90000,"$70k-90k",TRUE,"$100k+")</f>
        <v>$10k-30k</v>
      </c>
      <c r="Q169" s="20">
        <f>_xlfn.XMATCH(tbl_Clean[[#This Row],[Income Band]],{"$10k-30k","$40k-60k","$70k-90k","$100k+"})</f>
        <v>1</v>
      </c>
      <c r="R169" s="20" t="str">
        <f>IF(tbl_Clean[[#This Row],[Cars]]&lt;=1,"0-1 Cars","2+ Cars")</f>
        <v>0-1 Cars</v>
      </c>
      <c r="S169" s="20">
        <f>_xlfn.XMATCH(tbl_Clean[[#This Row],[Commute Distance]],{"0-1 Miles","1-2 Miles","2-5 Miles","5-10 Miles","10+ Miles"})</f>
        <v>3</v>
      </c>
      <c r="T169" s="20">
        <f>_xlfn.XMATCH(tbl_Clean[[#This Row],[Education]],{"Partial High School","High School","Partial College","Bachelors","Graduate Degree"})</f>
        <v>3</v>
      </c>
      <c r="U169" s="20">
        <f>IF(tbl_Clean[[#This Row],[Purchased Bike]]="Yes",1,0)</f>
        <v>1</v>
      </c>
    </row>
    <row r="170" spans="1:21" x14ac:dyDescent="0.25">
      <c r="A170" s="20">
        <v>15465</v>
      </c>
      <c r="B170" s="3" t="s">
        <v>111</v>
      </c>
      <c r="C170" s="3" t="s">
        <v>112</v>
      </c>
      <c r="D170" s="19">
        <v>10000</v>
      </c>
      <c r="E170" s="20">
        <v>0</v>
      </c>
      <c r="F170" s="3" t="s">
        <v>21</v>
      </c>
      <c r="G170" s="3" t="s">
        <v>28</v>
      </c>
      <c r="H170" s="3" t="s">
        <v>20</v>
      </c>
      <c r="I170" s="20">
        <v>1</v>
      </c>
      <c r="J170" s="3" t="s">
        <v>18</v>
      </c>
      <c r="K170" s="3" t="s">
        <v>27</v>
      </c>
      <c r="L170" s="20">
        <v>25</v>
      </c>
      <c r="M170" s="3" t="s">
        <v>20</v>
      </c>
      <c r="N170" s="20" t="str" cm="1">
        <f t="array" ref="N170">_xlfn.IFS(tbl_Clean[[#This Row],[Age]]&lt;=30,"25-30",tbl_Clean[[#This Row],[Age]]&lt;=40,"31-40",tbl_Clean[[#This Row],[Age]]&lt;=50,"41-50",tbl_Clean[[#This Row],[Age]]&lt;=60,"51-60",TRUE,"61+")</f>
        <v>25-30</v>
      </c>
      <c r="O170" s="20">
        <f>_xlfn.XMATCH(tbl_Clean[[#This Row],[Age Band]],{"25-30","31-40","41-50","51-60","61+"})</f>
        <v>1</v>
      </c>
      <c r="P170" s="20" t="str" cm="1">
        <f t="array" ref="P170">_xlfn.IFS(tbl_Clean[[#This Row],[Income]]&lt;=30000,"$10k-30k",tbl_Clean[[#This Row],[Income]]&lt;=60000,"$40k-60k",tbl_Clean[[#This Row],[Income]]&lt;=90000,"$70k-90k",TRUE,"$100k+")</f>
        <v>$10k-30k</v>
      </c>
      <c r="Q170" s="20">
        <f>_xlfn.XMATCH(tbl_Clean[[#This Row],[Income Band]],{"$10k-30k","$40k-60k","$70k-90k","$100k+"})</f>
        <v>1</v>
      </c>
      <c r="R170" s="20" t="str">
        <f>IF(tbl_Clean[[#This Row],[Cars]]&lt;=1,"0-1 Cars","2+ Cars")</f>
        <v>0-1 Cars</v>
      </c>
      <c r="S170" s="20">
        <f>_xlfn.XMATCH(tbl_Clean[[#This Row],[Commute Distance]],{"0-1 Miles","1-2 Miles","2-5 Miles","5-10 Miles","10+ Miles"})</f>
        <v>1</v>
      </c>
      <c r="T170" s="20">
        <f>_xlfn.XMATCH(tbl_Clean[[#This Row],[Education]],{"Partial High School","High School","Partial College","Bachelors","Graduate Degree"})</f>
        <v>3</v>
      </c>
      <c r="U170" s="20">
        <f>IF(tbl_Clean[[#This Row],[Purchased Bike]]="Yes",1,0)</f>
        <v>0</v>
      </c>
    </row>
    <row r="171" spans="1:21" x14ac:dyDescent="0.25">
      <c r="A171" s="20">
        <v>26757</v>
      </c>
      <c r="B171" s="3" t="s">
        <v>114</v>
      </c>
      <c r="C171" s="3" t="s">
        <v>113</v>
      </c>
      <c r="D171" s="19">
        <v>90000</v>
      </c>
      <c r="E171" s="20">
        <v>1</v>
      </c>
      <c r="F171" s="3" t="s">
        <v>15</v>
      </c>
      <c r="G171" s="3" t="s">
        <v>23</v>
      </c>
      <c r="H171" s="3" t="s">
        <v>17</v>
      </c>
      <c r="I171" s="20">
        <v>1</v>
      </c>
      <c r="J171" s="3" t="s">
        <v>24</v>
      </c>
      <c r="K171" s="3" t="s">
        <v>27</v>
      </c>
      <c r="L171" s="20">
        <v>47</v>
      </c>
      <c r="M171" s="3" t="s">
        <v>17</v>
      </c>
      <c r="N171" s="20" t="str" cm="1">
        <f t="array" ref="N171">_xlfn.IFS(tbl_Clean[[#This Row],[Age]]&lt;=30,"25-30",tbl_Clean[[#This Row],[Age]]&lt;=40,"31-40",tbl_Clean[[#This Row],[Age]]&lt;=50,"41-50",tbl_Clean[[#This Row],[Age]]&lt;=60,"51-60",TRUE,"61+")</f>
        <v>41-50</v>
      </c>
      <c r="O171" s="20">
        <f>_xlfn.XMATCH(tbl_Clean[[#This Row],[Age Band]],{"25-30","31-40","41-50","51-60","61+"})</f>
        <v>3</v>
      </c>
      <c r="P171" s="20" t="str" cm="1">
        <f t="array" ref="P171">_xlfn.IFS(tbl_Clean[[#This Row],[Income]]&lt;=30000,"$10k-30k",tbl_Clean[[#This Row],[Income]]&lt;=60000,"$40k-60k",tbl_Clean[[#This Row],[Income]]&lt;=90000,"$70k-90k",TRUE,"$100k+")</f>
        <v>$70k-90k</v>
      </c>
      <c r="Q171" s="20">
        <f>_xlfn.XMATCH(tbl_Clean[[#This Row],[Income Band]],{"$10k-30k","$40k-60k","$70k-90k","$100k+"})</f>
        <v>3</v>
      </c>
      <c r="R171" s="20" t="str">
        <f>IF(tbl_Clean[[#This Row],[Cars]]&lt;=1,"0-1 Cars","2+ Cars")</f>
        <v>0-1 Cars</v>
      </c>
      <c r="S171" s="20">
        <f>_xlfn.XMATCH(tbl_Clean[[#This Row],[Commute Distance]],{"0-1 Miles","1-2 Miles","2-5 Miles","5-10 Miles","10+ Miles"})</f>
        <v>3</v>
      </c>
      <c r="T171" s="20">
        <f>_xlfn.XMATCH(tbl_Clean[[#This Row],[Education]],{"Partial High School","High School","Partial College","Bachelors","Graduate Degree"})</f>
        <v>4</v>
      </c>
      <c r="U171" s="20">
        <f>IF(tbl_Clean[[#This Row],[Purchased Bike]]="Yes",1,0)</f>
        <v>1</v>
      </c>
    </row>
    <row r="172" spans="1:21" x14ac:dyDescent="0.25">
      <c r="A172" s="20">
        <v>14233</v>
      </c>
      <c r="B172" s="3" t="s">
        <v>114</v>
      </c>
      <c r="C172" s="3" t="s">
        <v>113</v>
      </c>
      <c r="D172" s="19">
        <v>100000</v>
      </c>
      <c r="E172" s="20">
        <v>0</v>
      </c>
      <c r="F172" s="3" t="s">
        <v>30</v>
      </c>
      <c r="G172" s="3" t="s">
        <v>31</v>
      </c>
      <c r="H172" s="3" t="s">
        <v>17</v>
      </c>
      <c r="I172" s="20">
        <v>3</v>
      </c>
      <c r="J172" s="3" t="s">
        <v>33</v>
      </c>
      <c r="K172" s="3" t="s">
        <v>27</v>
      </c>
      <c r="L172" s="20">
        <v>35</v>
      </c>
      <c r="M172" s="3" t="s">
        <v>20</v>
      </c>
      <c r="N172" s="20" t="str" cm="1">
        <f t="array" ref="N172">_xlfn.IFS(tbl_Clean[[#This Row],[Age]]&lt;=30,"25-30",tbl_Clean[[#This Row],[Age]]&lt;=40,"31-40",tbl_Clean[[#This Row],[Age]]&lt;=50,"41-50",tbl_Clean[[#This Row],[Age]]&lt;=60,"51-60",TRUE,"61+")</f>
        <v>31-40</v>
      </c>
      <c r="O172" s="20">
        <f>_xlfn.XMATCH(tbl_Clean[[#This Row],[Age Band]],{"25-30","31-40","41-50","51-60","61+"})</f>
        <v>2</v>
      </c>
      <c r="P172" s="20" t="str" cm="1">
        <f t="array" ref="P172">_xlfn.IFS(tbl_Clean[[#This Row],[Income]]&lt;=30000,"$10k-30k",tbl_Clean[[#This Row],[Income]]&lt;=60000,"$40k-60k",tbl_Clean[[#This Row],[Income]]&lt;=90000,"$70k-90k",TRUE,"$100k+")</f>
        <v>$100k+</v>
      </c>
      <c r="Q172" s="20">
        <f>_xlfn.XMATCH(tbl_Clean[[#This Row],[Income Band]],{"$10k-30k","$40k-60k","$70k-90k","$100k+"})</f>
        <v>4</v>
      </c>
      <c r="R172" s="20" t="str">
        <f>IF(tbl_Clean[[#This Row],[Cars]]&lt;=1,"0-1 Cars","2+ Cars")</f>
        <v>2+ Cars</v>
      </c>
      <c r="S172" s="20">
        <f>_xlfn.XMATCH(tbl_Clean[[#This Row],[Commute Distance]],{"0-1 Miles","1-2 Miles","2-5 Miles","5-10 Miles","10+ Miles"})</f>
        <v>5</v>
      </c>
      <c r="T172" s="20">
        <f>_xlfn.XMATCH(tbl_Clean[[#This Row],[Education]],{"Partial High School","High School","Partial College","Bachelors","Graduate Degree"})</f>
        <v>2</v>
      </c>
      <c r="U172" s="20">
        <f>IF(tbl_Clean[[#This Row],[Purchased Bike]]="Yes",1,0)</f>
        <v>0</v>
      </c>
    </row>
    <row r="173" spans="1:21" x14ac:dyDescent="0.25">
      <c r="A173" s="20">
        <v>14058</v>
      </c>
      <c r="B173" s="3" t="s">
        <v>114</v>
      </c>
      <c r="C173" s="3" t="s">
        <v>113</v>
      </c>
      <c r="D173" s="19">
        <v>70000</v>
      </c>
      <c r="E173" s="20">
        <v>0</v>
      </c>
      <c r="F173" s="3" t="s">
        <v>15</v>
      </c>
      <c r="G173" s="3" t="s">
        <v>23</v>
      </c>
      <c r="H173" s="3" t="s">
        <v>20</v>
      </c>
      <c r="I173" s="20">
        <v>1</v>
      </c>
      <c r="J173" s="3" t="s">
        <v>26</v>
      </c>
      <c r="K173" s="3" t="s">
        <v>27</v>
      </c>
      <c r="L173" s="20">
        <v>41</v>
      </c>
      <c r="M173" s="3" t="s">
        <v>17</v>
      </c>
      <c r="N173" s="20" t="str" cm="1">
        <f t="array" ref="N173">_xlfn.IFS(tbl_Clean[[#This Row],[Age]]&lt;=30,"25-30",tbl_Clean[[#This Row],[Age]]&lt;=40,"31-40",tbl_Clean[[#This Row],[Age]]&lt;=50,"41-50",tbl_Clean[[#This Row],[Age]]&lt;=60,"51-60",TRUE,"61+")</f>
        <v>41-50</v>
      </c>
      <c r="O173" s="20">
        <f>_xlfn.XMATCH(tbl_Clean[[#This Row],[Age Band]],{"25-30","31-40","41-50","51-60","61+"})</f>
        <v>3</v>
      </c>
      <c r="P173" s="20" t="str" cm="1">
        <f t="array" ref="P173">_xlfn.IFS(tbl_Clean[[#This Row],[Income]]&lt;=30000,"$10k-30k",tbl_Clean[[#This Row],[Income]]&lt;=60000,"$40k-60k",tbl_Clean[[#This Row],[Income]]&lt;=90000,"$70k-90k",TRUE,"$100k+")</f>
        <v>$70k-90k</v>
      </c>
      <c r="Q173" s="20">
        <f>_xlfn.XMATCH(tbl_Clean[[#This Row],[Income Band]],{"$10k-30k","$40k-60k","$70k-90k","$100k+"})</f>
        <v>3</v>
      </c>
      <c r="R173" s="20" t="str">
        <f>IF(tbl_Clean[[#This Row],[Cars]]&lt;=1,"0-1 Cars","2+ Cars")</f>
        <v>0-1 Cars</v>
      </c>
      <c r="S173" s="20">
        <f>_xlfn.XMATCH(tbl_Clean[[#This Row],[Commute Distance]],{"0-1 Miles","1-2 Miles","2-5 Miles","5-10 Miles","10+ Miles"})</f>
        <v>4</v>
      </c>
      <c r="T173" s="20">
        <f>_xlfn.XMATCH(tbl_Clean[[#This Row],[Education]],{"Partial High School","High School","Partial College","Bachelors","Graduate Degree"})</f>
        <v>4</v>
      </c>
      <c r="U173" s="20">
        <f>IF(tbl_Clean[[#This Row],[Purchased Bike]]="Yes",1,0)</f>
        <v>1</v>
      </c>
    </row>
    <row r="174" spans="1:21" x14ac:dyDescent="0.25">
      <c r="A174" s="20">
        <v>12273</v>
      </c>
      <c r="B174" s="3" t="s">
        <v>111</v>
      </c>
      <c r="C174" s="3" t="s">
        <v>113</v>
      </c>
      <c r="D174" s="19">
        <v>30000</v>
      </c>
      <c r="E174" s="20">
        <v>1</v>
      </c>
      <c r="F174" s="3" t="s">
        <v>15</v>
      </c>
      <c r="G174" s="3" t="s">
        <v>22</v>
      </c>
      <c r="H174" s="3" t="s">
        <v>17</v>
      </c>
      <c r="I174" s="20">
        <v>0</v>
      </c>
      <c r="J174" s="3" t="s">
        <v>18</v>
      </c>
      <c r="K174" s="3" t="s">
        <v>19</v>
      </c>
      <c r="L174" s="20">
        <v>47</v>
      </c>
      <c r="M174" s="3" t="s">
        <v>20</v>
      </c>
      <c r="N174" s="20" t="str" cm="1">
        <f t="array" ref="N174">_xlfn.IFS(tbl_Clean[[#This Row],[Age]]&lt;=30,"25-30",tbl_Clean[[#This Row],[Age]]&lt;=40,"31-40",tbl_Clean[[#This Row],[Age]]&lt;=50,"41-50",tbl_Clean[[#This Row],[Age]]&lt;=60,"51-60",TRUE,"61+")</f>
        <v>41-50</v>
      </c>
      <c r="O174" s="20">
        <f>_xlfn.XMATCH(tbl_Clean[[#This Row],[Age Band]],{"25-30","31-40","41-50","51-60","61+"})</f>
        <v>3</v>
      </c>
      <c r="P174" s="20" t="str" cm="1">
        <f t="array" ref="P174">_xlfn.IFS(tbl_Clean[[#This Row],[Income]]&lt;=30000,"$10k-30k",tbl_Clean[[#This Row],[Income]]&lt;=60000,"$40k-60k",tbl_Clean[[#This Row],[Income]]&lt;=90000,"$70k-90k",TRUE,"$100k+")</f>
        <v>$10k-30k</v>
      </c>
      <c r="Q174" s="20">
        <f>_xlfn.XMATCH(tbl_Clean[[#This Row],[Income Band]],{"$10k-30k","$40k-60k","$70k-90k","$100k+"})</f>
        <v>1</v>
      </c>
      <c r="R174" s="20" t="str">
        <f>IF(tbl_Clean[[#This Row],[Cars]]&lt;=1,"0-1 Cars","2+ Cars")</f>
        <v>0-1 Cars</v>
      </c>
      <c r="S174" s="20">
        <f>_xlfn.XMATCH(tbl_Clean[[#This Row],[Commute Distance]],{"0-1 Miles","1-2 Miles","2-5 Miles","5-10 Miles","10+ Miles"})</f>
        <v>1</v>
      </c>
      <c r="T174" s="20">
        <f>_xlfn.XMATCH(tbl_Clean[[#This Row],[Education]],{"Partial High School","High School","Partial College","Bachelors","Graduate Degree"})</f>
        <v>4</v>
      </c>
      <c r="U174" s="20">
        <f>IF(tbl_Clean[[#This Row],[Purchased Bike]]="Yes",1,0)</f>
        <v>0</v>
      </c>
    </row>
    <row r="175" spans="1:21" x14ac:dyDescent="0.25">
      <c r="A175" s="20">
        <v>17203</v>
      </c>
      <c r="B175" s="3" t="s">
        <v>111</v>
      </c>
      <c r="C175" s="3" t="s">
        <v>112</v>
      </c>
      <c r="D175" s="19">
        <v>130000</v>
      </c>
      <c r="E175" s="20">
        <v>4</v>
      </c>
      <c r="F175" s="3" t="s">
        <v>21</v>
      </c>
      <c r="G175" s="3" t="s">
        <v>23</v>
      </c>
      <c r="H175" s="3" t="s">
        <v>17</v>
      </c>
      <c r="I175" s="20">
        <v>4</v>
      </c>
      <c r="J175" s="3" t="s">
        <v>26</v>
      </c>
      <c r="K175" s="3" t="s">
        <v>19</v>
      </c>
      <c r="L175" s="20">
        <v>61</v>
      </c>
      <c r="M175" s="3" t="s">
        <v>17</v>
      </c>
      <c r="N175" s="20" t="str" cm="1">
        <f t="array" ref="N175">_xlfn.IFS(tbl_Clean[[#This Row],[Age]]&lt;=30,"25-30",tbl_Clean[[#This Row],[Age]]&lt;=40,"31-40",tbl_Clean[[#This Row],[Age]]&lt;=50,"41-50",tbl_Clean[[#This Row],[Age]]&lt;=60,"51-60",TRUE,"61+")</f>
        <v>61+</v>
      </c>
      <c r="O175" s="20">
        <f>_xlfn.XMATCH(tbl_Clean[[#This Row],[Age Band]],{"25-30","31-40","41-50","51-60","61+"})</f>
        <v>5</v>
      </c>
      <c r="P175" s="20" t="str" cm="1">
        <f t="array" ref="P175">_xlfn.IFS(tbl_Clean[[#This Row],[Income]]&lt;=30000,"$10k-30k",tbl_Clean[[#This Row],[Income]]&lt;=60000,"$40k-60k",tbl_Clean[[#This Row],[Income]]&lt;=90000,"$70k-90k",TRUE,"$100k+")</f>
        <v>$100k+</v>
      </c>
      <c r="Q175" s="20">
        <f>_xlfn.XMATCH(tbl_Clean[[#This Row],[Income Band]],{"$10k-30k","$40k-60k","$70k-90k","$100k+"})</f>
        <v>4</v>
      </c>
      <c r="R175" s="20" t="str">
        <f>IF(tbl_Clean[[#This Row],[Cars]]&lt;=1,"0-1 Cars","2+ Cars")</f>
        <v>2+ Cars</v>
      </c>
      <c r="S175" s="20">
        <f>_xlfn.XMATCH(tbl_Clean[[#This Row],[Commute Distance]],{"0-1 Miles","1-2 Miles","2-5 Miles","5-10 Miles","10+ Miles"})</f>
        <v>4</v>
      </c>
      <c r="T175" s="20">
        <f>_xlfn.XMATCH(tbl_Clean[[#This Row],[Education]],{"Partial High School","High School","Partial College","Bachelors","Graduate Degree"})</f>
        <v>3</v>
      </c>
      <c r="U175" s="20">
        <f>IF(tbl_Clean[[#This Row],[Purchased Bike]]="Yes",1,0)</f>
        <v>1</v>
      </c>
    </row>
    <row r="176" spans="1:21" x14ac:dyDescent="0.25">
      <c r="A176" s="20">
        <v>18144</v>
      </c>
      <c r="B176" s="3" t="s">
        <v>111</v>
      </c>
      <c r="C176" s="3" t="s">
        <v>112</v>
      </c>
      <c r="D176" s="19">
        <v>80000</v>
      </c>
      <c r="E176" s="20">
        <v>5</v>
      </c>
      <c r="F176" s="3" t="s">
        <v>15</v>
      </c>
      <c r="G176" s="3" t="s">
        <v>31</v>
      </c>
      <c r="H176" s="3" t="s">
        <v>17</v>
      </c>
      <c r="I176" s="20">
        <v>2</v>
      </c>
      <c r="J176" s="3" t="s">
        <v>24</v>
      </c>
      <c r="K176" s="3" t="s">
        <v>19</v>
      </c>
      <c r="L176" s="20">
        <v>61</v>
      </c>
      <c r="M176" s="3" t="s">
        <v>20</v>
      </c>
      <c r="N176" s="20" t="str" cm="1">
        <f t="array" ref="N176">_xlfn.IFS(tbl_Clean[[#This Row],[Age]]&lt;=30,"25-30",tbl_Clean[[#This Row],[Age]]&lt;=40,"31-40",tbl_Clean[[#This Row],[Age]]&lt;=50,"41-50",tbl_Clean[[#This Row],[Age]]&lt;=60,"51-60",TRUE,"61+")</f>
        <v>61+</v>
      </c>
      <c r="O176" s="20">
        <f>_xlfn.XMATCH(tbl_Clean[[#This Row],[Age Band]],{"25-30","31-40","41-50","51-60","61+"})</f>
        <v>5</v>
      </c>
      <c r="P176" s="20" t="str" cm="1">
        <f t="array" ref="P176">_xlfn.IFS(tbl_Clean[[#This Row],[Income]]&lt;=30000,"$10k-30k",tbl_Clean[[#This Row],[Income]]&lt;=60000,"$40k-60k",tbl_Clean[[#This Row],[Income]]&lt;=90000,"$70k-90k",TRUE,"$100k+")</f>
        <v>$70k-90k</v>
      </c>
      <c r="Q176" s="20">
        <f>_xlfn.XMATCH(tbl_Clean[[#This Row],[Income Band]],{"$10k-30k","$40k-60k","$70k-90k","$100k+"})</f>
        <v>3</v>
      </c>
      <c r="R176" s="20" t="str">
        <f>IF(tbl_Clean[[#This Row],[Cars]]&lt;=1,"0-1 Cars","2+ Cars")</f>
        <v>2+ Cars</v>
      </c>
      <c r="S176" s="20">
        <f>_xlfn.XMATCH(tbl_Clean[[#This Row],[Commute Distance]],{"0-1 Miles","1-2 Miles","2-5 Miles","5-10 Miles","10+ Miles"})</f>
        <v>3</v>
      </c>
      <c r="T176" s="20">
        <f>_xlfn.XMATCH(tbl_Clean[[#This Row],[Education]],{"Partial High School","High School","Partial College","Bachelors","Graduate Degree"})</f>
        <v>4</v>
      </c>
      <c r="U176" s="20">
        <f>IF(tbl_Clean[[#This Row],[Purchased Bike]]="Yes",1,0)</f>
        <v>0</v>
      </c>
    </row>
    <row r="177" spans="1:21" x14ac:dyDescent="0.25">
      <c r="A177" s="20">
        <v>23963</v>
      </c>
      <c r="B177" s="3" t="s">
        <v>111</v>
      </c>
      <c r="C177" s="3" t="s">
        <v>113</v>
      </c>
      <c r="D177" s="19">
        <v>10000</v>
      </c>
      <c r="E177" s="20">
        <v>0</v>
      </c>
      <c r="F177" s="3" t="s">
        <v>32</v>
      </c>
      <c r="G177" s="3" t="s">
        <v>28</v>
      </c>
      <c r="H177" s="3" t="s">
        <v>20</v>
      </c>
      <c r="I177" s="20">
        <v>2</v>
      </c>
      <c r="J177" s="3" t="s">
        <v>18</v>
      </c>
      <c r="K177" s="3" t="s">
        <v>19</v>
      </c>
      <c r="L177" s="20">
        <v>33</v>
      </c>
      <c r="M177" s="3" t="s">
        <v>20</v>
      </c>
      <c r="N177" s="20" t="str" cm="1">
        <f t="array" ref="N177">_xlfn.IFS(tbl_Clean[[#This Row],[Age]]&lt;=30,"25-30",tbl_Clean[[#This Row],[Age]]&lt;=40,"31-40",tbl_Clean[[#This Row],[Age]]&lt;=50,"41-50",tbl_Clean[[#This Row],[Age]]&lt;=60,"51-60",TRUE,"61+")</f>
        <v>31-40</v>
      </c>
      <c r="O177" s="20">
        <f>_xlfn.XMATCH(tbl_Clean[[#This Row],[Age Band]],{"25-30","31-40","41-50","51-60","61+"})</f>
        <v>2</v>
      </c>
      <c r="P177" s="20" t="str" cm="1">
        <f t="array" ref="P177">_xlfn.IFS(tbl_Clean[[#This Row],[Income]]&lt;=30000,"$10k-30k",tbl_Clean[[#This Row],[Income]]&lt;=60000,"$40k-60k",tbl_Clean[[#This Row],[Income]]&lt;=90000,"$70k-90k",TRUE,"$100k+")</f>
        <v>$10k-30k</v>
      </c>
      <c r="Q177" s="20">
        <f>_xlfn.XMATCH(tbl_Clean[[#This Row],[Income Band]],{"$10k-30k","$40k-60k","$70k-90k","$100k+"})</f>
        <v>1</v>
      </c>
      <c r="R177" s="20" t="str">
        <f>IF(tbl_Clean[[#This Row],[Cars]]&lt;=1,"0-1 Cars","2+ Cars")</f>
        <v>2+ Cars</v>
      </c>
      <c r="S177" s="20">
        <f>_xlfn.XMATCH(tbl_Clean[[#This Row],[Commute Distance]],{"0-1 Miles","1-2 Miles","2-5 Miles","5-10 Miles","10+ Miles"})</f>
        <v>1</v>
      </c>
      <c r="T177" s="20">
        <f>_xlfn.XMATCH(tbl_Clean[[#This Row],[Education]],{"Partial High School","High School","Partial College","Bachelors","Graduate Degree"})</f>
        <v>1</v>
      </c>
      <c r="U177" s="20">
        <f>IF(tbl_Clean[[#This Row],[Purchased Bike]]="Yes",1,0)</f>
        <v>0</v>
      </c>
    </row>
    <row r="178" spans="1:21" x14ac:dyDescent="0.25">
      <c r="A178" s="20">
        <v>17907</v>
      </c>
      <c r="B178" s="3" t="s">
        <v>111</v>
      </c>
      <c r="C178" s="3" t="s">
        <v>112</v>
      </c>
      <c r="D178" s="19">
        <v>10000</v>
      </c>
      <c r="E178" s="20">
        <v>0</v>
      </c>
      <c r="F178" s="3" t="s">
        <v>21</v>
      </c>
      <c r="G178" s="3" t="s">
        <v>28</v>
      </c>
      <c r="H178" s="3" t="s">
        <v>17</v>
      </c>
      <c r="I178" s="20">
        <v>1</v>
      </c>
      <c r="J178" s="3" t="s">
        <v>24</v>
      </c>
      <c r="K178" s="3" t="s">
        <v>27</v>
      </c>
      <c r="L178" s="20">
        <v>27</v>
      </c>
      <c r="M178" s="3" t="s">
        <v>20</v>
      </c>
      <c r="N178" s="20" t="str" cm="1">
        <f t="array" ref="N178">_xlfn.IFS(tbl_Clean[[#This Row],[Age]]&lt;=30,"25-30",tbl_Clean[[#This Row],[Age]]&lt;=40,"31-40",tbl_Clean[[#This Row],[Age]]&lt;=50,"41-50",tbl_Clean[[#This Row],[Age]]&lt;=60,"51-60",TRUE,"61+")</f>
        <v>25-30</v>
      </c>
      <c r="O178" s="20">
        <f>_xlfn.XMATCH(tbl_Clean[[#This Row],[Age Band]],{"25-30","31-40","41-50","51-60","61+"})</f>
        <v>1</v>
      </c>
      <c r="P178" s="20" t="str" cm="1">
        <f t="array" ref="P178">_xlfn.IFS(tbl_Clean[[#This Row],[Income]]&lt;=30000,"$10k-30k",tbl_Clean[[#This Row],[Income]]&lt;=60000,"$40k-60k",tbl_Clean[[#This Row],[Income]]&lt;=90000,"$70k-90k",TRUE,"$100k+")</f>
        <v>$10k-30k</v>
      </c>
      <c r="Q178" s="20">
        <f>_xlfn.XMATCH(tbl_Clean[[#This Row],[Income Band]],{"$10k-30k","$40k-60k","$70k-90k","$100k+"})</f>
        <v>1</v>
      </c>
      <c r="R178" s="20" t="str">
        <f>IF(tbl_Clean[[#This Row],[Cars]]&lt;=1,"0-1 Cars","2+ Cars")</f>
        <v>0-1 Cars</v>
      </c>
      <c r="S178" s="20">
        <f>_xlfn.XMATCH(tbl_Clean[[#This Row],[Commute Distance]],{"0-1 Miles","1-2 Miles","2-5 Miles","5-10 Miles","10+ Miles"})</f>
        <v>3</v>
      </c>
      <c r="T178" s="20">
        <f>_xlfn.XMATCH(tbl_Clean[[#This Row],[Education]],{"Partial High School","High School","Partial College","Bachelors","Graduate Degree"})</f>
        <v>3</v>
      </c>
      <c r="U178" s="20">
        <f>IF(tbl_Clean[[#This Row],[Purchased Bike]]="Yes",1,0)</f>
        <v>0</v>
      </c>
    </row>
    <row r="179" spans="1:21" x14ac:dyDescent="0.25">
      <c r="A179" s="20">
        <v>19442</v>
      </c>
      <c r="B179" s="3" t="s">
        <v>114</v>
      </c>
      <c r="C179" s="3" t="s">
        <v>113</v>
      </c>
      <c r="D179" s="19">
        <v>50000</v>
      </c>
      <c r="E179" s="20">
        <v>0</v>
      </c>
      <c r="F179" s="3" t="s">
        <v>34</v>
      </c>
      <c r="G179" s="3" t="s">
        <v>16</v>
      </c>
      <c r="H179" s="3" t="s">
        <v>17</v>
      </c>
      <c r="I179" s="20">
        <v>0</v>
      </c>
      <c r="J179" s="3" t="s">
        <v>18</v>
      </c>
      <c r="K179" s="3" t="s">
        <v>19</v>
      </c>
      <c r="L179" s="20">
        <v>37</v>
      </c>
      <c r="M179" s="3" t="s">
        <v>17</v>
      </c>
      <c r="N179" s="20" t="str" cm="1">
        <f t="array" ref="N179">_xlfn.IFS(tbl_Clean[[#This Row],[Age]]&lt;=30,"25-30",tbl_Clean[[#This Row],[Age]]&lt;=40,"31-40",tbl_Clean[[#This Row],[Age]]&lt;=50,"41-50",tbl_Clean[[#This Row],[Age]]&lt;=60,"51-60",TRUE,"61+")</f>
        <v>31-40</v>
      </c>
      <c r="O179" s="20">
        <f>_xlfn.XMATCH(tbl_Clean[[#This Row],[Age Band]],{"25-30","31-40","41-50","51-60","61+"})</f>
        <v>2</v>
      </c>
      <c r="P179" s="20" t="str" cm="1">
        <f t="array" ref="P179">_xlfn.IFS(tbl_Clean[[#This Row],[Income]]&lt;=30000,"$10k-30k",tbl_Clean[[#This Row],[Income]]&lt;=60000,"$40k-60k",tbl_Clean[[#This Row],[Income]]&lt;=90000,"$70k-90k",TRUE,"$100k+")</f>
        <v>$40k-60k</v>
      </c>
      <c r="Q179" s="20">
        <f>_xlfn.XMATCH(tbl_Clean[[#This Row],[Income Band]],{"$10k-30k","$40k-60k","$70k-90k","$100k+"})</f>
        <v>2</v>
      </c>
      <c r="R179" s="20" t="str">
        <f>IF(tbl_Clean[[#This Row],[Cars]]&lt;=1,"0-1 Cars","2+ Cars")</f>
        <v>0-1 Cars</v>
      </c>
      <c r="S179" s="20">
        <f>_xlfn.XMATCH(tbl_Clean[[#This Row],[Commute Distance]],{"0-1 Miles","1-2 Miles","2-5 Miles","5-10 Miles","10+ Miles"})</f>
        <v>1</v>
      </c>
      <c r="T179" s="20">
        <f>_xlfn.XMATCH(tbl_Clean[[#This Row],[Education]],{"Partial High School","High School","Partial College","Bachelors","Graduate Degree"})</f>
        <v>5</v>
      </c>
      <c r="U179" s="20">
        <f>IF(tbl_Clean[[#This Row],[Purchased Bike]]="Yes",1,0)</f>
        <v>1</v>
      </c>
    </row>
    <row r="180" spans="1:21" x14ac:dyDescent="0.25">
      <c r="A180" s="20">
        <v>17504</v>
      </c>
      <c r="B180" s="3" t="s">
        <v>114</v>
      </c>
      <c r="C180" s="3" t="s">
        <v>112</v>
      </c>
      <c r="D180" s="19">
        <v>80000</v>
      </c>
      <c r="E180" s="20">
        <v>2</v>
      </c>
      <c r="F180" s="3" t="s">
        <v>21</v>
      </c>
      <c r="G180" s="3" t="s">
        <v>16</v>
      </c>
      <c r="H180" s="3" t="s">
        <v>17</v>
      </c>
      <c r="I180" s="20">
        <v>2</v>
      </c>
      <c r="J180" s="3" t="s">
        <v>26</v>
      </c>
      <c r="K180" s="3" t="s">
        <v>27</v>
      </c>
      <c r="L180" s="20">
        <v>52</v>
      </c>
      <c r="M180" s="3" t="s">
        <v>17</v>
      </c>
      <c r="N180" s="20" t="str" cm="1">
        <f t="array" ref="N180">_xlfn.IFS(tbl_Clean[[#This Row],[Age]]&lt;=30,"25-30",tbl_Clean[[#This Row],[Age]]&lt;=40,"31-40",tbl_Clean[[#This Row],[Age]]&lt;=50,"41-50",tbl_Clean[[#This Row],[Age]]&lt;=60,"51-60",TRUE,"61+")</f>
        <v>51-60</v>
      </c>
      <c r="O180" s="20">
        <f>_xlfn.XMATCH(tbl_Clean[[#This Row],[Age Band]],{"25-30","31-40","41-50","51-60","61+"})</f>
        <v>4</v>
      </c>
      <c r="P180" s="20" t="str" cm="1">
        <f t="array" ref="P180">_xlfn.IFS(tbl_Clean[[#This Row],[Income]]&lt;=30000,"$10k-30k",tbl_Clean[[#This Row],[Income]]&lt;=60000,"$40k-60k",tbl_Clean[[#This Row],[Income]]&lt;=90000,"$70k-90k",TRUE,"$100k+")</f>
        <v>$70k-90k</v>
      </c>
      <c r="Q180" s="20">
        <f>_xlfn.XMATCH(tbl_Clean[[#This Row],[Income Band]],{"$10k-30k","$40k-60k","$70k-90k","$100k+"})</f>
        <v>3</v>
      </c>
      <c r="R180" s="20" t="str">
        <f>IF(tbl_Clean[[#This Row],[Cars]]&lt;=1,"0-1 Cars","2+ Cars")</f>
        <v>2+ Cars</v>
      </c>
      <c r="S180" s="20">
        <f>_xlfn.XMATCH(tbl_Clean[[#This Row],[Commute Distance]],{"0-1 Miles","1-2 Miles","2-5 Miles","5-10 Miles","10+ Miles"})</f>
        <v>4</v>
      </c>
      <c r="T180" s="20">
        <f>_xlfn.XMATCH(tbl_Clean[[#This Row],[Education]],{"Partial High School","High School","Partial College","Bachelors","Graduate Degree"})</f>
        <v>3</v>
      </c>
      <c r="U180" s="20">
        <f>IF(tbl_Clean[[#This Row],[Purchased Bike]]="Yes",1,0)</f>
        <v>1</v>
      </c>
    </row>
    <row r="181" spans="1:21" x14ac:dyDescent="0.25">
      <c r="A181" s="20">
        <v>12253</v>
      </c>
      <c r="B181" s="3" t="s">
        <v>114</v>
      </c>
      <c r="C181" s="3" t="s">
        <v>112</v>
      </c>
      <c r="D181" s="19">
        <v>20000</v>
      </c>
      <c r="E181" s="20">
        <v>0</v>
      </c>
      <c r="F181" s="3" t="s">
        <v>21</v>
      </c>
      <c r="G181" s="3" t="s">
        <v>28</v>
      </c>
      <c r="H181" s="3" t="s">
        <v>17</v>
      </c>
      <c r="I181" s="20">
        <v>0</v>
      </c>
      <c r="J181" s="3" t="s">
        <v>18</v>
      </c>
      <c r="K181" s="3" t="s">
        <v>27</v>
      </c>
      <c r="L181" s="20">
        <v>29</v>
      </c>
      <c r="M181" s="3" t="s">
        <v>17</v>
      </c>
      <c r="N181" s="20" t="str" cm="1">
        <f t="array" ref="N181">_xlfn.IFS(tbl_Clean[[#This Row],[Age]]&lt;=30,"25-30",tbl_Clean[[#This Row],[Age]]&lt;=40,"31-40",tbl_Clean[[#This Row],[Age]]&lt;=50,"41-50",tbl_Clean[[#This Row],[Age]]&lt;=60,"51-60",TRUE,"61+")</f>
        <v>25-30</v>
      </c>
      <c r="O181" s="20">
        <f>_xlfn.XMATCH(tbl_Clean[[#This Row],[Age Band]],{"25-30","31-40","41-50","51-60","61+"})</f>
        <v>1</v>
      </c>
      <c r="P181" s="20" t="str" cm="1">
        <f t="array" ref="P181">_xlfn.IFS(tbl_Clean[[#This Row],[Income]]&lt;=30000,"$10k-30k",tbl_Clean[[#This Row],[Income]]&lt;=60000,"$40k-60k",tbl_Clean[[#This Row],[Income]]&lt;=90000,"$70k-90k",TRUE,"$100k+")</f>
        <v>$10k-30k</v>
      </c>
      <c r="Q181" s="20">
        <f>_xlfn.XMATCH(tbl_Clean[[#This Row],[Income Band]],{"$10k-30k","$40k-60k","$70k-90k","$100k+"})</f>
        <v>1</v>
      </c>
      <c r="R181" s="20" t="str">
        <f>IF(tbl_Clean[[#This Row],[Cars]]&lt;=1,"0-1 Cars","2+ Cars")</f>
        <v>0-1 Cars</v>
      </c>
      <c r="S181" s="20">
        <f>_xlfn.XMATCH(tbl_Clean[[#This Row],[Commute Distance]],{"0-1 Miles","1-2 Miles","2-5 Miles","5-10 Miles","10+ Miles"})</f>
        <v>1</v>
      </c>
      <c r="T181" s="20">
        <f>_xlfn.XMATCH(tbl_Clean[[#This Row],[Education]],{"Partial High School","High School","Partial College","Bachelors","Graduate Degree"})</f>
        <v>3</v>
      </c>
      <c r="U181" s="20">
        <f>IF(tbl_Clean[[#This Row],[Purchased Bike]]="Yes",1,0)</f>
        <v>1</v>
      </c>
    </row>
    <row r="182" spans="1:21" x14ac:dyDescent="0.25">
      <c r="A182" s="20">
        <v>27304</v>
      </c>
      <c r="B182" s="3" t="s">
        <v>114</v>
      </c>
      <c r="C182" s="3" t="s">
        <v>112</v>
      </c>
      <c r="D182" s="19">
        <v>110000</v>
      </c>
      <c r="E182" s="20">
        <v>2</v>
      </c>
      <c r="F182" s="3" t="s">
        <v>21</v>
      </c>
      <c r="G182" s="3" t="s">
        <v>23</v>
      </c>
      <c r="H182" s="3" t="s">
        <v>20</v>
      </c>
      <c r="I182" s="20">
        <v>3</v>
      </c>
      <c r="J182" s="3" t="s">
        <v>26</v>
      </c>
      <c r="K182" s="3" t="s">
        <v>19</v>
      </c>
      <c r="L182" s="20">
        <v>48</v>
      </c>
      <c r="M182" s="3" t="s">
        <v>20</v>
      </c>
      <c r="N182" s="20" t="str" cm="1">
        <f t="array" ref="N182">_xlfn.IFS(tbl_Clean[[#This Row],[Age]]&lt;=30,"25-30",tbl_Clean[[#This Row],[Age]]&lt;=40,"31-40",tbl_Clean[[#This Row],[Age]]&lt;=50,"41-50",tbl_Clean[[#This Row],[Age]]&lt;=60,"51-60",TRUE,"61+")</f>
        <v>41-50</v>
      </c>
      <c r="O182" s="20">
        <f>_xlfn.XMATCH(tbl_Clean[[#This Row],[Age Band]],{"25-30","31-40","41-50","51-60","61+"})</f>
        <v>3</v>
      </c>
      <c r="P182" s="20" t="str" cm="1">
        <f t="array" ref="P182">_xlfn.IFS(tbl_Clean[[#This Row],[Income]]&lt;=30000,"$10k-30k",tbl_Clean[[#This Row],[Income]]&lt;=60000,"$40k-60k",tbl_Clean[[#This Row],[Income]]&lt;=90000,"$70k-90k",TRUE,"$100k+")</f>
        <v>$100k+</v>
      </c>
      <c r="Q182" s="20">
        <f>_xlfn.XMATCH(tbl_Clean[[#This Row],[Income Band]],{"$10k-30k","$40k-60k","$70k-90k","$100k+"})</f>
        <v>4</v>
      </c>
      <c r="R182" s="20" t="str">
        <f>IF(tbl_Clean[[#This Row],[Cars]]&lt;=1,"0-1 Cars","2+ Cars")</f>
        <v>2+ Cars</v>
      </c>
      <c r="S182" s="20">
        <f>_xlfn.XMATCH(tbl_Clean[[#This Row],[Commute Distance]],{"0-1 Miles","1-2 Miles","2-5 Miles","5-10 Miles","10+ Miles"})</f>
        <v>4</v>
      </c>
      <c r="T182" s="20">
        <f>_xlfn.XMATCH(tbl_Clean[[#This Row],[Education]],{"Partial High School","High School","Partial College","Bachelors","Graduate Degree"})</f>
        <v>3</v>
      </c>
      <c r="U182" s="20">
        <f>IF(tbl_Clean[[#This Row],[Purchased Bike]]="Yes",1,0)</f>
        <v>0</v>
      </c>
    </row>
    <row r="183" spans="1:21" x14ac:dyDescent="0.25">
      <c r="A183" s="20">
        <v>14191</v>
      </c>
      <c r="B183" s="3" t="s">
        <v>111</v>
      </c>
      <c r="C183" s="3" t="s">
        <v>113</v>
      </c>
      <c r="D183" s="19">
        <v>160000</v>
      </c>
      <c r="E183" s="20">
        <v>4</v>
      </c>
      <c r="F183" s="3" t="s">
        <v>21</v>
      </c>
      <c r="G183" s="3" t="s">
        <v>23</v>
      </c>
      <c r="H183" s="3" t="s">
        <v>20</v>
      </c>
      <c r="I183" s="20">
        <v>2</v>
      </c>
      <c r="J183" s="3" t="s">
        <v>33</v>
      </c>
      <c r="K183" s="3" t="s">
        <v>19</v>
      </c>
      <c r="L183" s="20">
        <v>55</v>
      </c>
      <c r="M183" s="3" t="s">
        <v>17</v>
      </c>
      <c r="N183" s="20" t="str" cm="1">
        <f t="array" ref="N183">_xlfn.IFS(tbl_Clean[[#This Row],[Age]]&lt;=30,"25-30",tbl_Clean[[#This Row],[Age]]&lt;=40,"31-40",tbl_Clean[[#This Row],[Age]]&lt;=50,"41-50",tbl_Clean[[#This Row],[Age]]&lt;=60,"51-60",TRUE,"61+")</f>
        <v>51-60</v>
      </c>
      <c r="O183" s="20">
        <f>_xlfn.XMATCH(tbl_Clean[[#This Row],[Age Band]],{"25-30","31-40","41-50","51-60","61+"})</f>
        <v>4</v>
      </c>
      <c r="P183" s="20" t="str" cm="1">
        <f t="array" ref="P183">_xlfn.IFS(tbl_Clean[[#This Row],[Income]]&lt;=30000,"$10k-30k",tbl_Clean[[#This Row],[Income]]&lt;=60000,"$40k-60k",tbl_Clean[[#This Row],[Income]]&lt;=90000,"$70k-90k",TRUE,"$100k+")</f>
        <v>$100k+</v>
      </c>
      <c r="Q183" s="20">
        <f>_xlfn.XMATCH(tbl_Clean[[#This Row],[Income Band]],{"$10k-30k","$40k-60k","$70k-90k","$100k+"})</f>
        <v>4</v>
      </c>
      <c r="R183" s="20" t="str">
        <f>IF(tbl_Clean[[#This Row],[Cars]]&lt;=1,"0-1 Cars","2+ Cars")</f>
        <v>2+ Cars</v>
      </c>
      <c r="S183" s="20">
        <f>_xlfn.XMATCH(tbl_Clean[[#This Row],[Commute Distance]],{"0-1 Miles","1-2 Miles","2-5 Miles","5-10 Miles","10+ Miles"})</f>
        <v>5</v>
      </c>
      <c r="T183" s="20">
        <f>_xlfn.XMATCH(tbl_Clean[[#This Row],[Education]],{"Partial High School","High School","Partial College","Bachelors","Graduate Degree"})</f>
        <v>3</v>
      </c>
      <c r="U183" s="20">
        <f>IF(tbl_Clean[[#This Row],[Purchased Bike]]="Yes",1,0)</f>
        <v>1</v>
      </c>
    </row>
    <row r="184" spans="1:21" x14ac:dyDescent="0.25">
      <c r="A184" s="20">
        <v>12212</v>
      </c>
      <c r="B184" s="3" t="s">
        <v>111</v>
      </c>
      <c r="C184" s="3" t="s">
        <v>112</v>
      </c>
      <c r="D184" s="19">
        <v>10000</v>
      </c>
      <c r="E184" s="20">
        <v>0</v>
      </c>
      <c r="F184" s="3" t="s">
        <v>34</v>
      </c>
      <c r="G184" s="3" t="s">
        <v>28</v>
      </c>
      <c r="H184" s="3" t="s">
        <v>17</v>
      </c>
      <c r="I184" s="20">
        <v>0</v>
      </c>
      <c r="J184" s="3" t="s">
        <v>18</v>
      </c>
      <c r="K184" s="3" t="s">
        <v>19</v>
      </c>
      <c r="L184" s="20">
        <v>37</v>
      </c>
      <c r="M184" s="3" t="s">
        <v>17</v>
      </c>
      <c r="N184" s="20" t="str" cm="1">
        <f t="array" ref="N184">_xlfn.IFS(tbl_Clean[[#This Row],[Age]]&lt;=30,"25-30",tbl_Clean[[#This Row],[Age]]&lt;=40,"31-40",tbl_Clean[[#This Row],[Age]]&lt;=50,"41-50",tbl_Clean[[#This Row],[Age]]&lt;=60,"51-60",TRUE,"61+")</f>
        <v>31-40</v>
      </c>
      <c r="O184" s="20">
        <f>_xlfn.XMATCH(tbl_Clean[[#This Row],[Age Band]],{"25-30","31-40","41-50","51-60","61+"})</f>
        <v>2</v>
      </c>
      <c r="P184" s="20" t="str" cm="1">
        <f t="array" ref="P184">_xlfn.IFS(tbl_Clean[[#This Row],[Income]]&lt;=30000,"$10k-30k",tbl_Clean[[#This Row],[Income]]&lt;=60000,"$40k-60k",tbl_Clean[[#This Row],[Income]]&lt;=90000,"$70k-90k",TRUE,"$100k+")</f>
        <v>$10k-30k</v>
      </c>
      <c r="Q184" s="20">
        <f>_xlfn.XMATCH(tbl_Clean[[#This Row],[Income Band]],{"$10k-30k","$40k-60k","$70k-90k","$100k+"})</f>
        <v>1</v>
      </c>
      <c r="R184" s="20" t="str">
        <f>IF(tbl_Clean[[#This Row],[Cars]]&lt;=1,"0-1 Cars","2+ Cars")</f>
        <v>0-1 Cars</v>
      </c>
      <c r="S184" s="20">
        <f>_xlfn.XMATCH(tbl_Clean[[#This Row],[Commute Distance]],{"0-1 Miles","1-2 Miles","2-5 Miles","5-10 Miles","10+ Miles"})</f>
        <v>1</v>
      </c>
      <c r="T184" s="20">
        <f>_xlfn.XMATCH(tbl_Clean[[#This Row],[Education]],{"Partial High School","High School","Partial College","Bachelors","Graduate Degree"})</f>
        <v>5</v>
      </c>
      <c r="U184" s="20">
        <f>IF(tbl_Clean[[#This Row],[Purchased Bike]]="Yes",1,0)</f>
        <v>1</v>
      </c>
    </row>
    <row r="185" spans="1:21" x14ac:dyDescent="0.25">
      <c r="A185" s="20">
        <v>25529</v>
      </c>
      <c r="B185" s="3" t="s">
        <v>114</v>
      </c>
      <c r="C185" s="3" t="s">
        <v>113</v>
      </c>
      <c r="D185" s="19">
        <v>10000</v>
      </c>
      <c r="E185" s="20">
        <v>1</v>
      </c>
      <c r="F185" s="3" t="s">
        <v>34</v>
      </c>
      <c r="G185" s="3" t="s">
        <v>28</v>
      </c>
      <c r="H185" s="3" t="s">
        <v>17</v>
      </c>
      <c r="I185" s="20">
        <v>0</v>
      </c>
      <c r="J185" s="3" t="s">
        <v>18</v>
      </c>
      <c r="K185" s="3" t="s">
        <v>19</v>
      </c>
      <c r="L185" s="20">
        <v>44</v>
      </c>
      <c r="M185" s="3" t="s">
        <v>20</v>
      </c>
      <c r="N185" s="20" t="str" cm="1">
        <f t="array" ref="N185">_xlfn.IFS(tbl_Clean[[#This Row],[Age]]&lt;=30,"25-30",tbl_Clean[[#This Row],[Age]]&lt;=40,"31-40",tbl_Clean[[#This Row],[Age]]&lt;=50,"41-50",tbl_Clean[[#This Row],[Age]]&lt;=60,"51-60",TRUE,"61+")</f>
        <v>41-50</v>
      </c>
      <c r="O185" s="20">
        <f>_xlfn.XMATCH(tbl_Clean[[#This Row],[Age Band]],{"25-30","31-40","41-50","51-60","61+"})</f>
        <v>3</v>
      </c>
      <c r="P185" s="20" t="str" cm="1">
        <f t="array" ref="P185">_xlfn.IFS(tbl_Clean[[#This Row],[Income]]&lt;=30000,"$10k-30k",tbl_Clean[[#This Row],[Income]]&lt;=60000,"$40k-60k",tbl_Clean[[#This Row],[Income]]&lt;=90000,"$70k-90k",TRUE,"$100k+")</f>
        <v>$10k-30k</v>
      </c>
      <c r="Q185" s="20">
        <f>_xlfn.XMATCH(tbl_Clean[[#This Row],[Income Band]],{"$10k-30k","$40k-60k","$70k-90k","$100k+"})</f>
        <v>1</v>
      </c>
      <c r="R185" s="20" t="str">
        <f>IF(tbl_Clean[[#This Row],[Cars]]&lt;=1,"0-1 Cars","2+ Cars")</f>
        <v>0-1 Cars</v>
      </c>
      <c r="S185" s="20">
        <f>_xlfn.XMATCH(tbl_Clean[[#This Row],[Commute Distance]],{"0-1 Miles","1-2 Miles","2-5 Miles","5-10 Miles","10+ Miles"})</f>
        <v>1</v>
      </c>
      <c r="T185" s="20">
        <f>_xlfn.XMATCH(tbl_Clean[[#This Row],[Education]],{"Partial High School","High School","Partial College","Bachelors","Graduate Degree"})</f>
        <v>5</v>
      </c>
      <c r="U185" s="20">
        <f>IF(tbl_Clean[[#This Row],[Purchased Bike]]="Yes",1,0)</f>
        <v>0</v>
      </c>
    </row>
    <row r="186" spans="1:21" x14ac:dyDescent="0.25">
      <c r="A186" s="20">
        <v>22170</v>
      </c>
      <c r="B186" s="3" t="s">
        <v>111</v>
      </c>
      <c r="C186" s="3" t="s">
        <v>112</v>
      </c>
      <c r="D186" s="19">
        <v>30000</v>
      </c>
      <c r="E186" s="20">
        <v>3</v>
      </c>
      <c r="F186" s="3" t="s">
        <v>21</v>
      </c>
      <c r="G186" s="3" t="s">
        <v>22</v>
      </c>
      <c r="H186" s="3" t="s">
        <v>20</v>
      </c>
      <c r="I186" s="20">
        <v>2</v>
      </c>
      <c r="J186" s="3" t="s">
        <v>29</v>
      </c>
      <c r="K186" s="3" t="s">
        <v>27</v>
      </c>
      <c r="L186" s="20">
        <v>55</v>
      </c>
      <c r="M186" s="3" t="s">
        <v>17</v>
      </c>
      <c r="N186" s="20" t="str" cm="1">
        <f t="array" ref="N186">_xlfn.IFS(tbl_Clean[[#This Row],[Age]]&lt;=30,"25-30",tbl_Clean[[#This Row],[Age]]&lt;=40,"31-40",tbl_Clean[[#This Row],[Age]]&lt;=50,"41-50",tbl_Clean[[#This Row],[Age]]&lt;=60,"51-60",TRUE,"61+")</f>
        <v>51-60</v>
      </c>
      <c r="O186" s="20">
        <f>_xlfn.XMATCH(tbl_Clean[[#This Row],[Age Band]],{"25-30","31-40","41-50","51-60","61+"})</f>
        <v>4</v>
      </c>
      <c r="P186" s="20" t="str" cm="1">
        <f t="array" ref="P186">_xlfn.IFS(tbl_Clean[[#This Row],[Income]]&lt;=30000,"$10k-30k",tbl_Clean[[#This Row],[Income]]&lt;=60000,"$40k-60k",tbl_Clean[[#This Row],[Income]]&lt;=90000,"$70k-90k",TRUE,"$100k+")</f>
        <v>$10k-30k</v>
      </c>
      <c r="Q186" s="20">
        <f>_xlfn.XMATCH(tbl_Clean[[#This Row],[Income Band]],{"$10k-30k","$40k-60k","$70k-90k","$100k+"})</f>
        <v>1</v>
      </c>
      <c r="R186" s="20" t="str">
        <f>IF(tbl_Clean[[#This Row],[Cars]]&lt;=1,"0-1 Cars","2+ Cars")</f>
        <v>2+ Cars</v>
      </c>
      <c r="S186" s="20">
        <f>_xlfn.XMATCH(tbl_Clean[[#This Row],[Commute Distance]],{"0-1 Miles","1-2 Miles","2-5 Miles","5-10 Miles","10+ Miles"})</f>
        <v>2</v>
      </c>
      <c r="T186" s="20">
        <f>_xlfn.XMATCH(tbl_Clean[[#This Row],[Education]],{"Partial High School","High School","Partial College","Bachelors","Graduate Degree"})</f>
        <v>3</v>
      </c>
      <c r="U186" s="20">
        <f>IF(tbl_Clean[[#This Row],[Purchased Bike]]="Yes",1,0)</f>
        <v>1</v>
      </c>
    </row>
    <row r="187" spans="1:21" x14ac:dyDescent="0.25">
      <c r="A187" s="20">
        <v>19445</v>
      </c>
      <c r="B187" s="3" t="s">
        <v>111</v>
      </c>
      <c r="C187" s="3" t="s">
        <v>112</v>
      </c>
      <c r="D187" s="19">
        <v>10000</v>
      </c>
      <c r="E187" s="20">
        <v>2</v>
      </c>
      <c r="F187" s="3" t="s">
        <v>30</v>
      </c>
      <c r="G187" s="3" t="s">
        <v>28</v>
      </c>
      <c r="H187" s="3" t="s">
        <v>20</v>
      </c>
      <c r="I187" s="20">
        <v>1</v>
      </c>
      <c r="J187" s="3" t="s">
        <v>18</v>
      </c>
      <c r="K187" s="3" t="s">
        <v>19</v>
      </c>
      <c r="L187" s="20">
        <v>38</v>
      </c>
      <c r="M187" s="3" t="s">
        <v>20</v>
      </c>
      <c r="N187" s="20" t="str" cm="1">
        <f t="array" ref="N187">_xlfn.IFS(tbl_Clean[[#This Row],[Age]]&lt;=30,"25-30",tbl_Clean[[#This Row],[Age]]&lt;=40,"31-40",tbl_Clean[[#This Row],[Age]]&lt;=50,"41-50",tbl_Clean[[#This Row],[Age]]&lt;=60,"51-60",TRUE,"61+")</f>
        <v>31-40</v>
      </c>
      <c r="O187" s="20">
        <f>_xlfn.XMATCH(tbl_Clean[[#This Row],[Age Band]],{"25-30","31-40","41-50","51-60","61+"})</f>
        <v>2</v>
      </c>
      <c r="P187" s="20" t="str" cm="1">
        <f t="array" ref="P187">_xlfn.IFS(tbl_Clean[[#This Row],[Income]]&lt;=30000,"$10k-30k",tbl_Clean[[#This Row],[Income]]&lt;=60000,"$40k-60k",tbl_Clean[[#This Row],[Income]]&lt;=90000,"$70k-90k",TRUE,"$100k+")</f>
        <v>$10k-30k</v>
      </c>
      <c r="Q187" s="20">
        <f>_xlfn.XMATCH(tbl_Clean[[#This Row],[Income Band]],{"$10k-30k","$40k-60k","$70k-90k","$100k+"})</f>
        <v>1</v>
      </c>
      <c r="R187" s="20" t="str">
        <f>IF(tbl_Clean[[#This Row],[Cars]]&lt;=1,"0-1 Cars","2+ Cars")</f>
        <v>0-1 Cars</v>
      </c>
      <c r="S187" s="20">
        <f>_xlfn.XMATCH(tbl_Clean[[#This Row],[Commute Distance]],{"0-1 Miles","1-2 Miles","2-5 Miles","5-10 Miles","10+ Miles"})</f>
        <v>1</v>
      </c>
      <c r="T187" s="20">
        <f>_xlfn.XMATCH(tbl_Clean[[#This Row],[Education]],{"Partial High School","High School","Partial College","Bachelors","Graduate Degree"})</f>
        <v>2</v>
      </c>
      <c r="U187" s="20">
        <f>IF(tbl_Clean[[#This Row],[Purchased Bike]]="Yes",1,0)</f>
        <v>0</v>
      </c>
    </row>
    <row r="188" spans="1:21" x14ac:dyDescent="0.25">
      <c r="A188" s="20">
        <v>15265</v>
      </c>
      <c r="B188" s="3" t="s">
        <v>114</v>
      </c>
      <c r="C188" s="3" t="s">
        <v>113</v>
      </c>
      <c r="D188" s="19">
        <v>40000</v>
      </c>
      <c r="E188" s="20">
        <v>2</v>
      </c>
      <c r="F188" s="3" t="s">
        <v>15</v>
      </c>
      <c r="G188" s="3" t="s">
        <v>31</v>
      </c>
      <c r="H188" s="3" t="s">
        <v>17</v>
      </c>
      <c r="I188" s="20">
        <v>2</v>
      </c>
      <c r="J188" s="3" t="s">
        <v>26</v>
      </c>
      <c r="K188" s="3" t="s">
        <v>27</v>
      </c>
      <c r="L188" s="20">
        <v>66</v>
      </c>
      <c r="M188" s="3" t="s">
        <v>17</v>
      </c>
      <c r="N188" s="20" t="str" cm="1">
        <f t="array" ref="N188">_xlfn.IFS(tbl_Clean[[#This Row],[Age]]&lt;=30,"25-30",tbl_Clean[[#This Row],[Age]]&lt;=40,"31-40",tbl_Clean[[#This Row],[Age]]&lt;=50,"41-50",tbl_Clean[[#This Row],[Age]]&lt;=60,"51-60",TRUE,"61+")</f>
        <v>61+</v>
      </c>
      <c r="O188" s="20">
        <f>_xlfn.XMATCH(tbl_Clean[[#This Row],[Age Band]],{"25-30","31-40","41-50","51-60","61+"})</f>
        <v>5</v>
      </c>
      <c r="P188" s="20" t="str" cm="1">
        <f t="array" ref="P188">_xlfn.IFS(tbl_Clean[[#This Row],[Income]]&lt;=30000,"$10k-30k",tbl_Clean[[#This Row],[Income]]&lt;=60000,"$40k-60k",tbl_Clean[[#This Row],[Income]]&lt;=90000,"$70k-90k",TRUE,"$100k+")</f>
        <v>$40k-60k</v>
      </c>
      <c r="Q188" s="20">
        <f>_xlfn.XMATCH(tbl_Clean[[#This Row],[Income Band]],{"$10k-30k","$40k-60k","$70k-90k","$100k+"})</f>
        <v>2</v>
      </c>
      <c r="R188" s="20" t="str">
        <f>IF(tbl_Clean[[#This Row],[Cars]]&lt;=1,"0-1 Cars","2+ Cars")</f>
        <v>2+ Cars</v>
      </c>
      <c r="S188" s="20">
        <f>_xlfn.XMATCH(tbl_Clean[[#This Row],[Commute Distance]],{"0-1 Miles","1-2 Miles","2-5 Miles","5-10 Miles","10+ Miles"})</f>
        <v>4</v>
      </c>
      <c r="T188" s="20">
        <f>_xlfn.XMATCH(tbl_Clean[[#This Row],[Education]],{"Partial High School","High School","Partial College","Bachelors","Graduate Degree"})</f>
        <v>4</v>
      </c>
      <c r="U188" s="20">
        <f>IF(tbl_Clean[[#This Row],[Purchased Bike]]="Yes",1,0)</f>
        <v>1</v>
      </c>
    </row>
    <row r="189" spans="1:21" x14ac:dyDescent="0.25">
      <c r="A189" s="20">
        <v>28918</v>
      </c>
      <c r="B189" s="3" t="s">
        <v>111</v>
      </c>
      <c r="C189" s="3" t="s">
        <v>112</v>
      </c>
      <c r="D189" s="19">
        <v>130000</v>
      </c>
      <c r="E189" s="20">
        <v>4</v>
      </c>
      <c r="F189" s="3" t="s">
        <v>30</v>
      </c>
      <c r="G189" s="3" t="s">
        <v>31</v>
      </c>
      <c r="H189" s="3" t="s">
        <v>20</v>
      </c>
      <c r="I189" s="20">
        <v>4</v>
      </c>
      <c r="J189" s="3" t="s">
        <v>33</v>
      </c>
      <c r="K189" s="3" t="s">
        <v>19</v>
      </c>
      <c r="L189" s="20">
        <v>58</v>
      </c>
      <c r="M189" s="3" t="s">
        <v>20</v>
      </c>
      <c r="N189" s="20" t="str" cm="1">
        <f t="array" ref="N189">_xlfn.IFS(tbl_Clean[[#This Row],[Age]]&lt;=30,"25-30",tbl_Clean[[#This Row],[Age]]&lt;=40,"31-40",tbl_Clean[[#This Row],[Age]]&lt;=50,"41-50",tbl_Clean[[#This Row],[Age]]&lt;=60,"51-60",TRUE,"61+")</f>
        <v>51-60</v>
      </c>
      <c r="O189" s="20">
        <f>_xlfn.XMATCH(tbl_Clean[[#This Row],[Age Band]],{"25-30","31-40","41-50","51-60","61+"})</f>
        <v>4</v>
      </c>
      <c r="P189" s="20" t="str" cm="1">
        <f t="array" ref="P189">_xlfn.IFS(tbl_Clean[[#This Row],[Income]]&lt;=30000,"$10k-30k",tbl_Clean[[#This Row],[Income]]&lt;=60000,"$40k-60k",tbl_Clean[[#This Row],[Income]]&lt;=90000,"$70k-90k",TRUE,"$100k+")</f>
        <v>$100k+</v>
      </c>
      <c r="Q189" s="20">
        <f>_xlfn.XMATCH(tbl_Clean[[#This Row],[Income Band]],{"$10k-30k","$40k-60k","$70k-90k","$100k+"})</f>
        <v>4</v>
      </c>
      <c r="R189" s="20" t="str">
        <f>IF(tbl_Clean[[#This Row],[Cars]]&lt;=1,"0-1 Cars","2+ Cars")</f>
        <v>2+ Cars</v>
      </c>
      <c r="S189" s="20">
        <f>_xlfn.XMATCH(tbl_Clean[[#This Row],[Commute Distance]],{"0-1 Miles","1-2 Miles","2-5 Miles","5-10 Miles","10+ Miles"})</f>
        <v>5</v>
      </c>
      <c r="T189" s="20">
        <f>_xlfn.XMATCH(tbl_Clean[[#This Row],[Education]],{"Partial High School","High School","Partial College","Bachelors","Graduate Degree"})</f>
        <v>2</v>
      </c>
      <c r="U189" s="20">
        <f>IF(tbl_Clean[[#This Row],[Purchased Bike]]="Yes",1,0)</f>
        <v>0</v>
      </c>
    </row>
    <row r="190" spans="1:21" x14ac:dyDescent="0.25">
      <c r="A190" s="20">
        <v>15799</v>
      </c>
      <c r="B190" s="3" t="s">
        <v>111</v>
      </c>
      <c r="C190" s="3" t="s">
        <v>112</v>
      </c>
      <c r="D190" s="19">
        <v>90000</v>
      </c>
      <c r="E190" s="20">
        <v>1</v>
      </c>
      <c r="F190" s="3" t="s">
        <v>15</v>
      </c>
      <c r="G190" s="3" t="s">
        <v>23</v>
      </c>
      <c r="H190" s="3" t="s">
        <v>17</v>
      </c>
      <c r="I190" s="20">
        <v>1</v>
      </c>
      <c r="J190" s="3" t="s">
        <v>24</v>
      </c>
      <c r="K190" s="3" t="s">
        <v>27</v>
      </c>
      <c r="L190" s="20">
        <v>47</v>
      </c>
      <c r="M190" s="3" t="s">
        <v>17</v>
      </c>
      <c r="N190" s="20" t="str" cm="1">
        <f t="array" ref="N190">_xlfn.IFS(tbl_Clean[[#This Row],[Age]]&lt;=30,"25-30",tbl_Clean[[#This Row],[Age]]&lt;=40,"31-40",tbl_Clean[[#This Row],[Age]]&lt;=50,"41-50",tbl_Clean[[#This Row],[Age]]&lt;=60,"51-60",TRUE,"61+")</f>
        <v>41-50</v>
      </c>
      <c r="O190" s="20">
        <f>_xlfn.XMATCH(tbl_Clean[[#This Row],[Age Band]],{"25-30","31-40","41-50","51-60","61+"})</f>
        <v>3</v>
      </c>
      <c r="P190" s="20" t="str" cm="1">
        <f t="array" ref="P190">_xlfn.IFS(tbl_Clean[[#This Row],[Income]]&lt;=30000,"$10k-30k",tbl_Clean[[#This Row],[Income]]&lt;=60000,"$40k-60k",tbl_Clean[[#This Row],[Income]]&lt;=90000,"$70k-90k",TRUE,"$100k+")</f>
        <v>$70k-90k</v>
      </c>
      <c r="Q190" s="20">
        <f>_xlfn.XMATCH(tbl_Clean[[#This Row],[Income Band]],{"$10k-30k","$40k-60k","$70k-90k","$100k+"})</f>
        <v>3</v>
      </c>
      <c r="R190" s="20" t="str">
        <f>IF(tbl_Clean[[#This Row],[Cars]]&lt;=1,"0-1 Cars","2+ Cars")</f>
        <v>0-1 Cars</v>
      </c>
      <c r="S190" s="20">
        <f>_xlfn.XMATCH(tbl_Clean[[#This Row],[Commute Distance]],{"0-1 Miles","1-2 Miles","2-5 Miles","5-10 Miles","10+ Miles"})</f>
        <v>3</v>
      </c>
      <c r="T190" s="20">
        <f>_xlfn.XMATCH(tbl_Clean[[#This Row],[Education]],{"Partial High School","High School","Partial College","Bachelors","Graduate Degree"})</f>
        <v>4</v>
      </c>
      <c r="U190" s="20">
        <f>IF(tbl_Clean[[#This Row],[Purchased Bike]]="Yes",1,0)</f>
        <v>1</v>
      </c>
    </row>
    <row r="191" spans="1:21" x14ac:dyDescent="0.25">
      <c r="A191" s="20">
        <v>11047</v>
      </c>
      <c r="B191" s="3" t="s">
        <v>111</v>
      </c>
      <c r="C191" s="3" t="s">
        <v>112</v>
      </c>
      <c r="D191" s="19">
        <v>30000</v>
      </c>
      <c r="E191" s="20">
        <v>3</v>
      </c>
      <c r="F191" s="3" t="s">
        <v>30</v>
      </c>
      <c r="G191" s="3" t="s">
        <v>16</v>
      </c>
      <c r="H191" s="3" t="s">
        <v>20</v>
      </c>
      <c r="I191" s="20">
        <v>2</v>
      </c>
      <c r="J191" s="3" t="s">
        <v>29</v>
      </c>
      <c r="K191" s="3" t="s">
        <v>27</v>
      </c>
      <c r="L191" s="20">
        <v>56</v>
      </c>
      <c r="M191" s="3" t="s">
        <v>17</v>
      </c>
      <c r="N191" s="20" t="str" cm="1">
        <f t="array" ref="N191">_xlfn.IFS(tbl_Clean[[#This Row],[Age]]&lt;=30,"25-30",tbl_Clean[[#This Row],[Age]]&lt;=40,"31-40",tbl_Clean[[#This Row],[Age]]&lt;=50,"41-50",tbl_Clean[[#This Row],[Age]]&lt;=60,"51-60",TRUE,"61+")</f>
        <v>51-60</v>
      </c>
      <c r="O191" s="20">
        <f>_xlfn.XMATCH(tbl_Clean[[#This Row],[Age Band]],{"25-30","31-40","41-50","51-60","61+"})</f>
        <v>4</v>
      </c>
      <c r="P191" s="20" t="str" cm="1">
        <f t="array" ref="P191">_xlfn.IFS(tbl_Clean[[#This Row],[Income]]&lt;=30000,"$10k-30k",tbl_Clean[[#This Row],[Income]]&lt;=60000,"$40k-60k",tbl_Clean[[#This Row],[Income]]&lt;=90000,"$70k-90k",TRUE,"$100k+")</f>
        <v>$10k-30k</v>
      </c>
      <c r="Q191" s="20">
        <f>_xlfn.XMATCH(tbl_Clean[[#This Row],[Income Band]],{"$10k-30k","$40k-60k","$70k-90k","$100k+"})</f>
        <v>1</v>
      </c>
      <c r="R191" s="20" t="str">
        <f>IF(tbl_Clean[[#This Row],[Cars]]&lt;=1,"0-1 Cars","2+ Cars")</f>
        <v>2+ Cars</v>
      </c>
      <c r="S191" s="20">
        <f>_xlfn.XMATCH(tbl_Clean[[#This Row],[Commute Distance]],{"0-1 Miles","1-2 Miles","2-5 Miles","5-10 Miles","10+ Miles"})</f>
        <v>2</v>
      </c>
      <c r="T191" s="20">
        <f>_xlfn.XMATCH(tbl_Clean[[#This Row],[Education]],{"Partial High School","High School","Partial College","Bachelors","Graduate Degree"})</f>
        <v>2</v>
      </c>
      <c r="U191" s="20">
        <f>IF(tbl_Clean[[#This Row],[Purchased Bike]]="Yes",1,0)</f>
        <v>1</v>
      </c>
    </row>
    <row r="192" spans="1:21" x14ac:dyDescent="0.25">
      <c r="A192" s="20">
        <v>18151</v>
      </c>
      <c r="B192" s="3" t="s">
        <v>114</v>
      </c>
      <c r="C192" s="3" t="s">
        <v>113</v>
      </c>
      <c r="D192" s="19">
        <v>80000</v>
      </c>
      <c r="E192" s="20">
        <v>5</v>
      </c>
      <c r="F192" s="3" t="s">
        <v>21</v>
      </c>
      <c r="G192" s="3" t="s">
        <v>23</v>
      </c>
      <c r="H192" s="3" t="s">
        <v>20</v>
      </c>
      <c r="I192" s="20">
        <v>2</v>
      </c>
      <c r="J192" s="3" t="s">
        <v>33</v>
      </c>
      <c r="K192" s="3" t="s">
        <v>19</v>
      </c>
      <c r="L192" s="20">
        <v>59</v>
      </c>
      <c r="M192" s="3" t="s">
        <v>20</v>
      </c>
      <c r="N192" s="20" t="str" cm="1">
        <f t="array" ref="N192">_xlfn.IFS(tbl_Clean[[#This Row],[Age]]&lt;=30,"25-30",tbl_Clean[[#This Row],[Age]]&lt;=40,"31-40",tbl_Clean[[#This Row],[Age]]&lt;=50,"41-50",tbl_Clean[[#This Row],[Age]]&lt;=60,"51-60",TRUE,"61+")</f>
        <v>51-60</v>
      </c>
      <c r="O192" s="20">
        <f>_xlfn.XMATCH(tbl_Clean[[#This Row],[Age Band]],{"25-30","31-40","41-50","51-60","61+"})</f>
        <v>4</v>
      </c>
      <c r="P192" s="20" t="str" cm="1">
        <f t="array" ref="P192">_xlfn.IFS(tbl_Clean[[#This Row],[Income]]&lt;=30000,"$10k-30k",tbl_Clean[[#This Row],[Income]]&lt;=60000,"$40k-60k",tbl_Clean[[#This Row],[Income]]&lt;=90000,"$70k-90k",TRUE,"$100k+")</f>
        <v>$70k-90k</v>
      </c>
      <c r="Q192" s="20">
        <f>_xlfn.XMATCH(tbl_Clean[[#This Row],[Income Band]],{"$10k-30k","$40k-60k","$70k-90k","$100k+"})</f>
        <v>3</v>
      </c>
      <c r="R192" s="20" t="str">
        <f>IF(tbl_Clean[[#This Row],[Cars]]&lt;=1,"0-1 Cars","2+ Cars")</f>
        <v>2+ Cars</v>
      </c>
      <c r="S192" s="20">
        <f>_xlfn.XMATCH(tbl_Clean[[#This Row],[Commute Distance]],{"0-1 Miles","1-2 Miles","2-5 Miles","5-10 Miles","10+ Miles"})</f>
        <v>5</v>
      </c>
      <c r="T192" s="20">
        <f>_xlfn.XMATCH(tbl_Clean[[#This Row],[Education]],{"Partial High School","High School","Partial College","Bachelors","Graduate Degree"})</f>
        <v>3</v>
      </c>
      <c r="U192" s="20">
        <f>IF(tbl_Clean[[#This Row],[Purchased Bike]]="Yes",1,0)</f>
        <v>0</v>
      </c>
    </row>
    <row r="193" spans="1:21" x14ac:dyDescent="0.25">
      <c r="A193" s="20">
        <v>20606</v>
      </c>
      <c r="B193" s="3" t="s">
        <v>111</v>
      </c>
      <c r="C193" s="3" t="s">
        <v>112</v>
      </c>
      <c r="D193" s="19">
        <v>70000</v>
      </c>
      <c r="E193" s="20">
        <v>0</v>
      </c>
      <c r="F193" s="3" t="s">
        <v>15</v>
      </c>
      <c r="G193" s="3" t="s">
        <v>23</v>
      </c>
      <c r="H193" s="3" t="s">
        <v>17</v>
      </c>
      <c r="I193" s="20">
        <v>4</v>
      </c>
      <c r="J193" s="3" t="s">
        <v>33</v>
      </c>
      <c r="K193" s="3" t="s">
        <v>27</v>
      </c>
      <c r="L193" s="20">
        <v>32</v>
      </c>
      <c r="M193" s="3" t="s">
        <v>17</v>
      </c>
      <c r="N193" s="20" t="str" cm="1">
        <f t="array" ref="N193">_xlfn.IFS(tbl_Clean[[#This Row],[Age]]&lt;=30,"25-30",tbl_Clean[[#This Row],[Age]]&lt;=40,"31-40",tbl_Clean[[#This Row],[Age]]&lt;=50,"41-50",tbl_Clean[[#This Row],[Age]]&lt;=60,"51-60",TRUE,"61+")</f>
        <v>31-40</v>
      </c>
      <c r="O193" s="20">
        <f>_xlfn.XMATCH(tbl_Clean[[#This Row],[Age Band]],{"25-30","31-40","41-50","51-60","61+"})</f>
        <v>2</v>
      </c>
      <c r="P193" s="20" t="str" cm="1">
        <f t="array" ref="P193">_xlfn.IFS(tbl_Clean[[#This Row],[Income]]&lt;=30000,"$10k-30k",tbl_Clean[[#This Row],[Income]]&lt;=60000,"$40k-60k",tbl_Clean[[#This Row],[Income]]&lt;=90000,"$70k-90k",TRUE,"$100k+")</f>
        <v>$70k-90k</v>
      </c>
      <c r="Q193" s="20">
        <f>_xlfn.XMATCH(tbl_Clean[[#This Row],[Income Band]],{"$10k-30k","$40k-60k","$70k-90k","$100k+"})</f>
        <v>3</v>
      </c>
      <c r="R193" s="20" t="str">
        <f>IF(tbl_Clean[[#This Row],[Cars]]&lt;=1,"0-1 Cars","2+ Cars")</f>
        <v>2+ Cars</v>
      </c>
      <c r="S193" s="20">
        <f>_xlfn.XMATCH(tbl_Clean[[#This Row],[Commute Distance]],{"0-1 Miles","1-2 Miles","2-5 Miles","5-10 Miles","10+ Miles"})</f>
        <v>5</v>
      </c>
      <c r="T193" s="20">
        <f>_xlfn.XMATCH(tbl_Clean[[#This Row],[Education]],{"Partial High School","High School","Partial College","Bachelors","Graduate Degree"})</f>
        <v>4</v>
      </c>
      <c r="U193" s="20">
        <f>IF(tbl_Clean[[#This Row],[Purchased Bike]]="Yes",1,0)</f>
        <v>1</v>
      </c>
    </row>
    <row r="194" spans="1:21" x14ac:dyDescent="0.25">
      <c r="A194" s="20">
        <v>19482</v>
      </c>
      <c r="B194" s="3" t="s">
        <v>111</v>
      </c>
      <c r="C194" s="3" t="s">
        <v>113</v>
      </c>
      <c r="D194" s="19">
        <v>30000</v>
      </c>
      <c r="E194" s="20">
        <v>1</v>
      </c>
      <c r="F194" s="3" t="s">
        <v>21</v>
      </c>
      <c r="G194" s="3" t="s">
        <v>22</v>
      </c>
      <c r="H194" s="3" t="s">
        <v>17</v>
      </c>
      <c r="I194" s="20">
        <v>1</v>
      </c>
      <c r="J194" s="3" t="s">
        <v>18</v>
      </c>
      <c r="K194" s="3" t="s">
        <v>19</v>
      </c>
      <c r="L194" s="20">
        <v>44</v>
      </c>
      <c r="M194" s="3" t="s">
        <v>17</v>
      </c>
      <c r="N194" s="20" t="str" cm="1">
        <f t="array" ref="N194">_xlfn.IFS(tbl_Clean[[#This Row],[Age]]&lt;=30,"25-30",tbl_Clean[[#This Row],[Age]]&lt;=40,"31-40",tbl_Clean[[#This Row],[Age]]&lt;=50,"41-50",tbl_Clean[[#This Row],[Age]]&lt;=60,"51-60",TRUE,"61+")</f>
        <v>41-50</v>
      </c>
      <c r="O194" s="20">
        <f>_xlfn.XMATCH(tbl_Clean[[#This Row],[Age Band]],{"25-30","31-40","41-50","51-60","61+"})</f>
        <v>3</v>
      </c>
      <c r="P194" s="20" t="str" cm="1">
        <f t="array" ref="P194">_xlfn.IFS(tbl_Clean[[#This Row],[Income]]&lt;=30000,"$10k-30k",tbl_Clean[[#This Row],[Income]]&lt;=60000,"$40k-60k",tbl_Clean[[#This Row],[Income]]&lt;=90000,"$70k-90k",TRUE,"$100k+")</f>
        <v>$10k-30k</v>
      </c>
      <c r="Q194" s="20">
        <f>_xlfn.XMATCH(tbl_Clean[[#This Row],[Income Band]],{"$10k-30k","$40k-60k","$70k-90k","$100k+"})</f>
        <v>1</v>
      </c>
      <c r="R194" s="20" t="str">
        <f>IF(tbl_Clean[[#This Row],[Cars]]&lt;=1,"0-1 Cars","2+ Cars")</f>
        <v>0-1 Cars</v>
      </c>
      <c r="S194" s="20">
        <f>_xlfn.XMATCH(tbl_Clean[[#This Row],[Commute Distance]],{"0-1 Miles","1-2 Miles","2-5 Miles","5-10 Miles","10+ Miles"})</f>
        <v>1</v>
      </c>
      <c r="T194" s="20">
        <f>_xlfn.XMATCH(tbl_Clean[[#This Row],[Education]],{"Partial High School","High School","Partial College","Bachelors","Graduate Degree"})</f>
        <v>3</v>
      </c>
      <c r="U194" s="20">
        <f>IF(tbl_Clean[[#This Row],[Purchased Bike]]="Yes",1,0)</f>
        <v>1</v>
      </c>
    </row>
    <row r="195" spans="1:21" x14ac:dyDescent="0.25">
      <c r="A195" s="20">
        <v>16489</v>
      </c>
      <c r="B195" s="3" t="s">
        <v>111</v>
      </c>
      <c r="C195" s="3" t="s">
        <v>113</v>
      </c>
      <c r="D195" s="19">
        <v>30000</v>
      </c>
      <c r="E195" s="20">
        <v>3</v>
      </c>
      <c r="F195" s="3" t="s">
        <v>30</v>
      </c>
      <c r="G195" s="3" t="s">
        <v>16</v>
      </c>
      <c r="H195" s="3" t="s">
        <v>17</v>
      </c>
      <c r="I195" s="20">
        <v>2</v>
      </c>
      <c r="J195" s="3" t="s">
        <v>26</v>
      </c>
      <c r="K195" s="3" t="s">
        <v>27</v>
      </c>
      <c r="L195" s="20">
        <v>55</v>
      </c>
      <c r="M195" s="3" t="s">
        <v>20</v>
      </c>
      <c r="N195" s="20" t="str" cm="1">
        <f t="array" ref="N195">_xlfn.IFS(tbl_Clean[[#This Row],[Age]]&lt;=30,"25-30",tbl_Clean[[#This Row],[Age]]&lt;=40,"31-40",tbl_Clean[[#This Row],[Age]]&lt;=50,"41-50",tbl_Clean[[#This Row],[Age]]&lt;=60,"51-60",TRUE,"61+")</f>
        <v>51-60</v>
      </c>
      <c r="O195" s="20">
        <f>_xlfn.XMATCH(tbl_Clean[[#This Row],[Age Band]],{"25-30","31-40","41-50","51-60","61+"})</f>
        <v>4</v>
      </c>
      <c r="P195" s="20" t="str" cm="1">
        <f t="array" ref="P195">_xlfn.IFS(tbl_Clean[[#This Row],[Income]]&lt;=30000,"$10k-30k",tbl_Clean[[#This Row],[Income]]&lt;=60000,"$40k-60k",tbl_Clean[[#This Row],[Income]]&lt;=90000,"$70k-90k",TRUE,"$100k+")</f>
        <v>$10k-30k</v>
      </c>
      <c r="Q195" s="20">
        <f>_xlfn.XMATCH(tbl_Clean[[#This Row],[Income Band]],{"$10k-30k","$40k-60k","$70k-90k","$100k+"})</f>
        <v>1</v>
      </c>
      <c r="R195" s="20" t="str">
        <f>IF(tbl_Clean[[#This Row],[Cars]]&lt;=1,"0-1 Cars","2+ Cars")</f>
        <v>2+ Cars</v>
      </c>
      <c r="S195" s="20">
        <f>_xlfn.XMATCH(tbl_Clean[[#This Row],[Commute Distance]],{"0-1 Miles","1-2 Miles","2-5 Miles","5-10 Miles","10+ Miles"})</f>
        <v>4</v>
      </c>
      <c r="T195" s="20">
        <f>_xlfn.XMATCH(tbl_Clean[[#This Row],[Education]],{"Partial High School","High School","Partial College","Bachelors","Graduate Degree"})</f>
        <v>2</v>
      </c>
      <c r="U195" s="20">
        <f>IF(tbl_Clean[[#This Row],[Purchased Bike]]="Yes",1,0)</f>
        <v>0</v>
      </c>
    </row>
    <row r="196" spans="1:21" x14ac:dyDescent="0.25">
      <c r="A196" s="20">
        <v>26944</v>
      </c>
      <c r="B196" s="3" t="s">
        <v>114</v>
      </c>
      <c r="C196" s="3" t="s">
        <v>113</v>
      </c>
      <c r="D196" s="19">
        <v>90000</v>
      </c>
      <c r="E196" s="20">
        <v>2</v>
      </c>
      <c r="F196" s="3" t="s">
        <v>30</v>
      </c>
      <c r="G196" s="3" t="s">
        <v>28</v>
      </c>
      <c r="H196" s="3" t="s">
        <v>17</v>
      </c>
      <c r="I196" s="20">
        <v>0</v>
      </c>
      <c r="J196" s="3" t="s">
        <v>18</v>
      </c>
      <c r="K196" s="3" t="s">
        <v>19</v>
      </c>
      <c r="L196" s="20">
        <v>36</v>
      </c>
      <c r="M196" s="3" t="s">
        <v>17</v>
      </c>
      <c r="N196" s="20" t="str" cm="1">
        <f t="array" ref="N196">_xlfn.IFS(tbl_Clean[[#This Row],[Age]]&lt;=30,"25-30",tbl_Clean[[#This Row],[Age]]&lt;=40,"31-40",tbl_Clean[[#This Row],[Age]]&lt;=50,"41-50",tbl_Clean[[#This Row],[Age]]&lt;=60,"51-60",TRUE,"61+")</f>
        <v>31-40</v>
      </c>
      <c r="O196" s="20">
        <f>_xlfn.XMATCH(tbl_Clean[[#This Row],[Age Band]],{"25-30","31-40","41-50","51-60","61+"})</f>
        <v>2</v>
      </c>
      <c r="P196" s="20" t="str" cm="1">
        <f t="array" ref="P196">_xlfn.IFS(tbl_Clean[[#This Row],[Income]]&lt;=30000,"$10k-30k",tbl_Clean[[#This Row],[Income]]&lt;=60000,"$40k-60k",tbl_Clean[[#This Row],[Income]]&lt;=90000,"$70k-90k",TRUE,"$100k+")</f>
        <v>$70k-90k</v>
      </c>
      <c r="Q196" s="20">
        <f>_xlfn.XMATCH(tbl_Clean[[#This Row],[Income Band]],{"$10k-30k","$40k-60k","$70k-90k","$100k+"})</f>
        <v>3</v>
      </c>
      <c r="R196" s="20" t="str">
        <f>IF(tbl_Clean[[#This Row],[Cars]]&lt;=1,"0-1 Cars","2+ Cars")</f>
        <v>0-1 Cars</v>
      </c>
      <c r="S196" s="20">
        <f>_xlfn.XMATCH(tbl_Clean[[#This Row],[Commute Distance]],{"0-1 Miles","1-2 Miles","2-5 Miles","5-10 Miles","10+ Miles"})</f>
        <v>1</v>
      </c>
      <c r="T196" s="20">
        <f>_xlfn.XMATCH(tbl_Clean[[#This Row],[Education]],{"Partial High School","High School","Partial College","Bachelors","Graduate Degree"})</f>
        <v>2</v>
      </c>
      <c r="U196" s="20">
        <f>IF(tbl_Clean[[#This Row],[Purchased Bike]]="Yes",1,0)</f>
        <v>1</v>
      </c>
    </row>
    <row r="197" spans="1:21" x14ac:dyDescent="0.25">
      <c r="A197" s="20">
        <v>15682</v>
      </c>
      <c r="B197" s="3" t="s">
        <v>114</v>
      </c>
      <c r="C197" s="3" t="s">
        <v>112</v>
      </c>
      <c r="D197" s="19">
        <v>80000</v>
      </c>
      <c r="E197" s="20">
        <v>5</v>
      </c>
      <c r="F197" s="3" t="s">
        <v>15</v>
      </c>
      <c r="G197" s="3" t="s">
        <v>31</v>
      </c>
      <c r="H197" s="3" t="s">
        <v>17</v>
      </c>
      <c r="I197" s="20">
        <v>2</v>
      </c>
      <c r="J197" s="3" t="s">
        <v>33</v>
      </c>
      <c r="K197" s="3" t="s">
        <v>19</v>
      </c>
      <c r="L197" s="20">
        <v>62</v>
      </c>
      <c r="M197" s="3" t="s">
        <v>20</v>
      </c>
      <c r="N197" s="20" t="str" cm="1">
        <f t="array" ref="N197">_xlfn.IFS(tbl_Clean[[#This Row],[Age]]&lt;=30,"25-30",tbl_Clean[[#This Row],[Age]]&lt;=40,"31-40",tbl_Clean[[#This Row],[Age]]&lt;=50,"41-50",tbl_Clean[[#This Row],[Age]]&lt;=60,"51-60",TRUE,"61+")</f>
        <v>61+</v>
      </c>
      <c r="O197" s="20">
        <f>_xlfn.XMATCH(tbl_Clean[[#This Row],[Age Band]],{"25-30","31-40","41-50","51-60","61+"})</f>
        <v>5</v>
      </c>
      <c r="P197" s="20" t="str" cm="1">
        <f t="array" ref="P197">_xlfn.IFS(tbl_Clean[[#This Row],[Income]]&lt;=30000,"$10k-30k",tbl_Clean[[#This Row],[Income]]&lt;=60000,"$40k-60k",tbl_Clean[[#This Row],[Income]]&lt;=90000,"$70k-90k",TRUE,"$100k+")</f>
        <v>$70k-90k</v>
      </c>
      <c r="Q197" s="20">
        <f>_xlfn.XMATCH(tbl_Clean[[#This Row],[Income Band]],{"$10k-30k","$40k-60k","$70k-90k","$100k+"})</f>
        <v>3</v>
      </c>
      <c r="R197" s="20" t="str">
        <f>IF(tbl_Clean[[#This Row],[Cars]]&lt;=1,"0-1 Cars","2+ Cars")</f>
        <v>2+ Cars</v>
      </c>
      <c r="S197" s="20">
        <f>_xlfn.XMATCH(tbl_Clean[[#This Row],[Commute Distance]],{"0-1 Miles","1-2 Miles","2-5 Miles","5-10 Miles","10+ Miles"})</f>
        <v>5</v>
      </c>
      <c r="T197" s="20">
        <f>_xlfn.XMATCH(tbl_Clean[[#This Row],[Education]],{"Partial High School","High School","Partial College","Bachelors","Graduate Degree"})</f>
        <v>4</v>
      </c>
      <c r="U197" s="20">
        <f>IF(tbl_Clean[[#This Row],[Purchased Bike]]="Yes",1,0)</f>
        <v>0</v>
      </c>
    </row>
    <row r="198" spans="1:21" x14ac:dyDescent="0.25">
      <c r="A198" s="20">
        <v>26032</v>
      </c>
      <c r="B198" s="3" t="s">
        <v>111</v>
      </c>
      <c r="C198" s="3" t="s">
        <v>112</v>
      </c>
      <c r="D198" s="19">
        <v>70000</v>
      </c>
      <c r="E198" s="20">
        <v>5</v>
      </c>
      <c r="F198" s="3" t="s">
        <v>15</v>
      </c>
      <c r="G198" s="3" t="s">
        <v>23</v>
      </c>
      <c r="H198" s="3" t="s">
        <v>17</v>
      </c>
      <c r="I198" s="20">
        <v>4</v>
      </c>
      <c r="J198" s="3" t="s">
        <v>33</v>
      </c>
      <c r="K198" s="3" t="s">
        <v>27</v>
      </c>
      <c r="L198" s="20">
        <v>41</v>
      </c>
      <c r="M198" s="3" t="s">
        <v>20</v>
      </c>
      <c r="N198" s="20" t="str" cm="1">
        <f t="array" ref="N198">_xlfn.IFS(tbl_Clean[[#This Row],[Age]]&lt;=30,"25-30",tbl_Clean[[#This Row],[Age]]&lt;=40,"31-40",tbl_Clean[[#This Row],[Age]]&lt;=50,"41-50",tbl_Clean[[#This Row],[Age]]&lt;=60,"51-60",TRUE,"61+")</f>
        <v>41-50</v>
      </c>
      <c r="O198" s="20">
        <f>_xlfn.XMATCH(tbl_Clean[[#This Row],[Age Band]],{"25-30","31-40","41-50","51-60","61+"})</f>
        <v>3</v>
      </c>
      <c r="P198" s="20" t="str" cm="1">
        <f t="array" ref="P198">_xlfn.IFS(tbl_Clean[[#This Row],[Income]]&lt;=30000,"$10k-30k",tbl_Clean[[#This Row],[Income]]&lt;=60000,"$40k-60k",tbl_Clean[[#This Row],[Income]]&lt;=90000,"$70k-90k",TRUE,"$100k+")</f>
        <v>$70k-90k</v>
      </c>
      <c r="Q198" s="20">
        <f>_xlfn.XMATCH(tbl_Clean[[#This Row],[Income Band]],{"$10k-30k","$40k-60k","$70k-90k","$100k+"})</f>
        <v>3</v>
      </c>
      <c r="R198" s="20" t="str">
        <f>IF(tbl_Clean[[#This Row],[Cars]]&lt;=1,"0-1 Cars","2+ Cars")</f>
        <v>2+ Cars</v>
      </c>
      <c r="S198" s="20">
        <f>_xlfn.XMATCH(tbl_Clean[[#This Row],[Commute Distance]],{"0-1 Miles","1-2 Miles","2-5 Miles","5-10 Miles","10+ Miles"})</f>
        <v>5</v>
      </c>
      <c r="T198" s="20">
        <f>_xlfn.XMATCH(tbl_Clean[[#This Row],[Education]],{"Partial High School","High School","Partial College","Bachelors","Graduate Degree"})</f>
        <v>4</v>
      </c>
      <c r="U198" s="20">
        <f>IF(tbl_Clean[[#This Row],[Purchased Bike]]="Yes",1,0)</f>
        <v>0</v>
      </c>
    </row>
    <row r="199" spans="1:21" x14ac:dyDescent="0.25">
      <c r="A199" s="20">
        <v>17843</v>
      </c>
      <c r="B199" s="3" t="s">
        <v>114</v>
      </c>
      <c r="C199" s="3" t="s">
        <v>112</v>
      </c>
      <c r="D199" s="19">
        <v>10000</v>
      </c>
      <c r="E199" s="20">
        <v>0</v>
      </c>
      <c r="F199" s="3" t="s">
        <v>32</v>
      </c>
      <c r="G199" s="3" t="s">
        <v>28</v>
      </c>
      <c r="H199" s="3" t="s">
        <v>20</v>
      </c>
      <c r="I199" s="20">
        <v>2</v>
      </c>
      <c r="J199" s="3" t="s">
        <v>18</v>
      </c>
      <c r="K199" s="3" t="s">
        <v>19</v>
      </c>
      <c r="L199" s="20">
        <v>32</v>
      </c>
      <c r="M199" s="3" t="s">
        <v>20</v>
      </c>
      <c r="N199" s="20" t="str" cm="1">
        <f t="array" ref="N199">_xlfn.IFS(tbl_Clean[[#This Row],[Age]]&lt;=30,"25-30",tbl_Clean[[#This Row],[Age]]&lt;=40,"31-40",tbl_Clean[[#This Row],[Age]]&lt;=50,"41-50",tbl_Clean[[#This Row],[Age]]&lt;=60,"51-60",TRUE,"61+")</f>
        <v>31-40</v>
      </c>
      <c r="O199" s="20">
        <f>_xlfn.XMATCH(tbl_Clean[[#This Row],[Age Band]],{"25-30","31-40","41-50","51-60","61+"})</f>
        <v>2</v>
      </c>
      <c r="P199" s="20" t="str" cm="1">
        <f t="array" ref="P199">_xlfn.IFS(tbl_Clean[[#This Row],[Income]]&lt;=30000,"$10k-30k",tbl_Clean[[#This Row],[Income]]&lt;=60000,"$40k-60k",tbl_Clean[[#This Row],[Income]]&lt;=90000,"$70k-90k",TRUE,"$100k+")</f>
        <v>$10k-30k</v>
      </c>
      <c r="Q199" s="20">
        <f>_xlfn.XMATCH(tbl_Clean[[#This Row],[Income Band]],{"$10k-30k","$40k-60k","$70k-90k","$100k+"})</f>
        <v>1</v>
      </c>
      <c r="R199" s="20" t="str">
        <f>IF(tbl_Clean[[#This Row],[Cars]]&lt;=1,"0-1 Cars","2+ Cars")</f>
        <v>2+ Cars</v>
      </c>
      <c r="S199" s="20">
        <f>_xlfn.XMATCH(tbl_Clean[[#This Row],[Commute Distance]],{"0-1 Miles","1-2 Miles","2-5 Miles","5-10 Miles","10+ Miles"})</f>
        <v>1</v>
      </c>
      <c r="T199" s="20">
        <f>_xlfn.XMATCH(tbl_Clean[[#This Row],[Education]],{"Partial High School","High School","Partial College","Bachelors","Graduate Degree"})</f>
        <v>1</v>
      </c>
      <c r="U199" s="20">
        <f>IF(tbl_Clean[[#This Row],[Purchased Bike]]="Yes",1,0)</f>
        <v>0</v>
      </c>
    </row>
    <row r="200" spans="1:21" x14ac:dyDescent="0.25">
      <c r="A200" s="20">
        <v>25559</v>
      </c>
      <c r="B200" s="3" t="s">
        <v>114</v>
      </c>
      <c r="C200" s="3" t="s">
        <v>113</v>
      </c>
      <c r="D200" s="19">
        <v>20000</v>
      </c>
      <c r="E200" s="20">
        <v>0</v>
      </c>
      <c r="F200" s="3" t="s">
        <v>15</v>
      </c>
      <c r="G200" s="3" t="s">
        <v>22</v>
      </c>
      <c r="H200" s="3" t="s">
        <v>17</v>
      </c>
      <c r="I200" s="20">
        <v>0</v>
      </c>
      <c r="J200" s="3" t="s">
        <v>18</v>
      </c>
      <c r="K200" s="3" t="s">
        <v>27</v>
      </c>
      <c r="L200" s="20">
        <v>25</v>
      </c>
      <c r="M200" s="3" t="s">
        <v>17</v>
      </c>
      <c r="N200" s="20" t="str" cm="1">
        <f t="array" ref="N200">_xlfn.IFS(tbl_Clean[[#This Row],[Age]]&lt;=30,"25-30",tbl_Clean[[#This Row],[Age]]&lt;=40,"31-40",tbl_Clean[[#This Row],[Age]]&lt;=50,"41-50",tbl_Clean[[#This Row],[Age]]&lt;=60,"51-60",TRUE,"61+")</f>
        <v>25-30</v>
      </c>
      <c r="O200" s="20">
        <f>_xlfn.XMATCH(tbl_Clean[[#This Row],[Age Band]],{"25-30","31-40","41-50","51-60","61+"})</f>
        <v>1</v>
      </c>
      <c r="P200" s="20" t="str" cm="1">
        <f t="array" ref="P200">_xlfn.IFS(tbl_Clean[[#This Row],[Income]]&lt;=30000,"$10k-30k",tbl_Clean[[#This Row],[Income]]&lt;=60000,"$40k-60k",tbl_Clean[[#This Row],[Income]]&lt;=90000,"$70k-90k",TRUE,"$100k+")</f>
        <v>$10k-30k</v>
      </c>
      <c r="Q200" s="20">
        <f>_xlfn.XMATCH(tbl_Clean[[#This Row],[Income Band]],{"$10k-30k","$40k-60k","$70k-90k","$100k+"})</f>
        <v>1</v>
      </c>
      <c r="R200" s="20" t="str">
        <f>IF(tbl_Clean[[#This Row],[Cars]]&lt;=1,"0-1 Cars","2+ Cars")</f>
        <v>0-1 Cars</v>
      </c>
      <c r="S200" s="20">
        <f>_xlfn.XMATCH(tbl_Clean[[#This Row],[Commute Distance]],{"0-1 Miles","1-2 Miles","2-5 Miles","5-10 Miles","10+ Miles"})</f>
        <v>1</v>
      </c>
      <c r="T200" s="20">
        <f>_xlfn.XMATCH(tbl_Clean[[#This Row],[Education]],{"Partial High School","High School","Partial College","Bachelors","Graduate Degree"})</f>
        <v>4</v>
      </c>
      <c r="U200" s="20">
        <f>IF(tbl_Clean[[#This Row],[Purchased Bike]]="Yes",1,0)</f>
        <v>1</v>
      </c>
    </row>
    <row r="201" spans="1:21" x14ac:dyDescent="0.25">
      <c r="A201" s="20">
        <v>16209</v>
      </c>
      <c r="B201" s="3" t="s">
        <v>114</v>
      </c>
      <c r="C201" s="3" t="s">
        <v>112</v>
      </c>
      <c r="D201" s="19">
        <v>50000</v>
      </c>
      <c r="E201" s="20">
        <v>0</v>
      </c>
      <c r="F201" s="3" t="s">
        <v>34</v>
      </c>
      <c r="G201" s="3" t="s">
        <v>16</v>
      </c>
      <c r="H201" s="3" t="s">
        <v>17</v>
      </c>
      <c r="I201" s="20">
        <v>0</v>
      </c>
      <c r="J201" s="3" t="s">
        <v>29</v>
      </c>
      <c r="K201" s="3" t="s">
        <v>19</v>
      </c>
      <c r="L201" s="20">
        <v>36</v>
      </c>
      <c r="M201" s="3" t="s">
        <v>20</v>
      </c>
      <c r="N201" s="20" t="str" cm="1">
        <f t="array" ref="N201">_xlfn.IFS(tbl_Clean[[#This Row],[Age]]&lt;=30,"25-30",tbl_Clean[[#This Row],[Age]]&lt;=40,"31-40",tbl_Clean[[#This Row],[Age]]&lt;=50,"41-50",tbl_Clean[[#This Row],[Age]]&lt;=60,"51-60",TRUE,"61+")</f>
        <v>31-40</v>
      </c>
      <c r="O201" s="20">
        <f>_xlfn.XMATCH(tbl_Clean[[#This Row],[Age Band]],{"25-30","31-40","41-50","51-60","61+"})</f>
        <v>2</v>
      </c>
      <c r="P201" s="20" t="str" cm="1">
        <f t="array" ref="P201">_xlfn.IFS(tbl_Clean[[#This Row],[Income]]&lt;=30000,"$10k-30k",tbl_Clean[[#This Row],[Income]]&lt;=60000,"$40k-60k",tbl_Clean[[#This Row],[Income]]&lt;=90000,"$70k-90k",TRUE,"$100k+")</f>
        <v>$40k-60k</v>
      </c>
      <c r="Q201" s="20">
        <f>_xlfn.XMATCH(tbl_Clean[[#This Row],[Income Band]],{"$10k-30k","$40k-60k","$70k-90k","$100k+"})</f>
        <v>2</v>
      </c>
      <c r="R201" s="20" t="str">
        <f>IF(tbl_Clean[[#This Row],[Cars]]&lt;=1,"0-1 Cars","2+ Cars")</f>
        <v>0-1 Cars</v>
      </c>
      <c r="S201" s="20">
        <f>_xlfn.XMATCH(tbl_Clean[[#This Row],[Commute Distance]],{"0-1 Miles","1-2 Miles","2-5 Miles","5-10 Miles","10+ Miles"})</f>
        <v>2</v>
      </c>
      <c r="T201" s="20">
        <f>_xlfn.XMATCH(tbl_Clean[[#This Row],[Education]],{"Partial High School","High School","Partial College","Bachelors","Graduate Degree"})</f>
        <v>5</v>
      </c>
      <c r="U201" s="20">
        <f>IF(tbl_Clean[[#This Row],[Purchased Bike]]="Yes",1,0)</f>
        <v>0</v>
      </c>
    </row>
    <row r="202" spans="1:21" x14ac:dyDescent="0.25">
      <c r="A202" s="20">
        <v>11147</v>
      </c>
      <c r="B202" s="3" t="s">
        <v>111</v>
      </c>
      <c r="C202" s="3" t="s">
        <v>113</v>
      </c>
      <c r="D202" s="19">
        <v>60000</v>
      </c>
      <c r="E202" s="20">
        <v>2</v>
      </c>
      <c r="F202" s="3" t="s">
        <v>34</v>
      </c>
      <c r="G202" s="3" t="s">
        <v>31</v>
      </c>
      <c r="H202" s="3" t="s">
        <v>17</v>
      </c>
      <c r="I202" s="20">
        <v>1</v>
      </c>
      <c r="J202" s="3" t="s">
        <v>18</v>
      </c>
      <c r="K202" s="3" t="s">
        <v>27</v>
      </c>
      <c r="L202" s="20">
        <v>67</v>
      </c>
      <c r="M202" s="3" t="s">
        <v>17</v>
      </c>
      <c r="N202" s="20" t="str" cm="1">
        <f t="array" ref="N202">_xlfn.IFS(tbl_Clean[[#This Row],[Age]]&lt;=30,"25-30",tbl_Clean[[#This Row],[Age]]&lt;=40,"31-40",tbl_Clean[[#This Row],[Age]]&lt;=50,"41-50",tbl_Clean[[#This Row],[Age]]&lt;=60,"51-60",TRUE,"61+")</f>
        <v>61+</v>
      </c>
      <c r="O202" s="20">
        <f>_xlfn.XMATCH(tbl_Clean[[#This Row],[Age Band]],{"25-30","31-40","41-50","51-60","61+"})</f>
        <v>5</v>
      </c>
      <c r="P202" s="20" t="str" cm="1">
        <f t="array" ref="P202">_xlfn.IFS(tbl_Clean[[#This Row],[Income]]&lt;=30000,"$10k-30k",tbl_Clean[[#This Row],[Income]]&lt;=60000,"$40k-60k",tbl_Clean[[#This Row],[Income]]&lt;=90000,"$70k-90k",TRUE,"$100k+")</f>
        <v>$40k-60k</v>
      </c>
      <c r="Q202" s="20">
        <f>_xlfn.XMATCH(tbl_Clean[[#This Row],[Income Band]],{"$10k-30k","$40k-60k","$70k-90k","$100k+"})</f>
        <v>2</v>
      </c>
      <c r="R202" s="20" t="str">
        <f>IF(tbl_Clean[[#This Row],[Cars]]&lt;=1,"0-1 Cars","2+ Cars")</f>
        <v>0-1 Cars</v>
      </c>
      <c r="S202" s="20">
        <f>_xlfn.XMATCH(tbl_Clean[[#This Row],[Commute Distance]],{"0-1 Miles","1-2 Miles","2-5 Miles","5-10 Miles","10+ Miles"})</f>
        <v>1</v>
      </c>
      <c r="T202" s="20">
        <f>_xlfn.XMATCH(tbl_Clean[[#This Row],[Education]],{"Partial High School","High School","Partial College","Bachelors","Graduate Degree"})</f>
        <v>5</v>
      </c>
      <c r="U202" s="20">
        <f>IF(tbl_Clean[[#This Row],[Purchased Bike]]="Yes",1,0)</f>
        <v>1</v>
      </c>
    </row>
    <row r="203" spans="1:21" x14ac:dyDescent="0.25">
      <c r="A203" s="20">
        <v>15214</v>
      </c>
      <c r="B203" s="3" t="s">
        <v>114</v>
      </c>
      <c r="C203" s="3" t="s">
        <v>112</v>
      </c>
      <c r="D203" s="19">
        <v>100000</v>
      </c>
      <c r="E203" s="20">
        <v>0</v>
      </c>
      <c r="F203" s="3" t="s">
        <v>34</v>
      </c>
      <c r="G203" s="3" t="s">
        <v>31</v>
      </c>
      <c r="H203" s="3" t="s">
        <v>20</v>
      </c>
      <c r="I203" s="20">
        <v>1</v>
      </c>
      <c r="J203" s="3" t="s">
        <v>29</v>
      </c>
      <c r="K203" s="3" t="s">
        <v>27</v>
      </c>
      <c r="L203" s="20">
        <v>39</v>
      </c>
      <c r="M203" s="3" t="s">
        <v>17</v>
      </c>
      <c r="N203" s="20" t="str" cm="1">
        <f t="array" ref="N203">_xlfn.IFS(tbl_Clean[[#This Row],[Age]]&lt;=30,"25-30",tbl_Clean[[#This Row],[Age]]&lt;=40,"31-40",tbl_Clean[[#This Row],[Age]]&lt;=50,"41-50",tbl_Clean[[#This Row],[Age]]&lt;=60,"51-60",TRUE,"61+")</f>
        <v>31-40</v>
      </c>
      <c r="O203" s="20">
        <f>_xlfn.XMATCH(tbl_Clean[[#This Row],[Age Band]],{"25-30","31-40","41-50","51-60","61+"})</f>
        <v>2</v>
      </c>
      <c r="P203" s="20" t="str" cm="1">
        <f t="array" ref="P203">_xlfn.IFS(tbl_Clean[[#This Row],[Income]]&lt;=30000,"$10k-30k",tbl_Clean[[#This Row],[Income]]&lt;=60000,"$40k-60k",tbl_Clean[[#This Row],[Income]]&lt;=90000,"$70k-90k",TRUE,"$100k+")</f>
        <v>$100k+</v>
      </c>
      <c r="Q203" s="20">
        <f>_xlfn.XMATCH(tbl_Clean[[#This Row],[Income Band]],{"$10k-30k","$40k-60k","$70k-90k","$100k+"})</f>
        <v>4</v>
      </c>
      <c r="R203" s="20" t="str">
        <f>IF(tbl_Clean[[#This Row],[Cars]]&lt;=1,"0-1 Cars","2+ Cars")</f>
        <v>0-1 Cars</v>
      </c>
      <c r="S203" s="20">
        <f>_xlfn.XMATCH(tbl_Clean[[#This Row],[Commute Distance]],{"0-1 Miles","1-2 Miles","2-5 Miles","5-10 Miles","10+ Miles"})</f>
        <v>2</v>
      </c>
      <c r="T203" s="20">
        <f>_xlfn.XMATCH(tbl_Clean[[#This Row],[Education]],{"Partial High School","High School","Partial College","Bachelors","Graduate Degree"})</f>
        <v>5</v>
      </c>
      <c r="U203" s="20">
        <f>IF(tbl_Clean[[#This Row],[Purchased Bike]]="Yes",1,0)</f>
        <v>1</v>
      </c>
    </row>
    <row r="204" spans="1:21" x14ac:dyDescent="0.25">
      <c r="A204" s="20">
        <v>11453</v>
      </c>
      <c r="B204" s="3" t="s">
        <v>114</v>
      </c>
      <c r="C204" s="3" t="s">
        <v>113</v>
      </c>
      <c r="D204" s="19">
        <v>80000</v>
      </c>
      <c r="E204" s="20">
        <v>0</v>
      </c>
      <c r="F204" s="3" t="s">
        <v>15</v>
      </c>
      <c r="G204" s="3" t="s">
        <v>23</v>
      </c>
      <c r="H204" s="3" t="s">
        <v>20</v>
      </c>
      <c r="I204" s="20">
        <v>3</v>
      </c>
      <c r="J204" s="3" t="s">
        <v>33</v>
      </c>
      <c r="K204" s="3" t="s">
        <v>27</v>
      </c>
      <c r="L204" s="20">
        <v>33</v>
      </c>
      <c r="M204" s="3" t="s">
        <v>17</v>
      </c>
      <c r="N204" s="20" t="str" cm="1">
        <f t="array" ref="N204">_xlfn.IFS(tbl_Clean[[#This Row],[Age]]&lt;=30,"25-30",tbl_Clean[[#This Row],[Age]]&lt;=40,"31-40",tbl_Clean[[#This Row],[Age]]&lt;=50,"41-50",tbl_Clean[[#This Row],[Age]]&lt;=60,"51-60",TRUE,"61+")</f>
        <v>31-40</v>
      </c>
      <c r="O204" s="20">
        <f>_xlfn.XMATCH(tbl_Clean[[#This Row],[Age Band]],{"25-30","31-40","41-50","51-60","61+"})</f>
        <v>2</v>
      </c>
      <c r="P204" s="20" t="str" cm="1">
        <f t="array" ref="P204">_xlfn.IFS(tbl_Clean[[#This Row],[Income]]&lt;=30000,"$10k-30k",tbl_Clean[[#This Row],[Income]]&lt;=60000,"$40k-60k",tbl_Clean[[#This Row],[Income]]&lt;=90000,"$70k-90k",TRUE,"$100k+")</f>
        <v>$70k-90k</v>
      </c>
      <c r="Q204" s="20">
        <f>_xlfn.XMATCH(tbl_Clean[[#This Row],[Income Band]],{"$10k-30k","$40k-60k","$70k-90k","$100k+"})</f>
        <v>3</v>
      </c>
      <c r="R204" s="20" t="str">
        <f>IF(tbl_Clean[[#This Row],[Cars]]&lt;=1,"0-1 Cars","2+ Cars")</f>
        <v>2+ Cars</v>
      </c>
      <c r="S204" s="20">
        <f>_xlfn.XMATCH(tbl_Clean[[#This Row],[Commute Distance]],{"0-1 Miles","1-2 Miles","2-5 Miles","5-10 Miles","10+ Miles"})</f>
        <v>5</v>
      </c>
      <c r="T204" s="20">
        <f>_xlfn.XMATCH(tbl_Clean[[#This Row],[Education]],{"Partial High School","High School","Partial College","Bachelors","Graduate Degree"})</f>
        <v>4</v>
      </c>
      <c r="U204" s="20">
        <f>IF(tbl_Clean[[#This Row],[Purchased Bike]]="Yes",1,0)</f>
        <v>1</v>
      </c>
    </row>
    <row r="205" spans="1:21" x14ac:dyDescent="0.25">
      <c r="A205" s="20">
        <v>24584</v>
      </c>
      <c r="B205" s="3" t="s">
        <v>114</v>
      </c>
      <c r="C205" s="3" t="s">
        <v>113</v>
      </c>
      <c r="D205" s="19">
        <v>60000</v>
      </c>
      <c r="E205" s="20">
        <v>0</v>
      </c>
      <c r="F205" s="3" t="s">
        <v>15</v>
      </c>
      <c r="G205" s="3" t="s">
        <v>23</v>
      </c>
      <c r="H205" s="3" t="s">
        <v>20</v>
      </c>
      <c r="I205" s="20">
        <v>3</v>
      </c>
      <c r="J205" s="3" t="s">
        <v>24</v>
      </c>
      <c r="K205" s="3" t="s">
        <v>27</v>
      </c>
      <c r="L205" s="20">
        <v>31</v>
      </c>
      <c r="M205" s="3" t="s">
        <v>20</v>
      </c>
      <c r="N205" s="20" t="str" cm="1">
        <f t="array" ref="N205">_xlfn.IFS(tbl_Clean[[#This Row],[Age]]&lt;=30,"25-30",tbl_Clean[[#This Row],[Age]]&lt;=40,"31-40",tbl_Clean[[#This Row],[Age]]&lt;=50,"41-50",tbl_Clean[[#This Row],[Age]]&lt;=60,"51-60",TRUE,"61+")</f>
        <v>31-40</v>
      </c>
      <c r="O205" s="20">
        <f>_xlfn.XMATCH(tbl_Clean[[#This Row],[Age Band]],{"25-30","31-40","41-50","51-60","61+"})</f>
        <v>2</v>
      </c>
      <c r="P205" s="20" t="str" cm="1">
        <f t="array" ref="P205">_xlfn.IFS(tbl_Clean[[#This Row],[Income]]&lt;=30000,"$10k-30k",tbl_Clean[[#This Row],[Income]]&lt;=60000,"$40k-60k",tbl_Clean[[#This Row],[Income]]&lt;=90000,"$70k-90k",TRUE,"$100k+")</f>
        <v>$40k-60k</v>
      </c>
      <c r="Q205" s="20">
        <f>_xlfn.XMATCH(tbl_Clean[[#This Row],[Income Band]],{"$10k-30k","$40k-60k","$70k-90k","$100k+"})</f>
        <v>2</v>
      </c>
      <c r="R205" s="20" t="str">
        <f>IF(tbl_Clean[[#This Row],[Cars]]&lt;=1,"0-1 Cars","2+ Cars")</f>
        <v>2+ Cars</v>
      </c>
      <c r="S205" s="20">
        <f>_xlfn.XMATCH(tbl_Clean[[#This Row],[Commute Distance]],{"0-1 Miles","1-2 Miles","2-5 Miles","5-10 Miles","10+ Miles"})</f>
        <v>3</v>
      </c>
      <c r="T205" s="20">
        <f>_xlfn.XMATCH(tbl_Clean[[#This Row],[Education]],{"Partial High School","High School","Partial College","Bachelors","Graduate Degree"})</f>
        <v>4</v>
      </c>
      <c r="U205" s="20">
        <f>IF(tbl_Clean[[#This Row],[Purchased Bike]]="Yes",1,0)</f>
        <v>0</v>
      </c>
    </row>
    <row r="206" spans="1:21" x14ac:dyDescent="0.25">
      <c r="A206" s="20">
        <v>12585</v>
      </c>
      <c r="B206" s="3" t="s">
        <v>111</v>
      </c>
      <c r="C206" s="3" t="s">
        <v>113</v>
      </c>
      <c r="D206" s="19">
        <v>10000</v>
      </c>
      <c r="E206" s="20">
        <v>1</v>
      </c>
      <c r="F206" s="3" t="s">
        <v>30</v>
      </c>
      <c r="G206" s="3" t="s">
        <v>28</v>
      </c>
      <c r="H206" s="3" t="s">
        <v>17</v>
      </c>
      <c r="I206" s="20">
        <v>0</v>
      </c>
      <c r="J206" s="3" t="s">
        <v>24</v>
      </c>
      <c r="K206" s="3" t="s">
        <v>27</v>
      </c>
      <c r="L206" s="20">
        <v>27</v>
      </c>
      <c r="M206" s="3" t="s">
        <v>17</v>
      </c>
      <c r="N206" s="20" t="str" cm="1">
        <f t="array" ref="N206">_xlfn.IFS(tbl_Clean[[#This Row],[Age]]&lt;=30,"25-30",tbl_Clean[[#This Row],[Age]]&lt;=40,"31-40",tbl_Clean[[#This Row],[Age]]&lt;=50,"41-50",tbl_Clean[[#This Row],[Age]]&lt;=60,"51-60",TRUE,"61+")</f>
        <v>25-30</v>
      </c>
      <c r="O206" s="20">
        <f>_xlfn.XMATCH(tbl_Clean[[#This Row],[Age Band]],{"25-30","31-40","41-50","51-60","61+"})</f>
        <v>1</v>
      </c>
      <c r="P206" s="20" t="str" cm="1">
        <f t="array" ref="P206">_xlfn.IFS(tbl_Clean[[#This Row],[Income]]&lt;=30000,"$10k-30k",tbl_Clean[[#This Row],[Income]]&lt;=60000,"$40k-60k",tbl_Clean[[#This Row],[Income]]&lt;=90000,"$70k-90k",TRUE,"$100k+")</f>
        <v>$10k-30k</v>
      </c>
      <c r="Q206" s="20">
        <f>_xlfn.XMATCH(tbl_Clean[[#This Row],[Income Band]],{"$10k-30k","$40k-60k","$70k-90k","$100k+"})</f>
        <v>1</v>
      </c>
      <c r="R206" s="20" t="str">
        <f>IF(tbl_Clean[[#This Row],[Cars]]&lt;=1,"0-1 Cars","2+ Cars")</f>
        <v>0-1 Cars</v>
      </c>
      <c r="S206" s="20">
        <f>_xlfn.XMATCH(tbl_Clean[[#This Row],[Commute Distance]],{"0-1 Miles","1-2 Miles","2-5 Miles","5-10 Miles","10+ Miles"})</f>
        <v>3</v>
      </c>
      <c r="T206" s="20">
        <f>_xlfn.XMATCH(tbl_Clean[[#This Row],[Education]],{"Partial High School","High School","Partial College","Bachelors","Graduate Degree"})</f>
        <v>2</v>
      </c>
      <c r="U206" s="20">
        <f>IF(tbl_Clean[[#This Row],[Purchased Bike]]="Yes",1,0)</f>
        <v>1</v>
      </c>
    </row>
    <row r="207" spans="1:21" x14ac:dyDescent="0.25">
      <c r="A207" s="20">
        <v>18626</v>
      </c>
      <c r="B207" s="3" t="s">
        <v>114</v>
      </c>
      <c r="C207" s="3" t="s">
        <v>113</v>
      </c>
      <c r="D207" s="19">
        <v>40000</v>
      </c>
      <c r="E207" s="20">
        <v>2</v>
      </c>
      <c r="F207" s="3" t="s">
        <v>21</v>
      </c>
      <c r="G207" s="3" t="s">
        <v>22</v>
      </c>
      <c r="H207" s="3" t="s">
        <v>17</v>
      </c>
      <c r="I207" s="20">
        <v>0</v>
      </c>
      <c r="J207" s="3" t="s">
        <v>29</v>
      </c>
      <c r="K207" s="3" t="s">
        <v>19</v>
      </c>
      <c r="L207" s="20">
        <v>33</v>
      </c>
      <c r="M207" s="3" t="s">
        <v>17</v>
      </c>
      <c r="N207" s="20" t="str" cm="1">
        <f t="array" ref="N207">_xlfn.IFS(tbl_Clean[[#This Row],[Age]]&lt;=30,"25-30",tbl_Clean[[#This Row],[Age]]&lt;=40,"31-40",tbl_Clean[[#This Row],[Age]]&lt;=50,"41-50",tbl_Clean[[#This Row],[Age]]&lt;=60,"51-60",TRUE,"61+")</f>
        <v>31-40</v>
      </c>
      <c r="O207" s="20">
        <f>_xlfn.XMATCH(tbl_Clean[[#This Row],[Age Band]],{"25-30","31-40","41-50","51-60","61+"})</f>
        <v>2</v>
      </c>
      <c r="P207" s="20" t="str" cm="1">
        <f t="array" ref="P207">_xlfn.IFS(tbl_Clean[[#This Row],[Income]]&lt;=30000,"$10k-30k",tbl_Clean[[#This Row],[Income]]&lt;=60000,"$40k-60k",tbl_Clean[[#This Row],[Income]]&lt;=90000,"$70k-90k",TRUE,"$100k+")</f>
        <v>$40k-60k</v>
      </c>
      <c r="Q207" s="20">
        <f>_xlfn.XMATCH(tbl_Clean[[#This Row],[Income Band]],{"$10k-30k","$40k-60k","$70k-90k","$100k+"})</f>
        <v>2</v>
      </c>
      <c r="R207" s="20" t="str">
        <f>IF(tbl_Clean[[#This Row],[Cars]]&lt;=1,"0-1 Cars","2+ Cars")</f>
        <v>0-1 Cars</v>
      </c>
      <c r="S207" s="20">
        <f>_xlfn.XMATCH(tbl_Clean[[#This Row],[Commute Distance]],{"0-1 Miles","1-2 Miles","2-5 Miles","5-10 Miles","10+ Miles"})</f>
        <v>2</v>
      </c>
      <c r="T207" s="20">
        <f>_xlfn.XMATCH(tbl_Clean[[#This Row],[Education]],{"Partial High School","High School","Partial College","Bachelors","Graduate Degree"})</f>
        <v>3</v>
      </c>
      <c r="U207" s="20">
        <f>IF(tbl_Clean[[#This Row],[Purchased Bike]]="Yes",1,0)</f>
        <v>1</v>
      </c>
    </row>
    <row r="208" spans="1:21" x14ac:dyDescent="0.25">
      <c r="A208" s="20">
        <v>29298</v>
      </c>
      <c r="B208" s="3" t="s">
        <v>114</v>
      </c>
      <c r="C208" s="3" t="s">
        <v>112</v>
      </c>
      <c r="D208" s="19">
        <v>60000</v>
      </c>
      <c r="E208" s="20">
        <v>1</v>
      </c>
      <c r="F208" s="3" t="s">
        <v>21</v>
      </c>
      <c r="G208" s="3" t="s">
        <v>16</v>
      </c>
      <c r="H208" s="3" t="s">
        <v>17</v>
      </c>
      <c r="I208" s="20">
        <v>1</v>
      </c>
      <c r="J208" s="3" t="s">
        <v>26</v>
      </c>
      <c r="K208" s="3" t="s">
        <v>27</v>
      </c>
      <c r="L208" s="20">
        <v>46</v>
      </c>
      <c r="M208" s="3" t="s">
        <v>17</v>
      </c>
      <c r="N208" s="20" t="str" cm="1">
        <f t="array" ref="N208">_xlfn.IFS(tbl_Clean[[#This Row],[Age]]&lt;=30,"25-30",tbl_Clean[[#This Row],[Age]]&lt;=40,"31-40",tbl_Clean[[#This Row],[Age]]&lt;=50,"41-50",tbl_Clean[[#This Row],[Age]]&lt;=60,"51-60",TRUE,"61+")</f>
        <v>41-50</v>
      </c>
      <c r="O208" s="20">
        <f>_xlfn.XMATCH(tbl_Clean[[#This Row],[Age Band]],{"25-30","31-40","41-50","51-60","61+"})</f>
        <v>3</v>
      </c>
      <c r="P208" s="20" t="str" cm="1">
        <f t="array" ref="P208">_xlfn.IFS(tbl_Clean[[#This Row],[Income]]&lt;=30000,"$10k-30k",tbl_Clean[[#This Row],[Income]]&lt;=60000,"$40k-60k",tbl_Clean[[#This Row],[Income]]&lt;=90000,"$70k-90k",TRUE,"$100k+")</f>
        <v>$40k-60k</v>
      </c>
      <c r="Q208" s="20">
        <f>_xlfn.XMATCH(tbl_Clean[[#This Row],[Income Band]],{"$10k-30k","$40k-60k","$70k-90k","$100k+"})</f>
        <v>2</v>
      </c>
      <c r="R208" s="20" t="str">
        <f>IF(tbl_Clean[[#This Row],[Cars]]&lt;=1,"0-1 Cars","2+ Cars")</f>
        <v>0-1 Cars</v>
      </c>
      <c r="S208" s="20">
        <f>_xlfn.XMATCH(tbl_Clean[[#This Row],[Commute Distance]],{"0-1 Miles","1-2 Miles","2-5 Miles","5-10 Miles","10+ Miles"})</f>
        <v>4</v>
      </c>
      <c r="T208" s="20">
        <f>_xlfn.XMATCH(tbl_Clean[[#This Row],[Education]],{"Partial High School","High School","Partial College","Bachelors","Graduate Degree"})</f>
        <v>3</v>
      </c>
      <c r="U208" s="20">
        <f>IF(tbl_Clean[[#This Row],[Purchased Bike]]="Yes",1,0)</f>
        <v>1</v>
      </c>
    </row>
    <row r="209" spans="1:21" x14ac:dyDescent="0.25">
      <c r="A209" s="20">
        <v>24842</v>
      </c>
      <c r="B209" s="3" t="s">
        <v>114</v>
      </c>
      <c r="C209" s="3" t="s">
        <v>112</v>
      </c>
      <c r="D209" s="19">
        <v>90000</v>
      </c>
      <c r="E209" s="20">
        <v>3</v>
      </c>
      <c r="F209" s="3" t="s">
        <v>30</v>
      </c>
      <c r="G209" s="3" t="s">
        <v>23</v>
      </c>
      <c r="H209" s="3" t="s">
        <v>20</v>
      </c>
      <c r="I209" s="20">
        <v>1</v>
      </c>
      <c r="J209" s="3" t="s">
        <v>24</v>
      </c>
      <c r="K209" s="3" t="s">
        <v>19</v>
      </c>
      <c r="L209" s="20">
        <v>51</v>
      </c>
      <c r="M209" s="3" t="s">
        <v>20</v>
      </c>
      <c r="N209" s="20" t="str" cm="1">
        <f t="array" ref="N209">_xlfn.IFS(tbl_Clean[[#This Row],[Age]]&lt;=30,"25-30",tbl_Clean[[#This Row],[Age]]&lt;=40,"31-40",tbl_Clean[[#This Row],[Age]]&lt;=50,"41-50",tbl_Clean[[#This Row],[Age]]&lt;=60,"51-60",TRUE,"61+")</f>
        <v>51-60</v>
      </c>
      <c r="O209" s="20">
        <f>_xlfn.XMATCH(tbl_Clean[[#This Row],[Age Band]],{"25-30","31-40","41-50","51-60","61+"})</f>
        <v>4</v>
      </c>
      <c r="P209" s="20" t="str" cm="1">
        <f t="array" ref="P209">_xlfn.IFS(tbl_Clean[[#This Row],[Income]]&lt;=30000,"$10k-30k",tbl_Clean[[#This Row],[Income]]&lt;=60000,"$40k-60k",tbl_Clean[[#This Row],[Income]]&lt;=90000,"$70k-90k",TRUE,"$100k+")</f>
        <v>$70k-90k</v>
      </c>
      <c r="Q209" s="20">
        <f>_xlfn.XMATCH(tbl_Clean[[#This Row],[Income Band]],{"$10k-30k","$40k-60k","$70k-90k","$100k+"})</f>
        <v>3</v>
      </c>
      <c r="R209" s="20" t="str">
        <f>IF(tbl_Clean[[#This Row],[Cars]]&lt;=1,"0-1 Cars","2+ Cars")</f>
        <v>0-1 Cars</v>
      </c>
      <c r="S209" s="20">
        <f>_xlfn.XMATCH(tbl_Clean[[#This Row],[Commute Distance]],{"0-1 Miles","1-2 Miles","2-5 Miles","5-10 Miles","10+ Miles"})</f>
        <v>3</v>
      </c>
      <c r="T209" s="20">
        <f>_xlfn.XMATCH(tbl_Clean[[#This Row],[Education]],{"Partial High School","High School","Partial College","Bachelors","Graduate Degree"})</f>
        <v>2</v>
      </c>
      <c r="U209" s="20">
        <f>IF(tbl_Clean[[#This Row],[Purchased Bike]]="Yes",1,0)</f>
        <v>0</v>
      </c>
    </row>
    <row r="210" spans="1:21" x14ac:dyDescent="0.25">
      <c r="A210" s="20">
        <v>15657</v>
      </c>
      <c r="B210" s="3" t="s">
        <v>111</v>
      </c>
      <c r="C210" s="3" t="s">
        <v>113</v>
      </c>
      <c r="D210" s="19">
        <v>30000</v>
      </c>
      <c r="E210" s="20">
        <v>3</v>
      </c>
      <c r="F210" s="3" t="s">
        <v>34</v>
      </c>
      <c r="G210" s="3" t="s">
        <v>22</v>
      </c>
      <c r="H210" s="3" t="s">
        <v>17</v>
      </c>
      <c r="I210" s="20">
        <v>0</v>
      </c>
      <c r="J210" s="3" t="s">
        <v>18</v>
      </c>
      <c r="K210" s="3" t="s">
        <v>19</v>
      </c>
      <c r="L210" s="20">
        <v>46</v>
      </c>
      <c r="M210" s="3" t="s">
        <v>17</v>
      </c>
      <c r="N210" s="20" t="str" cm="1">
        <f t="array" ref="N210">_xlfn.IFS(tbl_Clean[[#This Row],[Age]]&lt;=30,"25-30",tbl_Clean[[#This Row],[Age]]&lt;=40,"31-40",tbl_Clean[[#This Row],[Age]]&lt;=50,"41-50",tbl_Clean[[#This Row],[Age]]&lt;=60,"51-60",TRUE,"61+")</f>
        <v>41-50</v>
      </c>
      <c r="O210" s="20">
        <f>_xlfn.XMATCH(tbl_Clean[[#This Row],[Age Band]],{"25-30","31-40","41-50","51-60","61+"})</f>
        <v>3</v>
      </c>
      <c r="P210" s="20" t="str" cm="1">
        <f t="array" ref="P210">_xlfn.IFS(tbl_Clean[[#This Row],[Income]]&lt;=30000,"$10k-30k",tbl_Clean[[#This Row],[Income]]&lt;=60000,"$40k-60k",tbl_Clean[[#This Row],[Income]]&lt;=90000,"$70k-90k",TRUE,"$100k+")</f>
        <v>$10k-30k</v>
      </c>
      <c r="Q210" s="20">
        <f>_xlfn.XMATCH(tbl_Clean[[#This Row],[Income Band]],{"$10k-30k","$40k-60k","$70k-90k","$100k+"})</f>
        <v>1</v>
      </c>
      <c r="R210" s="20" t="str">
        <f>IF(tbl_Clean[[#This Row],[Cars]]&lt;=1,"0-1 Cars","2+ Cars")</f>
        <v>0-1 Cars</v>
      </c>
      <c r="S210" s="20">
        <f>_xlfn.XMATCH(tbl_Clean[[#This Row],[Commute Distance]],{"0-1 Miles","1-2 Miles","2-5 Miles","5-10 Miles","10+ Miles"})</f>
        <v>1</v>
      </c>
      <c r="T210" s="20">
        <f>_xlfn.XMATCH(tbl_Clean[[#This Row],[Education]],{"Partial High School","High School","Partial College","Bachelors","Graduate Degree"})</f>
        <v>5</v>
      </c>
      <c r="U210" s="20">
        <f>IF(tbl_Clean[[#This Row],[Purchased Bike]]="Yes",1,0)</f>
        <v>1</v>
      </c>
    </row>
    <row r="211" spans="1:21" x14ac:dyDescent="0.25">
      <c r="A211" s="20">
        <v>11415</v>
      </c>
      <c r="B211" s="3" t="s">
        <v>114</v>
      </c>
      <c r="C211" s="3" t="s">
        <v>113</v>
      </c>
      <c r="D211" s="19">
        <v>90000</v>
      </c>
      <c r="E211" s="20">
        <v>5</v>
      </c>
      <c r="F211" s="3" t="s">
        <v>21</v>
      </c>
      <c r="G211" s="3" t="s">
        <v>23</v>
      </c>
      <c r="H211" s="3" t="s">
        <v>20</v>
      </c>
      <c r="I211" s="20">
        <v>2</v>
      </c>
      <c r="J211" s="3" t="s">
        <v>33</v>
      </c>
      <c r="K211" s="3" t="s">
        <v>19</v>
      </c>
      <c r="L211" s="20">
        <v>62</v>
      </c>
      <c r="M211" s="3" t="s">
        <v>20</v>
      </c>
      <c r="N211" s="20" t="str" cm="1">
        <f t="array" ref="N211">_xlfn.IFS(tbl_Clean[[#This Row],[Age]]&lt;=30,"25-30",tbl_Clean[[#This Row],[Age]]&lt;=40,"31-40",tbl_Clean[[#This Row],[Age]]&lt;=50,"41-50",tbl_Clean[[#This Row],[Age]]&lt;=60,"51-60",TRUE,"61+")</f>
        <v>61+</v>
      </c>
      <c r="O211" s="20">
        <f>_xlfn.XMATCH(tbl_Clean[[#This Row],[Age Band]],{"25-30","31-40","41-50","51-60","61+"})</f>
        <v>5</v>
      </c>
      <c r="P211" s="20" t="str" cm="1">
        <f t="array" ref="P211">_xlfn.IFS(tbl_Clean[[#This Row],[Income]]&lt;=30000,"$10k-30k",tbl_Clean[[#This Row],[Income]]&lt;=60000,"$40k-60k",tbl_Clean[[#This Row],[Income]]&lt;=90000,"$70k-90k",TRUE,"$100k+")</f>
        <v>$70k-90k</v>
      </c>
      <c r="Q211" s="20">
        <f>_xlfn.XMATCH(tbl_Clean[[#This Row],[Income Band]],{"$10k-30k","$40k-60k","$70k-90k","$100k+"})</f>
        <v>3</v>
      </c>
      <c r="R211" s="20" t="str">
        <f>IF(tbl_Clean[[#This Row],[Cars]]&lt;=1,"0-1 Cars","2+ Cars")</f>
        <v>2+ Cars</v>
      </c>
      <c r="S211" s="20">
        <f>_xlfn.XMATCH(tbl_Clean[[#This Row],[Commute Distance]],{"0-1 Miles","1-2 Miles","2-5 Miles","5-10 Miles","10+ Miles"})</f>
        <v>5</v>
      </c>
      <c r="T211" s="20">
        <f>_xlfn.XMATCH(tbl_Clean[[#This Row],[Education]],{"Partial High School","High School","Partial College","Bachelors","Graduate Degree"})</f>
        <v>3</v>
      </c>
      <c r="U211" s="20">
        <f>IF(tbl_Clean[[#This Row],[Purchased Bike]]="Yes",1,0)</f>
        <v>0</v>
      </c>
    </row>
    <row r="212" spans="1:21" x14ac:dyDescent="0.25">
      <c r="A212" s="20">
        <v>28729</v>
      </c>
      <c r="B212" s="3" t="s">
        <v>114</v>
      </c>
      <c r="C212" s="3" t="s">
        <v>112</v>
      </c>
      <c r="D212" s="19">
        <v>20000</v>
      </c>
      <c r="E212" s="20">
        <v>0</v>
      </c>
      <c r="F212" s="3" t="s">
        <v>32</v>
      </c>
      <c r="G212" s="3" t="s">
        <v>28</v>
      </c>
      <c r="H212" s="3" t="s">
        <v>17</v>
      </c>
      <c r="I212" s="20">
        <v>2</v>
      </c>
      <c r="J212" s="3" t="s">
        <v>29</v>
      </c>
      <c r="K212" s="3" t="s">
        <v>19</v>
      </c>
      <c r="L212" s="20">
        <v>26</v>
      </c>
      <c r="M212" s="3" t="s">
        <v>17</v>
      </c>
      <c r="N212" s="20" t="str" cm="1">
        <f t="array" ref="N212">_xlfn.IFS(tbl_Clean[[#This Row],[Age]]&lt;=30,"25-30",tbl_Clean[[#This Row],[Age]]&lt;=40,"31-40",tbl_Clean[[#This Row],[Age]]&lt;=50,"41-50",tbl_Clean[[#This Row],[Age]]&lt;=60,"51-60",TRUE,"61+")</f>
        <v>25-30</v>
      </c>
      <c r="O212" s="20">
        <f>_xlfn.XMATCH(tbl_Clean[[#This Row],[Age Band]],{"25-30","31-40","41-50","51-60","61+"})</f>
        <v>1</v>
      </c>
      <c r="P212" s="20" t="str" cm="1">
        <f t="array" ref="P212">_xlfn.IFS(tbl_Clean[[#This Row],[Income]]&lt;=30000,"$10k-30k",tbl_Clean[[#This Row],[Income]]&lt;=60000,"$40k-60k",tbl_Clean[[#This Row],[Income]]&lt;=90000,"$70k-90k",TRUE,"$100k+")</f>
        <v>$10k-30k</v>
      </c>
      <c r="Q212" s="20">
        <f>_xlfn.XMATCH(tbl_Clean[[#This Row],[Income Band]],{"$10k-30k","$40k-60k","$70k-90k","$100k+"})</f>
        <v>1</v>
      </c>
      <c r="R212" s="20" t="str">
        <f>IF(tbl_Clean[[#This Row],[Cars]]&lt;=1,"0-1 Cars","2+ Cars")</f>
        <v>2+ Cars</v>
      </c>
      <c r="S212" s="20">
        <f>_xlfn.XMATCH(tbl_Clean[[#This Row],[Commute Distance]],{"0-1 Miles","1-2 Miles","2-5 Miles","5-10 Miles","10+ Miles"})</f>
        <v>2</v>
      </c>
      <c r="T212" s="20">
        <f>_xlfn.XMATCH(tbl_Clean[[#This Row],[Education]],{"Partial High School","High School","Partial College","Bachelors","Graduate Degree"})</f>
        <v>1</v>
      </c>
      <c r="U212" s="20">
        <f>IF(tbl_Clean[[#This Row],[Purchased Bike]]="Yes",1,0)</f>
        <v>1</v>
      </c>
    </row>
    <row r="213" spans="1:21" x14ac:dyDescent="0.25">
      <c r="A213" s="20">
        <v>22633</v>
      </c>
      <c r="B213" s="3" t="s">
        <v>114</v>
      </c>
      <c r="C213" s="3" t="s">
        <v>112</v>
      </c>
      <c r="D213" s="19">
        <v>40000</v>
      </c>
      <c r="E213" s="20">
        <v>0</v>
      </c>
      <c r="F213" s="3" t="s">
        <v>34</v>
      </c>
      <c r="G213" s="3" t="s">
        <v>22</v>
      </c>
      <c r="H213" s="3" t="s">
        <v>17</v>
      </c>
      <c r="I213" s="20">
        <v>0</v>
      </c>
      <c r="J213" s="3" t="s">
        <v>18</v>
      </c>
      <c r="K213" s="3" t="s">
        <v>19</v>
      </c>
      <c r="L213" s="20">
        <v>37</v>
      </c>
      <c r="M213" s="3" t="s">
        <v>17</v>
      </c>
      <c r="N213" s="20" t="str" cm="1">
        <f t="array" ref="N213">_xlfn.IFS(tbl_Clean[[#This Row],[Age]]&lt;=30,"25-30",tbl_Clean[[#This Row],[Age]]&lt;=40,"31-40",tbl_Clean[[#This Row],[Age]]&lt;=50,"41-50",tbl_Clean[[#This Row],[Age]]&lt;=60,"51-60",TRUE,"61+")</f>
        <v>31-40</v>
      </c>
      <c r="O213" s="20">
        <f>_xlfn.XMATCH(tbl_Clean[[#This Row],[Age Band]],{"25-30","31-40","41-50","51-60","61+"})</f>
        <v>2</v>
      </c>
      <c r="P213" s="20" t="str" cm="1">
        <f t="array" ref="P213">_xlfn.IFS(tbl_Clean[[#This Row],[Income]]&lt;=30000,"$10k-30k",tbl_Clean[[#This Row],[Income]]&lt;=60000,"$40k-60k",tbl_Clean[[#This Row],[Income]]&lt;=90000,"$70k-90k",TRUE,"$100k+")</f>
        <v>$40k-60k</v>
      </c>
      <c r="Q213" s="20">
        <f>_xlfn.XMATCH(tbl_Clean[[#This Row],[Income Band]],{"$10k-30k","$40k-60k","$70k-90k","$100k+"})</f>
        <v>2</v>
      </c>
      <c r="R213" s="20" t="str">
        <f>IF(tbl_Clean[[#This Row],[Cars]]&lt;=1,"0-1 Cars","2+ Cars")</f>
        <v>0-1 Cars</v>
      </c>
      <c r="S213" s="20">
        <f>_xlfn.XMATCH(tbl_Clean[[#This Row],[Commute Distance]],{"0-1 Miles","1-2 Miles","2-5 Miles","5-10 Miles","10+ Miles"})</f>
        <v>1</v>
      </c>
      <c r="T213" s="20">
        <f>_xlfn.XMATCH(tbl_Clean[[#This Row],[Education]],{"Partial High School","High School","Partial College","Bachelors","Graduate Degree"})</f>
        <v>5</v>
      </c>
      <c r="U213" s="20">
        <f>IF(tbl_Clean[[#This Row],[Purchased Bike]]="Yes",1,0)</f>
        <v>1</v>
      </c>
    </row>
    <row r="214" spans="1:21" x14ac:dyDescent="0.25">
      <c r="A214" s="20">
        <v>25649</v>
      </c>
      <c r="B214" s="3" t="s">
        <v>114</v>
      </c>
      <c r="C214" s="3" t="s">
        <v>112</v>
      </c>
      <c r="D214" s="19">
        <v>30000</v>
      </c>
      <c r="E214" s="20">
        <v>3</v>
      </c>
      <c r="F214" s="3" t="s">
        <v>21</v>
      </c>
      <c r="G214" s="3" t="s">
        <v>22</v>
      </c>
      <c r="H214" s="3" t="s">
        <v>17</v>
      </c>
      <c r="I214" s="20">
        <v>0</v>
      </c>
      <c r="J214" s="3" t="s">
        <v>18</v>
      </c>
      <c r="K214" s="3" t="s">
        <v>19</v>
      </c>
      <c r="L214" s="20">
        <v>42</v>
      </c>
      <c r="M214" s="3" t="s">
        <v>17</v>
      </c>
      <c r="N214" s="20" t="str" cm="1">
        <f t="array" ref="N214">_xlfn.IFS(tbl_Clean[[#This Row],[Age]]&lt;=30,"25-30",tbl_Clean[[#This Row],[Age]]&lt;=40,"31-40",tbl_Clean[[#This Row],[Age]]&lt;=50,"41-50",tbl_Clean[[#This Row],[Age]]&lt;=60,"51-60",TRUE,"61+")</f>
        <v>41-50</v>
      </c>
      <c r="O214" s="20">
        <f>_xlfn.XMATCH(tbl_Clean[[#This Row],[Age Band]],{"25-30","31-40","41-50","51-60","61+"})</f>
        <v>3</v>
      </c>
      <c r="P214" s="20" t="str" cm="1">
        <f t="array" ref="P214">_xlfn.IFS(tbl_Clean[[#This Row],[Income]]&lt;=30000,"$10k-30k",tbl_Clean[[#This Row],[Income]]&lt;=60000,"$40k-60k",tbl_Clean[[#This Row],[Income]]&lt;=90000,"$70k-90k",TRUE,"$100k+")</f>
        <v>$10k-30k</v>
      </c>
      <c r="Q214" s="20">
        <f>_xlfn.XMATCH(tbl_Clean[[#This Row],[Income Band]],{"$10k-30k","$40k-60k","$70k-90k","$100k+"})</f>
        <v>1</v>
      </c>
      <c r="R214" s="20" t="str">
        <f>IF(tbl_Clean[[#This Row],[Cars]]&lt;=1,"0-1 Cars","2+ Cars")</f>
        <v>0-1 Cars</v>
      </c>
      <c r="S214" s="20">
        <f>_xlfn.XMATCH(tbl_Clean[[#This Row],[Commute Distance]],{"0-1 Miles","1-2 Miles","2-5 Miles","5-10 Miles","10+ Miles"})</f>
        <v>1</v>
      </c>
      <c r="T214" s="20">
        <f>_xlfn.XMATCH(tbl_Clean[[#This Row],[Education]],{"Partial High School","High School","Partial College","Bachelors","Graduate Degree"})</f>
        <v>3</v>
      </c>
      <c r="U214" s="20">
        <f>IF(tbl_Clean[[#This Row],[Purchased Bike]]="Yes",1,0)</f>
        <v>1</v>
      </c>
    </row>
    <row r="215" spans="1:21" x14ac:dyDescent="0.25">
      <c r="A215" s="20">
        <v>14669</v>
      </c>
      <c r="B215" s="3" t="s">
        <v>111</v>
      </c>
      <c r="C215" s="3" t="s">
        <v>112</v>
      </c>
      <c r="D215" s="19">
        <v>80000</v>
      </c>
      <c r="E215" s="20">
        <v>4</v>
      </c>
      <c r="F215" s="3" t="s">
        <v>34</v>
      </c>
      <c r="G215" s="3" t="s">
        <v>31</v>
      </c>
      <c r="H215" s="3" t="s">
        <v>17</v>
      </c>
      <c r="I215" s="20">
        <v>1</v>
      </c>
      <c r="J215" s="3" t="s">
        <v>18</v>
      </c>
      <c r="K215" s="3" t="s">
        <v>27</v>
      </c>
      <c r="L215" s="20">
        <v>36</v>
      </c>
      <c r="M215" s="3" t="s">
        <v>20</v>
      </c>
      <c r="N215" s="20" t="str" cm="1">
        <f t="array" ref="N215">_xlfn.IFS(tbl_Clean[[#This Row],[Age]]&lt;=30,"25-30",tbl_Clean[[#This Row],[Age]]&lt;=40,"31-40",tbl_Clean[[#This Row],[Age]]&lt;=50,"41-50",tbl_Clean[[#This Row],[Age]]&lt;=60,"51-60",TRUE,"61+")</f>
        <v>31-40</v>
      </c>
      <c r="O215" s="20">
        <f>_xlfn.XMATCH(tbl_Clean[[#This Row],[Age Band]],{"25-30","31-40","41-50","51-60","61+"})</f>
        <v>2</v>
      </c>
      <c r="P215" s="20" t="str" cm="1">
        <f t="array" ref="P215">_xlfn.IFS(tbl_Clean[[#This Row],[Income]]&lt;=30000,"$10k-30k",tbl_Clean[[#This Row],[Income]]&lt;=60000,"$40k-60k",tbl_Clean[[#This Row],[Income]]&lt;=90000,"$70k-90k",TRUE,"$100k+")</f>
        <v>$70k-90k</v>
      </c>
      <c r="Q215" s="20">
        <f>_xlfn.XMATCH(tbl_Clean[[#This Row],[Income Band]],{"$10k-30k","$40k-60k","$70k-90k","$100k+"})</f>
        <v>3</v>
      </c>
      <c r="R215" s="20" t="str">
        <f>IF(tbl_Clean[[#This Row],[Cars]]&lt;=1,"0-1 Cars","2+ Cars")</f>
        <v>0-1 Cars</v>
      </c>
      <c r="S215" s="20">
        <f>_xlfn.XMATCH(tbl_Clean[[#This Row],[Commute Distance]],{"0-1 Miles","1-2 Miles","2-5 Miles","5-10 Miles","10+ Miles"})</f>
        <v>1</v>
      </c>
      <c r="T215" s="20">
        <f>_xlfn.XMATCH(tbl_Clean[[#This Row],[Education]],{"Partial High School","High School","Partial College","Bachelors","Graduate Degree"})</f>
        <v>5</v>
      </c>
      <c r="U215" s="20">
        <f>IF(tbl_Clean[[#This Row],[Purchased Bike]]="Yes",1,0)</f>
        <v>0</v>
      </c>
    </row>
    <row r="216" spans="1:21" x14ac:dyDescent="0.25">
      <c r="A216" s="20">
        <v>19299</v>
      </c>
      <c r="B216" s="3" t="s">
        <v>111</v>
      </c>
      <c r="C216" s="3" t="s">
        <v>112</v>
      </c>
      <c r="D216" s="19">
        <v>50000</v>
      </c>
      <c r="E216" s="20">
        <v>0</v>
      </c>
      <c r="F216" s="3" t="s">
        <v>34</v>
      </c>
      <c r="G216" s="3" t="s">
        <v>16</v>
      </c>
      <c r="H216" s="3" t="s">
        <v>17</v>
      </c>
      <c r="I216" s="20">
        <v>0</v>
      </c>
      <c r="J216" s="3" t="s">
        <v>18</v>
      </c>
      <c r="K216" s="3" t="s">
        <v>19</v>
      </c>
      <c r="L216" s="20">
        <v>36</v>
      </c>
      <c r="M216" s="3" t="s">
        <v>17</v>
      </c>
      <c r="N216" s="20" t="str" cm="1">
        <f t="array" ref="N216">_xlfn.IFS(tbl_Clean[[#This Row],[Age]]&lt;=30,"25-30",tbl_Clean[[#This Row],[Age]]&lt;=40,"31-40",tbl_Clean[[#This Row],[Age]]&lt;=50,"41-50",tbl_Clean[[#This Row],[Age]]&lt;=60,"51-60",TRUE,"61+")</f>
        <v>31-40</v>
      </c>
      <c r="O216" s="20">
        <f>_xlfn.XMATCH(tbl_Clean[[#This Row],[Age Band]],{"25-30","31-40","41-50","51-60","61+"})</f>
        <v>2</v>
      </c>
      <c r="P216" s="20" t="str" cm="1">
        <f t="array" ref="P216">_xlfn.IFS(tbl_Clean[[#This Row],[Income]]&lt;=30000,"$10k-30k",tbl_Clean[[#This Row],[Income]]&lt;=60000,"$40k-60k",tbl_Clean[[#This Row],[Income]]&lt;=90000,"$70k-90k",TRUE,"$100k+")</f>
        <v>$40k-60k</v>
      </c>
      <c r="Q216" s="20">
        <f>_xlfn.XMATCH(tbl_Clean[[#This Row],[Income Band]],{"$10k-30k","$40k-60k","$70k-90k","$100k+"})</f>
        <v>2</v>
      </c>
      <c r="R216" s="20" t="str">
        <f>IF(tbl_Clean[[#This Row],[Cars]]&lt;=1,"0-1 Cars","2+ Cars")</f>
        <v>0-1 Cars</v>
      </c>
      <c r="S216" s="20">
        <f>_xlfn.XMATCH(tbl_Clean[[#This Row],[Commute Distance]],{"0-1 Miles","1-2 Miles","2-5 Miles","5-10 Miles","10+ Miles"})</f>
        <v>1</v>
      </c>
      <c r="T216" s="20">
        <f>_xlfn.XMATCH(tbl_Clean[[#This Row],[Education]],{"Partial High School","High School","Partial College","Bachelors","Graduate Degree"})</f>
        <v>5</v>
      </c>
      <c r="U216" s="20">
        <f>IF(tbl_Clean[[#This Row],[Purchased Bike]]="Yes",1,0)</f>
        <v>1</v>
      </c>
    </row>
    <row r="217" spans="1:21" x14ac:dyDescent="0.25">
      <c r="A217" s="20">
        <v>20946</v>
      </c>
      <c r="B217" s="3" t="s">
        <v>114</v>
      </c>
      <c r="C217" s="3" t="s">
        <v>112</v>
      </c>
      <c r="D217" s="19">
        <v>30000</v>
      </c>
      <c r="E217" s="20">
        <v>0</v>
      </c>
      <c r="F217" s="3" t="s">
        <v>21</v>
      </c>
      <c r="G217" s="3" t="s">
        <v>22</v>
      </c>
      <c r="H217" s="3" t="s">
        <v>20</v>
      </c>
      <c r="I217" s="20">
        <v>1</v>
      </c>
      <c r="J217" s="3" t="s">
        <v>24</v>
      </c>
      <c r="K217" s="3" t="s">
        <v>19</v>
      </c>
      <c r="L217" s="20">
        <v>30</v>
      </c>
      <c r="M217" s="3" t="s">
        <v>20</v>
      </c>
      <c r="N217" s="20" t="str" cm="1">
        <f t="array" ref="N217">_xlfn.IFS(tbl_Clean[[#This Row],[Age]]&lt;=30,"25-30",tbl_Clean[[#This Row],[Age]]&lt;=40,"31-40",tbl_Clean[[#This Row],[Age]]&lt;=50,"41-50",tbl_Clean[[#This Row],[Age]]&lt;=60,"51-60",TRUE,"61+")</f>
        <v>25-30</v>
      </c>
      <c r="O217" s="20">
        <f>_xlfn.XMATCH(tbl_Clean[[#This Row],[Age Band]],{"25-30","31-40","41-50","51-60","61+"})</f>
        <v>1</v>
      </c>
      <c r="P217" s="20" t="str" cm="1">
        <f t="array" ref="P217">_xlfn.IFS(tbl_Clean[[#This Row],[Income]]&lt;=30000,"$10k-30k",tbl_Clean[[#This Row],[Income]]&lt;=60000,"$40k-60k",tbl_Clean[[#This Row],[Income]]&lt;=90000,"$70k-90k",TRUE,"$100k+")</f>
        <v>$10k-30k</v>
      </c>
      <c r="Q217" s="20">
        <f>_xlfn.XMATCH(tbl_Clean[[#This Row],[Income Band]],{"$10k-30k","$40k-60k","$70k-90k","$100k+"})</f>
        <v>1</v>
      </c>
      <c r="R217" s="20" t="str">
        <f>IF(tbl_Clean[[#This Row],[Cars]]&lt;=1,"0-1 Cars","2+ Cars")</f>
        <v>0-1 Cars</v>
      </c>
      <c r="S217" s="20">
        <f>_xlfn.XMATCH(tbl_Clean[[#This Row],[Commute Distance]],{"0-1 Miles","1-2 Miles","2-5 Miles","5-10 Miles","10+ Miles"})</f>
        <v>3</v>
      </c>
      <c r="T217" s="20">
        <f>_xlfn.XMATCH(tbl_Clean[[#This Row],[Education]],{"Partial High School","High School","Partial College","Bachelors","Graduate Degree"})</f>
        <v>3</v>
      </c>
      <c r="U217" s="20">
        <f>IF(tbl_Clean[[#This Row],[Purchased Bike]]="Yes",1,0)</f>
        <v>0</v>
      </c>
    </row>
    <row r="218" spans="1:21" x14ac:dyDescent="0.25">
      <c r="A218" s="20">
        <v>11451</v>
      </c>
      <c r="B218" s="3" t="s">
        <v>114</v>
      </c>
      <c r="C218" s="3" t="s">
        <v>113</v>
      </c>
      <c r="D218" s="19">
        <v>70000</v>
      </c>
      <c r="E218" s="20">
        <v>0</v>
      </c>
      <c r="F218" s="3" t="s">
        <v>15</v>
      </c>
      <c r="G218" s="3" t="s">
        <v>23</v>
      </c>
      <c r="H218" s="3" t="s">
        <v>20</v>
      </c>
      <c r="I218" s="20">
        <v>4</v>
      </c>
      <c r="J218" s="3" t="s">
        <v>33</v>
      </c>
      <c r="K218" s="3" t="s">
        <v>27</v>
      </c>
      <c r="L218" s="20">
        <v>31</v>
      </c>
      <c r="M218" s="3" t="s">
        <v>17</v>
      </c>
      <c r="N218" s="20" t="str" cm="1">
        <f t="array" ref="N218">_xlfn.IFS(tbl_Clean[[#This Row],[Age]]&lt;=30,"25-30",tbl_Clean[[#This Row],[Age]]&lt;=40,"31-40",tbl_Clean[[#This Row],[Age]]&lt;=50,"41-50",tbl_Clean[[#This Row],[Age]]&lt;=60,"51-60",TRUE,"61+")</f>
        <v>31-40</v>
      </c>
      <c r="O218" s="20">
        <f>_xlfn.XMATCH(tbl_Clean[[#This Row],[Age Band]],{"25-30","31-40","41-50","51-60","61+"})</f>
        <v>2</v>
      </c>
      <c r="P218" s="20" t="str" cm="1">
        <f t="array" ref="P218">_xlfn.IFS(tbl_Clean[[#This Row],[Income]]&lt;=30000,"$10k-30k",tbl_Clean[[#This Row],[Income]]&lt;=60000,"$40k-60k",tbl_Clean[[#This Row],[Income]]&lt;=90000,"$70k-90k",TRUE,"$100k+")</f>
        <v>$70k-90k</v>
      </c>
      <c r="Q218" s="20">
        <f>_xlfn.XMATCH(tbl_Clean[[#This Row],[Income Band]],{"$10k-30k","$40k-60k","$70k-90k","$100k+"})</f>
        <v>3</v>
      </c>
      <c r="R218" s="20" t="str">
        <f>IF(tbl_Clean[[#This Row],[Cars]]&lt;=1,"0-1 Cars","2+ Cars")</f>
        <v>2+ Cars</v>
      </c>
      <c r="S218" s="20">
        <f>_xlfn.XMATCH(tbl_Clean[[#This Row],[Commute Distance]],{"0-1 Miles","1-2 Miles","2-5 Miles","5-10 Miles","10+ Miles"})</f>
        <v>5</v>
      </c>
      <c r="T218" s="20">
        <f>_xlfn.XMATCH(tbl_Clean[[#This Row],[Education]],{"Partial High School","High School","Partial College","Bachelors","Graduate Degree"})</f>
        <v>4</v>
      </c>
      <c r="U218" s="20">
        <f>IF(tbl_Clean[[#This Row],[Purchased Bike]]="Yes",1,0)</f>
        <v>1</v>
      </c>
    </row>
    <row r="219" spans="1:21" x14ac:dyDescent="0.25">
      <c r="A219" s="20">
        <v>25553</v>
      </c>
      <c r="B219" s="3" t="s">
        <v>111</v>
      </c>
      <c r="C219" s="3" t="s">
        <v>113</v>
      </c>
      <c r="D219" s="19">
        <v>30000</v>
      </c>
      <c r="E219" s="20">
        <v>1</v>
      </c>
      <c r="F219" s="3" t="s">
        <v>15</v>
      </c>
      <c r="G219" s="3" t="s">
        <v>22</v>
      </c>
      <c r="H219" s="3" t="s">
        <v>17</v>
      </c>
      <c r="I219" s="20">
        <v>0</v>
      </c>
      <c r="J219" s="3" t="s">
        <v>18</v>
      </c>
      <c r="K219" s="3" t="s">
        <v>19</v>
      </c>
      <c r="L219" s="20">
        <v>65</v>
      </c>
      <c r="M219" s="3" t="s">
        <v>17</v>
      </c>
      <c r="N219" s="20" t="str" cm="1">
        <f t="array" ref="N219">_xlfn.IFS(tbl_Clean[[#This Row],[Age]]&lt;=30,"25-30",tbl_Clean[[#This Row],[Age]]&lt;=40,"31-40",tbl_Clean[[#This Row],[Age]]&lt;=50,"41-50",tbl_Clean[[#This Row],[Age]]&lt;=60,"51-60",TRUE,"61+")</f>
        <v>61+</v>
      </c>
      <c r="O219" s="20">
        <f>_xlfn.XMATCH(tbl_Clean[[#This Row],[Age Band]],{"25-30","31-40","41-50","51-60","61+"})</f>
        <v>5</v>
      </c>
      <c r="P219" s="20" t="str" cm="1">
        <f t="array" ref="P219">_xlfn.IFS(tbl_Clean[[#This Row],[Income]]&lt;=30000,"$10k-30k",tbl_Clean[[#This Row],[Income]]&lt;=60000,"$40k-60k",tbl_Clean[[#This Row],[Income]]&lt;=90000,"$70k-90k",TRUE,"$100k+")</f>
        <v>$10k-30k</v>
      </c>
      <c r="Q219" s="20">
        <f>_xlfn.XMATCH(tbl_Clean[[#This Row],[Income Band]],{"$10k-30k","$40k-60k","$70k-90k","$100k+"})</f>
        <v>1</v>
      </c>
      <c r="R219" s="20" t="str">
        <f>IF(tbl_Clean[[#This Row],[Cars]]&lt;=1,"0-1 Cars","2+ Cars")</f>
        <v>0-1 Cars</v>
      </c>
      <c r="S219" s="20">
        <f>_xlfn.XMATCH(tbl_Clean[[#This Row],[Commute Distance]],{"0-1 Miles","1-2 Miles","2-5 Miles","5-10 Miles","10+ Miles"})</f>
        <v>1</v>
      </c>
      <c r="T219" s="20">
        <f>_xlfn.XMATCH(tbl_Clean[[#This Row],[Education]],{"Partial High School","High School","Partial College","Bachelors","Graduate Degree"})</f>
        <v>4</v>
      </c>
      <c r="U219" s="20">
        <f>IF(tbl_Clean[[#This Row],[Purchased Bike]]="Yes",1,0)</f>
        <v>1</v>
      </c>
    </row>
    <row r="220" spans="1:21" x14ac:dyDescent="0.25">
      <c r="A220" s="20">
        <v>27951</v>
      </c>
      <c r="B220" s="3" t="s">
        <v>114</v>
      </c>
      <c r="C220" s="3" t="s">
        <v>113</v>
      </c>
      <c r="D220" s="19">
        <v>80000</v>
      </c>
      <c r="E220" s="20">
        <v>4</v>
      </c>
      <c r="F220" s="3" t="s">
        <v>21</v>
      </c>
      <c r="G220" s="3" t="s">
        <v>23</v>
      </c>
      <c r="H220" s="3" t="s">
        <v>20</v>
      </c>
      <c r="I220" s="20">
        <v>2</v>
      </c>
      <c r="J220" s="3" t="s">
        <v>24</v>
      </c>
      <c r="K220" s="3" t="s">
        <v>19</v>
      </c>
      <c r="L220" s="20">
        <v>54</v>
      </c>
      <c r="M220" s="3" t="s">
        <v>17</v>
      </c>
      <c r="N220" s="20" t="str" cm="1">
        <f t="array" ref="N220">_xlfn.IFS(tbl_Clean[[#This Row],[Age]]&lt;=30,"25-30",tbl_Clean[[#This Row],[Age]]&lt;=40,"31-40",tbl_Clean[[#This Row],[Age]]&lt;=50,"41-50",tbl_Clean[[#This Row],[Age]]&lt;=60,"51-60",TRUE,"61+")</f>
        <v>51-60</v>
      </c>
      <c r="O220" s="20">
        <f>_xlfn.XMATCH(tbl_Clean[[#This Row],[Age Band]],{"25-30","31-40","41-50","51-60","61+"})</f>
        <v>4</v>
      </c>
      <c r="P220" s="20" t="str" cm="1">
        <f t="array" ref="P220">_xlfn.IFS(tbl_Clean[[#This Row],[Income]]&lt;=30000,"$10k-30k",tbl_Clean[[#This Row],[Income]]&lt;=60000,"$40k-60k",tbl_Clean[[#This Row],[Income]]&lt;=90000,"$70k-90k",TRUE,"$100k+")</f>
        <v>$70k-90k</v>
      </c>
      <c r="Q220" s="20">
        <f>_xlfn.XMATCH(tbl_Clean[[#This Row],[Income Band]],{"$10k-30k","$40k-60k","$70k-90k","$100k+"})</f>
        <v>3</v>
      </c>
      <c r="R220" s="20" t="str">
        <f>IF(tbl_Clean[[#This Row],[Cars]]&lt;=1,"0-1 Cars","2+ Cars")</f>
        <v>2+ Cars</v>
      </c>
      <c r="S220" s="20">
        <f>_xlfn.XMATCH(tbl_Clean[[#This Row],[Commute Distance]],{"0-1 Miles","1-2 Miles","2-5 Miles","5-10 Miles","10+ Miles"})</f>
        <v>3</v>
      </c>
      <c r="T220" s="20">
        <f>_xlfn.XMATCH(tbl_Clean[[#This Row],[Education]],{"Partial High School","High School","Partial College","Bachelors","Graduate Degree"})</f>
        <v>3</v>
      </c>
      <c r="U220" s="20">
        <f>IF(tbl_Clean[[#This Row],[Purchased Bike]]="Yes",1,0)</f>
        <v>1</v>
      </c>
    </row>
    <row r="221" spans="1:21" x14ac:dyDescent="0.25">
      <c r="A221" s="20">
        <v>25026</v>
      </c>
      <c r="B221" s="3" t="s">
        <v>111</v>
      </c>
      <c r="C221" s="3" t="s">
        <v>113</v>
      </c>
      <c r="D221" s="19">
        <v>20000</v>
      </c>
      <c r="E221" s="20">
        <v>2</v>
      </c>
      <c r="F221" s="3" t="s">
        <v>32</v>
      </c>
      <c r="G221" s="3" t="s">
        <v>22</v>
      </c>
      <c r="H221" s="3" t="s">
        <v>17</v>
      </c>
      <c r="I221" s="20">
        <v>3</v>
      </c>
      <c r="J221" s="3" t="s">
        <v>26</v>
      </c>
      <c r="K221" s="3" t="s">
        <v>27</v>
      </c>
      <c r="L221" s="20">
        <v>54</v>
      </c>
      <c r="M221" s="3" t="s">
        <v>20</v>
      </c>
      <c r="N221" s="20" t="str" cm="1">
        <f t="array" ref="N221">_xlfn.IFS(tbl_Clean[[#This Row],[Age]]&lt;=30,"25-30",tbl_Clean[[#This Row],[Age]]&lt;=40,"31-40",tbl_Clean[[#This Row],[Age]]&lt;=50,"41-50",tbl_Clean[[#This Row],[Age]]&lt;=60,"51-60",TRUE,"61+")</f>
        <v>51-60</v>
      </c>
      <c r="O221" s="20">
        <f>_xlfn.XMATCH(tbl_Clean[[#This Row],[Age Band]],{"25-30","31-40","41-50","51-60","61+"})</f>
        <v>4</v>
      </c>
      <c r="P221" s="20" t="str" cm="1">
        <f t="array" ref="P221">_xlfn.IFS(tbl_Clean[[#This Row],[Income]]&lt;=30000,"$10k-30k",tbl_Clean[[#This Row],[Income]]&lt;=60000,"$40k-60k",tbl_Clean[[#This Row],[Income]]&lt;=90000,"$70k-90k",TRUE,"$100k+")</f>
        <v>$10k-30k</v>
      </c>
      <c r="Q221" s="20">
        <f>_xlfn.XMATCH(tbl_Clean[[#This Row],[Income Band]],{"$10k-30k","$40k-60k","$70k-90k","$100k+"})</f>
        <v>1</v>
      </c>
      <c r="R221" s="20" t="str">
        <f>IF(tbl_Clean[[#This Row],[Cars]]&lt;=1,"0-1 Cars","2+ Cars")</f>
        <v>2+ Cars</v>
      </c>
      <c r="S221" s="20">
        <f>_xlfn.XMATCH(tbl_Clean[[#This Row],[Commute Distance]],{"0-1 Miles","1-2 Miles","2-5 Miles","5-10 Miles","10+ Miles"})</f>
        <v>4</v>
      </c>
      <c r="T221" s="20">
        <f>_xlfn.XMATCH(tbl_Clean[[#This Row],[Education]],{"Partial High School","High School","Partial College","Bachelors","Graduate Degree"})</f>
        <v>1</v>
      </c>
      <c r="U221" s="20">
        <f>IF(tbl_Clean[[#This Row],[Purchased Bike]]="Yes",1,0)</f>
        <v>0</v>
      </c>
    </row>
    <row r="222" spans="1:21" x14ac:dyDescent="0.25">
      <c r="A222" s="20">
        <v>13673</v>
      </c>
      <c r="B222" s="3" t="s">
        <v>114</v>
      </c>
      <c r="C222" s="3" t="s">
        <v>112</v>
      </c>
      <c r="D222" s="19">
        <v>20000</v>
      </c>
      <c r="E222" s="20">
        <v>0</v>
      </c>
      <c r="F222" s="3" t="s">
        <v>32</v>
      </c>
      <c r="G222" s="3" t="s">
        <v>28</v>
      </c>
      <c r="H222" s="3" t="s">
        <v>20</v>
      </c>
      <c r="I222" s="20">
        <v>2</v>
      </c>
      <c r="J222" s="3" t="s">
        <v>18</v>
      </c>
      <c r="K222" s="3" t="s">
        <v>19</v>
      </c>
      <c r="L222" s="20">
        <v>25</v>
      </c>
      <c r="M222" s="3" t="s">
        <v>20</v>
      </c>
      <c r="N222" s="20" t="str" cm="1">
        <f t="array" ref="N222">_xlfn.IFS(tbl_Clean[[#This Row],[Age]]&lt;=30,"25-30",tbl_Clean[[#This Row],[Age]]&lt;=40,"31-40",tbl_Clean[[#This Row],[Age]]&lt;=50,"41-50",tbl_Clean[[#This Row],[Age]]&lt;=60,"51-60",TRUE,"61+")</f>
        <v>25-30</v>
      </c>
      <c r="O222" s="20">
        <f>_xlfn.XMATCH(tbl_Clean[[#This Row],[Age Band]],{"25-30","31-40","41-50","51-60","61+"})</f>
        <v>1</v>
      </c>
      <c r="P222" s="20" t="str" cm="1">
        <f t="array" ref="P222">_xlfn.IFS(tbl_Clean[[#This Row],[Income]]&lt;=30000,"$10k-30k",tbl_Clean[[#This Row],[Income]]&lt;=60000,"$40k-60k",tbl_Clean[[#This Row],[Income]]&lt;=90000,"$70k-90k",TRUE,"$100k+")</f>
        <v>$10k-30k</v>
      </c>
      <c r="Q222" s="20">
        <f>_xlfn.XMATCH(tbl_Clean[[#This Row],[Income Band]],{"$10k-30k","$40k-60k","$70k-90k","$100k+"})</f>
        <v>1</v>
      </c>
      <c r="R222" s="20" t="str">
        <f>IF(tbl_Clean[[#This Row],[Cars]]&lt;=1,"0-1 Cars","2+ Cars")</f>
        <v>2+ Cars</v>
      </c>
      <c r="S222" s="20">
        <f>_xlfn.XMATCH(tbl_Clean[[#This Row],[Commute Distance]],{"0-1 Miles","1-2 Miles","2-5 Miles","5-10 Miles","10+ Miles"})</f>
        <v>1</v>
      </c>
      <c r="T222" s="20">
        <f>_xlfn.XMATCH(tbl_Clean[[#This Row],[Education]],{"Partial High School","High School","Partial College","Bachelors","Graduate Degree"})</f>
        <v>1</v>
      </c>
      <c r="U222" s="20">
        <f>IF(tbl_Clean[[#This Row],[Purchased Bike]]="Yes",1,0)</f>
        <v>0</v>
      </c>
    </row>
    <row r="223" spans="1:21" x14ac:dyDescent="0.25">
      <c r="A223" s="20">
        <v>16043</v>
      </c>
      <c r="B223" s="3" t="s">
        <v>114</v>
      </c>
      <c r="C223" s="3" t="s">
        <v>113</v>
      </c>
      <c r="D223" s="19">
        <v>10000</v>
      </c>
      <c r="E223" s="20">
        <v>1</v>
      </c>
      <c r="F223" s="3" t="s">
        <v>15</v>
      </c>
      <c r="G223" s="3" t="s">
        <v>28</v>
      </c>
      <c r="H223" s="3" t="s">
        <v>17</v>
      </c>
      <c r="I223" s="20">
        <v>0</v>
      </c>
      <c r="J223" s="3" t="s">
        <v>18</v>
      </c>
      <c r="K223" s="3" t="s">
        <v>19</v>
      </c>
      <c r="L223" s="20">
        <v>48</v>
      </c>
      <c r="M223" s="3" t="s">
        <v>20</v>
      </c>
      <c r="N223" s="20" t="str" cm="1">
        <f t="array" ref="N223">_xlfn.IFS(tbl_Clean[[#This Row],[Age]]&lt;=30,"25-30",tbl_Clean[[#This Row],[Age]]&lt;=40,"31-40",tbl_Clean[[#This Row],[Age]]&lt;=50,"41-50",tbl_Clean[[#This Row],[Age]]&lt;=60,"51-60",TRUE,"61+")</f>
        <v>41-50</v>
      </c>
      <c r="O223" s="20">
        <f>_xlfn.XMATCH(tbl_Clean[[#This Row],[Age Band]],{"25-30","31-40","41-50","51-60","61+"})</f>
        <v>3</v>
      </c>
      <c r="P223" s="20" t="str" cm="1">
        <f t="array" ref="P223">_xlfn.IFS(tbl_Clean[[#This Row],[Income]]&lt;=30000,"$10k-30k",tbl_Clean[[#This Row],[Income]]&lt;=60000,"$40k-60k",tbl_Clean[[#This Row],[Income]]&lt;=90000,"$70k-90k",TRUE,"$100k+")</f>
        <v>$10k-30k</v>
      </c>
      <c r="Q223" s="20">
        <f>_xlfn.XMATCH(tbl_Clean[[#This Row],[Income Band]],{"$10k-30k","$40k-60k","$70k-90k","$100k+"})</f>
        <v>1</v>
      </c>
      <c r="R223" s="20" t="str">
        <f>IF(tbl_Clean[[#This Row],[Cars]]&lt;=1,"0-1 Cars","2+ Cars")</f>
        <v>0-1 Cars</v>
      </c>
      <c r="S223" s="20">
        <f>_xlfn.XMATCH(tbl_Clean[[#This Row],[Commute Distance]],{"0-1 Miles","1-2 Miles","2-5 Miles","5-10 Miles","10+ Miles"})</f>
        <v>1</v>
      </c>
      <c r="T223" s="20">
        <f>_xlfn.XMATCH(tbl_Clean[[#This Row],[Education]],{"Partial High School","High School","Partial College","Bachelors","Graduate Degree"})</f>
        <v>4</v>
      </c>
      <c r="U223" s="20">
        <f>IF(tbl_Clean[[#This Row],[Purchased Bike]]="Yes",1,0)</f>
        <v>0</v>
      </c>
    </row>
    <row r="224" spans="1:21" x14ac:dyDescent="0.25">
      <c r="A224" s="20">
        <v>22399</v>
      </c>
      <c r="B224" s="3" t="s">
        <v>114</v>
      </c>
      <c r="C224" s="3" t="s">
        <v>113</v>
      </c>
      <c r="D224" s="19">
        <v>10000</v>
      </c>
      <c r="E224" s="20">
        <v>0</v>
      </c>
      <c r="F224" s="3" t="s">
        <v>21</v>
      </c>
      <c r="G224" s="3" t="s">
        <v>28</v>
      </c>
      <c r="H224" s="3" t="s">
        <v>17</v>
      </c>
      <c r="I224" s="20">
        <v>1</v>
      </c>
      <c r="J224" s="3" t="s">
        <v>29</v>
      </c>
      <c r="K224" s="3" t="s">
        <v>27</v>
      </c>
      <c r="L224" s="20">
        <v>26</v>
      </c>
      <c r="M224" s="3" t="s">
        <v>17</v>
      </c>
      <c r="N224" s="20" t="str" cm="1">
        <f t="array" ref="N224">_xlfn.IFS(tbl_Clean[[#This Row],[Age]]&lt;=30,"25-30",tbl_Clean[[#This Row],[Age]]&lt;=40,"31-40",tbl_Clean[[#This Row],[Age]]&lt;=50,"41-50",tbl_Clean[[#This Row],[Age]]&lt;=60,"51-60",TRUE,"61+")</f>
        <v>25-30</v>
      </c>
      <c r="O224" s="20">
        <f>_xlfn.XMATCH(tbl_Clean[[#This Row],[Age Band]],{"25-30","31-40","41-50","51-60","61+"})</f>
        <v>1</v>
      </c>
      <c r="P224" s="20" t="str" cm="1">
        <f t="array" ref="P224">_xlfn.IFS(tbl_Clean[[#This Row],[Income]]&lt;=30000,"$10k-30k",tbl_Clean[[#This Row],[Income]]&lt;=60000,"$40k-60k",tbl_Clean[[#This Row],[Income]]&lt;=90000,"$70k-90k",TRUE,"$100k+")</f>
        <v>$10k-30k</v>
      </c>
      <c r="Q224" s="20">
        <f>_xlfn.XMATCH(tbl_Clean[[#This Row],[Income Band]],{"$10k-30k","$40k-60k","$70k-90k","$100k+"})</f>
        <v>1</v>
      </c>
      <c r="R224" s="20" t="str">
        <f>IF(tbl_Clean[[#This Row],[Cars]]&lt;=1,"0-1 Cars","2+ Cars")</f>
        <v>0-1 Cars</v>
      </c>
      <c r="S224" s="20">
        <f>_xlfn.XMATCH(tbl_Clean[[#This Row],[Commute Distance]],{"0-1 Miles","1-2 Miles","2-5 Miles","5-10 Miles","10+ Miles"})</f>
        <v>2</v>
      </c>
      <c r="T224" s="20">
        <f>_xlfn.XMATCH(tbl_Clean[[#This Row],[Education]],{"Partial High School","High School","Partial College","Bachelors","Graduate Degree"})</f>
        <v>3</v>
      </c>
      <c r="U224" s="20">
        <f>IF(tbl_Clean[[#This Row],[Purchased Bike]]="Yes",1,0)</f>
        <v>1</v>
      </c>
    </row>
    <row r="225" spans="1:21" x14ac:dyDescent="0.25">
      <c r="A225" s="20">
        <v>27696</v>
      </c>
      <c r="B225" s="3" t="s">
        <v>111</v>
      </c>
      <c r="C225" s="3" t="s">
        <v>113</v>
      </c>
      <c r="D225" s="19">
        <v>60000</v>
      </c>
      <c r="E225" s="20">
        <v>1</v>
      </c>
      <c r="F225" s="3" t="s">
        <v>15</v>
      </c>
      <c r="G225" s="3" t="s">
        <v>23</v>
      </c>
      <c r="H225" s="3" t="s">
        <v>17</v>
      </c>
      <c r="I225" s="20">
        <v>1</v>
      </c>
      <c r="J225" s="3" t="s">
        <v>26</v>
      </c>
      <c r="K225" s="3" t="s">
        <v>27</v>
      </c>
      <c r="L225" s="20">
        <v>43</v>
      </c>
      <c r="M225" s="3" t="s">
        <v>17</v>
      </c>
      <c r="N225" s="20" t="str" cm="1">
        <f t="array" ref="N225">_xlfn.IFS(tbl_Clean[[#This Row],[Age]]&lt;=30,"25-30",tbl_Clean[[#This Row],[Age]]&lt;=40,"31-40",tbl_Clean[[#This Row],[Age]]&lt;=50,"41-50",tbl_Clean[[#This Row],[Age]]&lt;=60,"51-60",TRUE,"61+")</f>
        <v>41-50</v>
      </c>
      <c r="O225" s="20">
        <f>_xlfn.XMATCH(tbl_Clean[[#This Row],[Age Band]],{"25-30","31-40","41-50","51-60","61+"})</f>
        <v>3</v>
      </c>
      <c r="P225" s="20" t="str" cm="1">
        <f t="array" ref="P225">_xlfn.IFS(tbl_Clean[[#This Row],[Income]]&lt;=30000,"$10k-30k",tbl_Clean[[#This Row],[Income]]&lt;=60000,"$40k-60k",tbl_Clean[[#This Row],[Income]]&lt;=90000,"$70k-90k",TRUE,"$100k+")</f>
        <v>$40k-60k</v>
      </c>
      <c r="Q225" s="20">
        <f>_xlfn.XMATCH(tbl_Clean[[#This Row],[Income Band]],{"$10k-30k","$40k-60k","$70k-90k","$100k+"})</f>
        <v>2</v>
      </c>
      <c r="R225" s="20" t="str">
        <f>IF(tbl_Clean[[#This Row],[Cars]]&lt;=1,"0-1 Cars","2+ Cars")</f>
        <v>0-1 Cars</v>
      </c>
      <c r="S225" s="20">
        <f>_xlfn.XMATCH(tbl_Clean[[#This Row],[Commute Distance]],{"0-1 Miles","1-2 Miles","2-5 Miles","5-10 Miles","10+ Miles"})</f>
        <v>4</v>
      </c>
      <c r="T225" s="20">
        <f>_xlfn.XMATCH(tbl_Clean[[#This Row],[Education]],{"Partial High School","High School","Partial College","Bachelors","Graduate Degree"})</f>
        <v>4</v>
      </c>
      <c r="U225" s="20">
        <f>IF(tbl_Clean[[#This Row],[Purchased Bike]]="Yes",1,0)</f>
        <v>1</v>
      </c>
    </row>
    <row r="226" spans="1:21" x14ac:dyDescent="0.25">
      <c r="A226" s="20">
        <v>25313</v>
      </c>
      <c r="B226" s="3" t="s">
        <v>114</v>
      </c>
      <c r="C226" s="3" t="s">
        <v>113</v>
      </c>
      <c r="D226" s="19">
        <v>10000</v>
      </c>
      <c r="E226" s="20">
        <v>0</v>
      </c>
      <c r="F226" s="3" t="s">
        <v>32</v>
      </c>
      <c r="G226" s="3" t="s">
        <v>28</v>
      </c>
      <c r="H226" s="3" t="s">
        <v>20</v>
      </c>
      <c r="I226" s="20">
        <v>2</v>
      </c>
      <c r="J226" s="3" t="s">
        <v>29</v>
      </c>
      <c r="K226" s="3" t="s">
        <v>19</v>
      </c>
      <c r="L226" s="20">
        <v>35</v>
      </c>
      <c r="M226" s="3" t="s">
        <v>20</v>
      </c>
      <c r="N226" s="20" t="str" cm="1">
        <f t="array" ref="N226">_xlfn.IFS(tbl_Clean[[#This Row],[Age]]&lt;=30,"25-30",tbl_Clean[[#This Row],[Age]]&lt;=40,"31-40",tbl_Clean[[#This Row],[Age]]&lt;=50,"41-50",tbl_Clean[[#This Row],[Age]]&lt;=60,"51-60",TRUE,"61+")</f>
        <v>31-40</v>
      </c>
      <c r="O226" s="20">
        <f>_xlfn.XMATCH(tbl_Clean[[#This Row],[Age Band]],{"25-30","31-40","41-50","51-60","61+"})</f>
        <v>2</v>
      </c>
      <c r="P226" s="20" t="str" cm="1">
        <f t="array" ref="P226">_xlfn.IFS(tbl_Clean[[#This Row],[Income]]&lt;=30000,"$10k-30k",tbl_Clean[[#This Row],[Income]]&lt;=60000,"$40k-60k",tbl_Clean[[#This Row],[Income]]&lt;=90000,"$70k-90k",TRUE,"$100k+")</f>
        <v>$10k-30k</v>
      </c>
      <c r="Q226" s="20">
        <f>_xlfn.XMATCH(tbl_Clean[[#This Row],[Income Band]],{"$10k-30k","$40k-60k","$70k-90k","$100k+"})</f>
        <v>1</v>
      </c>
      <c r="R226" s="20" t="str">
        <f>IF(tbl_Clean[[#This Row],[Cars]]&lt;=1,"0-1 Cars","2+ Cars")</f>
        <v>2+ Cars</v>
      </c>
      <c r="S226" s="20">
        <f>_xlfn.XMATCH(tbl_Clean[[#This Row],[Commute Distance]],{"0-1 Miles","1-2 Miles","2-5 Miles","5-10 Miles","10+ Miles"})</f>
        <v>2</v>
      </c>
      <c r="T226" s="20">
        <f>_xlfn.XMATCH(tbl_Clean[[#This Row],[Education]],{"Partial High School","High School","Partial College","Bachelors","Graduate Degree"})</f>
        <v>1</v>
      </c>
      <c r="U226" s="20">
        <f>IF(tbl_Clean[[#This Row],[Purchased Bike]]="Yes",1,0)</f>
        <v>0</v>
      </c>
    </row>
    <row r="227" spans="1:21" x14ac:dyDescent="0.25">
      <c r="A227" s="20">
        <v>13813</v>
      </c>
      <c r="B227" s="3" t="s">
        <v>111</v>
      </c>
      <c r="C227" s="3" t="s">
        <v>112</v>
      </c>
      <c r="D227" s="19">
        <v>30000</v>
      </c>
      <c r="E227" s="20">
        <v>3</v>
      </c>
      <c r="F227" s="3" t="s">
        <v>21</v>
      </c>
      <c r="G227" s="3" t="s">
        <v>22</v>
      </c>
      <c r="H227" s="3" t="s">
        <v>20</v>
      </c>
      <c r="I227" s="20">
        <v>0</v>
      </c>
      <c r="J227" s="3" t="s">
        <v>18</v>
      </c>
      <c r="K227" s="3" t="s">
        <v>19</v>
      </c>
      <c r="L227" s="20">
        <v>42</v>
      </c>
      <c r="M227" s="3" t="s">
        <v>20</v>
      </c>
      <c r="N227" s="20" t="str" cm="1">
        <f t="array" ref="N227">_xlfn.IFS(tbl_Clean[[#This Row],[Age]]&lt;=30,"25-30",tbl_Clean[[#This Row],[Age]]&lt;=40,"31-40",tbl_Clean[[#This Row],[Age]]&lt;=50,"41-50",tbl_Clean[[#This Row],[Age]]&lt;=60,"51-60",TRUE,"61+")</f>
        <v>41-50</v>
      </c>
      <c r="O227" s="20">
        <f>_xlfn.XMATCH(tbl_Clean[[#This Row],[Age Band]],{"25-30","31-40","41-50","51-60","61+"})</f>
        <v>3</v>
      </c>
      <c r="P227" s="20" t="str" cm="1">
        <f t="array" ref="P227">_xlfn.IFS(tbl_Clean[[#This Row],[Income]]&lt;=30000,"$10k-30k",tbl_Clean[[#This Row],[Income]]&lt;=60000,"$40k-60k",tbl_Clean[[#This Row],[Income]]&lt;=90000,"$70k-90k",TRUE,"$100k+")</f>
        <v>$10k-30k</v>
      </c>
      <c r="Q227" s="20">
        <f>_xlfn.XMATCH(tbl_Clean[[#This Row],[Income Band]],{"$10k-30k","$40k-60k","$70k-90k","$100k+"})</f>
        <v>1</v>
      </c>
      <c r="R227" s="20" t="str">
        <f>IF(tbl_Clean[[#This Row],[Cars]]&lt;=1,"0-1 Cars","2+ Cars")</f>
        <v>0-1 Cars</v>
      </c>
      <c r="S227" s="20">
        <f>_xlfn.XMATCH(tbl_Clean[[#This Row],[Commute Distance]],{"0-1 Miles","1-2 Miles","2-5 Miles","5-10 Miles","10+ Miles"})</f>
        <v>1</v>
      </c>
      <c r="T227" s="20">
        <f>_xlfn.XMATCH(tbl_Clean[[#This Row],[Education]],{"Partial High School","High School","Partial College","Bachelors","Graduate Degree"})</f>
        <v>3</v>
      </c>
      <c r="U227" s="20">
        <f>IF(tbl_Clean[[#This Row],[Purchased Bike]]="Yes",1,0)</f>
        <v>0</v>
      </c>
    </row>
    <row r="228" spans="1:21" x14ac:dyDescent="0.25">
      <c r="A228" s="20">
        <v>18711</v>
      </c>
      <c r="B228" s="3" t="s">
        <v>114</v>
      </c>
      <c r="C228" s="3" t="s">
        <v>112</v>
      </c>
      <c r="D228" s="19">
        <v>70000</v>
      </c>
      <c r="E228" s="20">
        <v>5</v>
      </c>
      <c r="F228" s="3" t="s">
        <v>15</v>
      </c>
      <c r="G228" s="3" t="s">
        <v>23</v>
      </c>
      <c r="H228" s="3" t="s">
        <v>17</v>
      </c>
      <c r="I228" s="20">
        <v>4</v>
      </c>
      <c r="J228" s="3" t="s">
        <v>33</v>
      </c>
      <c r="K228" s="3" t="s">
        <v>27</v>
      </c>
      <c r="L228" s="20">
        <v>39</v>
      </c>
      <c r="M228" s="3" t="s">
        <v>20</v>
      </c>
      <c r="N228" s="20" t="str" cm="1">
        <f t="array" ref="N228">_xlfn.IFS(tbl_Clean[[#This Row],[Age]]&lt;=30,"25-30",tbl_Clean[[#This Row],[Age]]&lt;=40,"31-40",tbl_Clean[[#This Row],[Age]]&lt;=50,"41-50",tbl_Clean[[#This Row],[Age]]&lt;=60,"51-60",TRUE,"61+")</f>
        <v>31-40</v>
      </c>
      <c r="O228" s="20">
        <f>_xlfn.XMATCH(tbl_Clean[[#This Row],[Age Band]],{"25-30","31-40","41-50","51-60","61+"})</f>
        <v>2</v>
      </c>
      <c r="P228" s="20" t="str" cm="1">
        <f t="array" ref="P228">_xlfn.IFS(tbl_Clean[[#This Row],[Income]]&lt;=30000,"$10k-30k",tbl_Clean[[#This Row],[Income]]&lt;=60000,"$40k-60k",tbl_Clean[[#This Row],[Income]]&lt;=90000,"$70k-90k",TRUE,"$100k+")</f>
        <v>$70k-90k</v>
      </c>
      <c r="Q228" s="20">
        <f>_xlfn.XMATCH(tbl_Clean[[#This Row],[Income Band]],{"$10k-30k","$40k-60k","$70k-90k","$100k+"})</f>
        <v>3</v>
      </c>
      <c r="R228" s="20" t="str">
        <f>IF(tbl_Clean[[#This Row],[Cars]]&lt;=1,"0-1 Cars","2+ Cars")</f>
        <v>2+ Cars</v>
      </c>
      <c r="S228" s="20">
        <f>_xlfn.XMATCH(tbl_Clean[[#This Row],[Commute Distance]],{"0-1 Miles","1-2 Miles","2-5 Miles","5-10 Miles","10+ Miles"})</f>
        <v>5</v>
      </c>
      <c r="T228" s="20">
        <f>_xlfn.XMATCH(tbl_Clean[[#This Row],[Education]],{"Partial High School","High School","Partial College","Bachelors","Graduate Degree"})</f>
        <v>4</v>
      </c>
      <c r="U228" s="20">
        <f>IF(tbl_Clean[[#This Row],[Purchased Bike]]="Yes",1,0)</f>
        <v>0</v>
      </c>
    </row>
    <row r="229" spans="1:21" x14ac:dyDescent="0.25">
      <c r="A229" s="20">
        <v>19650</v>
      </c>
      <c r="B229" s="3" t="s">
        <v>111</v>
      </c>
      <c r="C229" s="3" t="s">
        <v>112</v>
      </c>
      <c r="D229" s="19">
        <v>30000</v>
      </c>
      <c r="E229" s="20">
        <v>2</v>
      </c>
      <c r="F229" s="3" t="s">
        <v>21</v>
      </c>
      <c r="G229" s="3" t="s">
        <v>22</v>
      </c>
      <c r="H229" s="3" t="s">
        <v>20</v>
      </c>
      <c r="I229" s="20">
        <v>2</v>
      </c>
      <c r="J229" s="3" t="s">
        <v>18</v>
      </c>
      <c r="K229" s="3" t="s">
        <v>27</v>
      </c>
      <c r="L229" s="20">
        <v>67</v>
      </c>
      <c r="M229" s="3" t="s">
        <v>20</v>
      </c>
      <c r="N229" s="20" t="str" cm="1">
        <f t="array" ref="N229">_xlfn.IFS(tbl_Clean[[#This Row],[Age]]&lt;=30,"25-30",tbl_Clean[[#This Row],[Age]]&lt;=40,"31-40",tbl_Clean[[#This Row],[Age]]&lt;=50,"41-50",tbl_Clean[[#This Row],[Age]]&lt;=60,"51-60",TRUE,"61+")</f>
        <v>61+</v>
      </c>
      <c r="O229" s="20">
        <f>_xlfn.XMATCH(tbl_Clean[[#This Row],[Age Band]],{"25-30","31-40","41-50","51-60","61+"})</f>
        <v>5</v>
      </c>
      <c r="P229" s="20" t="str" cm="1">
        <f t="array" ref="P229">_xlfn.IFS(tbl_Clean[[#This Row],[Income]]&lt;=30000,"$10k-30k",tbl_Clean[[#This Row],[Income]]&lt;=60000,"$40k-60k",tbl_Clean[[#This Row],[Income]]&lt;=90000,"$70k-90k",TRUE,"$100k+")</f>
        <v>$10k-30k</v>
      </c>
      <c r="Q229" s="20">
        <f>_xlfn.XMATCH(tbl_Clean[[#This Row],[Income Band]],{"$10k-30k","$40k-60k","$70k-90k","$100k+"})</f>
        <v>1</v>
      </c>
      <c r="R229" s="20" t="str">
        <f>IF(tbl_Clean[[#This Row],[Cars]]&lt;=1,"0-1 Cars","2+ Cars")</f>
        <v>2+ Cars</v>
      </c>
      <c r="S229" s="20">
        <f>_xlfn.XMATCH(tbl_Clean[[#This Row],[Commute Distance]],{"0-1 Miles","1-2 Miles","2-5 Miles","5-10 Miles","10+ Miles"})</f>
        <v>1</v>
      </c>
      <c r="T229" s="20">
        <f>_xlfn.XMATCH(tbl_Clean[[#This Row],[Education]],{"Partial High School","High School","Partial College","Bachelors","Graduate Degree"})</f>
        <v>3</v>
      </c>
      <c r="U229" s="20">
        <f>IF(tbl_Clean[[#This Row],[Purchased Bike]]="Yes",1,0)</f>
        <v>0</v>
      </c>
    </row>
    <row r="230" spans="1:21" x14ac:dyDescent="0.25">
      <c r="A230" s="20">
        <v>14135</v>
      </c>
      <c r="B230" s="3" t="s">
        <v>111</v>
      </c>
      <c r="C230" s="3" t="s">
        <v>113</v>
      </c>
      <c r="D230" s="19">
        <v>20000</v>
      </c>
      <c r="E230" s="20">
        <v>1</v>
      </c>
      <c r="F230" s="3" t="s">
        <v>21</v>
      </c>
      <c r="G230" s="3" t="s">
        <v>28</v>
      </c>
      <c r="H230" s="3" t="s">
        <v>17</v>
      </c>
      <c r="I230" s="20">
        <v>0</v>
      </c>
      <c r="J230" s="3" t="s">
        <v>29</v>
      </c>
      <c r="K230" s="3" t="s">
        <v>19</v>
      </c>
      <c r="L230" s="20">
        <v>35</v>
      </c>
      <c r="M230" s="3" t="s">
        <v>20</v>
      </c>
      <c r="N230" s="20" t="str" cm="1">
        <f t="array" ref="N230">_xlfn.IFS(tbl_Clean[[#This Row],[Age]]&lt;=30,"25-30",tbl_Clean[[#This Row],[Age]]&lt;=40,"31-40",tbl_Clean[[#This Row],[Age]]&lt;=50,"41-50",tbl_Clean[[#This Row],[Age]]&lt;=60,"51-60",TRUE,"61+")</f>
        <v>31-40</v>
      </c>
      <c r="O230" s="20">
        <f>_xlfn.XMATCH(tbl_Clean[[#This Row],[Age Band]],{"25-30","31-40","41-50","51-60","61+"})</f>
        <v>2</v>
      </c>
      <c r="P230" s="20" t="str" cm="1">
        <f t="array" ref="P230">_xlfn.IFS(tbl_Clean[[#This Row],[Income]]&lt;=30000,"$10k-30k",tbl_Clean[[#This Row],[Income]]&lt;=60000,"$40k-60k",tbl_Clean[[#This Row],[Income]]&lt;=90000,"$70k-90k",TRUE,"$100k+")</f>
        <v>$10k-30k</v>
      </c>
      <c r="Q230" s="20">
        <f>_xlfn.XMATCH(tbl_Clean[[#This Row],[Income Band]],{"$10k-30k","$40k-60k","$70k-90k","$100k+"})</f>
        <v>1</v>
      </c>
      <c r="R230" s="20" t="str">
        <f>IF(tbl_Clean[[#This Row],[Cars]]&lt;=1,"0-1 Cars","2+ Cars")</f>
        <v>0-1 Cars</v>
      </c>
      <c r="S230" s="20">
        <f>_xlfn.XMATCH(tbl_Clean[[#This Row],[Commute Distance]],{"0-1 Miles","1-2 Miles","2-5 Miles","5-10 Miles","10+ Miles"})</f>
        <v>2</v>
      </c>
      <c r="T230" s="20">
        <f>_xlfn.XMATCH(tbl_Clean[[#This Row],[Education]],{"Partial High School","High School","Partial College","Bachelors","Graduate Degree"})</f>
        <v>3</v>
      </c>
      <c r="U230" s="20">
        <f>IF(tbl_Clean[[#This Row],[Purchased Bike]]="Yes",1,0)</f>
        <v>0</v>
      </c>
    </row>
    <row r="231" spans="1:21" x14ac:dyDescent="0.25">
      <c r="A231" s="20">
        <v>12833</v>
      </c>
      <c r="B231" s="3" t="s">
        <v>114</v>
      </c>
      <c r="C231" s="3" t="s">
        <v>112</v>
      </c>
      <c r="D231" s="19">
        <v>20000</v>
      </c>
      <c r="E231" s="20">
        <v>3</v>
      </c>
      <c r="F231" s="3" t="s">
        <v>30</v>
      </c>
      <c r="G231" s="3" t="s">
        <v>28</v>
      </c>
      <c r="H231" s="3" t="s">
        <v>17</v>
      </c>
      <c r="I231" s="20">
        <v>1</v>
      </c>
      <c r="J231" s="3" t="s">
        <v>18</v>
      </c>
      <c r="K231" s="3" t="s">
        <v>19</v>
      </c>
      <c r="L231" s="20">
        <v>42</v>
      </c>
      <c r="M231" s="3" t="s">
        <v>17</v>
      </c>
      <c r="N231" s="20" t="str" cm="1">
        <f t="array" ref="N231">_xlfn.IFS(tbl_Clean[[#This Row],[Age]]&lt;=30,"25-30",tbl_Clean[[#This Row],[Age]]&lt;=40,"31-40",tbl_Clean[[#This Row],[Age]]&lt;=50,"41-50",tbl_Clean[[#This Row],[Age]]&lt;=60,"51-60",TRUE,"61+")</f>
        <v>41-50</v>
      </c>
      <c r="O231" s="20">
        <f>_xlfn.XMATCH(tbl_Clean[[#This Row],[Age Band]],{"25-30","31-40","41-50","51-60","61+"})</f>
        <v>3</v>
      </c>
      <c r="P231" s="20" t="str" cm="1">
        <f t="array" ref="P231">_xlfn.IFS(tbl_Clean[[#This Row],[Income]]&lt;=30000,"$10k-30k",tbl_Clean[[#This Row],[Income]]&lt;=60000,"$40k-60k",tbl_Clean[[#This Row],[Income]]&lt;=90000,"$70k-90k",TRUE,"$100k+")</f>
        <v>$10k-30k</v>
      </c>
      <c r="Q231" s="20">
        <f>_xlfn.XMATCH(tbl_Clean[[#This Row],[Income Band]],{"$10k-30k","$40k-60k","$70k-90k","$100k+"})</f>
        <v>1</v>
      </c>
      <c r="R231" s="20" t="str">
        <f>IF(tbl_Clean[[#This Row],[Cars]]&lt;=1,"0-1 Cars","2+ Cars")</f>
        <v>0-1 Cars</v>
      </c>
      <c r="S231" s="20">
        <f>_xlfn.XMATCH(tbl_Clean[[#This Row],[Commute Distance]],{"0-1 Miles","1-2 Miles","2-5 Miles","5-10 Miles","10+ Miles"})</f>
        <v>1</v>
      </c>
      <c r="T231" s="20">
        <f>_xlfn.XMATCH(tbl_Clean[[#This Row],[Education]],{"Partial High School","High School","Partial College","Bachelors","Graduate Degree"})</f>
        <v>2</v>
      </c>
      <c r="U231" s="20">
        <f>IF(tbl_Clean[[#This Row],[Purchased Bike]]="Yes",1,0)</f>
        <v>1</v>
      </c>
    </row>
    <row r="232" spans="1:21" x14ac:dyDescent="0.25">
      <c r="A232" s="20">
        <v>26849</v>
      </c>
      <c r="B232" s="3" t="s">
        <v>111</v>
      </c>
      <c r="C232" s="3" t="s">
        <v>113</v>
      </c>
      <c r="D232" s="19">
        <v>10000</v>
      </c>
      <c r="E232" s="20">
        <v>3</v>
      </c>
      <c r="F232" s="3" t="s">
        <v>32</v>
      </c>
      <c r="G232" s="3" t="s">
        <v>28</v>
      </c>
      <c r="H232" s="3" t="s">
        <v>17</v>
      </c>
      <c r="I232" s="20">
        <v>2</v>
      </c>
      <c r="J232" s="3" t="s">
        <v>18</v>
      </c>
      <c r="K232" s="3" t="s">
        <v>19</v>
      </c>
      <c r="L232" s="20">
        <v>43</v>
      </c>
      <c r="M232" s="3" t="s">
        <v>20</v>
      </c>
      <c r="N232" s="20" t="str" cm="1">
        <f t="array" ref="N232">_xlfn.IFS(tbl_Clean[[#This Row],[Age]]&lt;=30,"25-30",tbl_Clean[[#This Row],[Age]]&lt;=40,"31-40",tbl_Clean[[#This Row],[Age]]&lt;=50,"41-50",tbl_Clean[[#This Row],[Age]]&lt;=60,"51-60",TRUE,"61+")</f>
        <v>41-50</v>
      </c>
      <c r="O232" s="20">
        <f>_xlfn.XMATCH(tbl_Clean[[#This Row],[Age Band]],{"25-30","31-40","41-50","51-60","61+"})</f>
        <v>3</v>
      </c>
      <c r="P232" s="20" t="str" cm="1">
        <f t="array" ref="P232">_xlfn.IFS(tbl_Clean[[#This Row],[Income]]&lt;=30000,"$10k-30k",tbl_Clean[[#This Row],[Income]]&lt;=60000,"$40k-60k",tbl_Clean[[#This Row],[Income]]&lt;=90000,"$70k-90k",TRUE,"$100k+")</f>
        <v>$10k-30k</v>
      </c>
      <c r="Q232" s="20">
        <f>_xlfn.XMATCH(tbl_Clean[[#This Row],[Income Band]],{"$10k-30k","$40k-60k","$70k-90k","$100k+"})</f>
        <v>1</v>
      </c>
      <c r="R232" s="20" t="str">
        <f>IF(tbl_Clean[[#This Row],[Cars]]&lt;=1,"0-1 Cars","2+ Cars")</f>
        <v>2+ Cars</v>
      </c>
      <c r="S232" s="20">
        <f>_xlfn.XMATCH(tbl_Clean[[#This Row],[Commute Distance]],{"0-1 Miles","1-2 Miles","2-5 Miles","5-10 Miles","10+ Miles"})</f>
        <v>1</v>
      </c>
      <c r="T232" s="20">
        <f>_xlfn.XMATCH(tbl_Clean[[#This Row],[Education]],{"Partial High School","High School","Partial College","Bachelors","Graduate Degree"})</f>
        <v>1</v>
      </c>
      <c r="U232" s="20">
        <f>IF(tbl_Clean[[#This Row],[Purchased Bike]]="Yes",1,0)</f>
        <v>0</v>
      </c>
    </row>
    <row r="233" spans="1:21" x14ac:dyDescent="0.25">
      <c r="A233" s="20">
        <v>20962</v>
      </c>
      <c r="B233" s="3" t="s">
        <v>111</v>
      </c>
      <c r="C233" s="3" t="s">
        <v>112</v>
      </c>
      <c r="D233" s="19">
        <v>20000</v>
      </c>
      <c r="E233" s="20">
        <v>1</v>
      </c>
      <c r="F233" s="3" t="s">
        <v>34</v>
      </c>
      <c r="G233" s="3" t="s">
        <v>22</v>
      </c>
      <c r="H233" s="3" t="s">
        <v>17</v>
      </c>
      <c r="I233" s="20">
        <v>0</v>
      </c>
      <c r="J233" s="3" t="s">
        <v>18</v>
      </c>
      <c r="K233" s="3" t="s">
        <v>19</v>
      </c>
      <c r="L233" s="20">
        <v>45</v>
      </c>
      <c r="M233" s="3" t="s">
        <v>20</v>
      </c>
      <c r="N233" s="20" t="str" cm="1">
        <f t="array" ref="N233">_xlfn.IFS(tbl_Clean[[#This Row],[Age]]&lt;=30,"25-30",tbl_Clean[[#This Row],[Age]]&lt;=40,"31-40",tbl_Clean[[#This Row],[Age]]&lt;=50,"41-50",tbl_Clean[[#This Row],[Age]]&lt;=60,"51-60",TRUE,"61+")</f>
        <v>41-50</v>
      </c>
      <c r="O233" s="20">
        <f>_xlfn.XMATCH(tbl_Clean[[#This Row],[Age Band]],{"25-30","31-40","41-50","51-60","61+"})</f>
        <v>3</v>
      </c>
      <c r="P233" s="20" t="str" cm="1">
        <f t="array" ref="P233">_xlfn.IFS(tbl_Clean[[#This Row],[Income]]&lt;=30000,"$10k-30k",tbl_Clean[[#This Row],[Income]]&lt;=60000,"$40k-60k",tbl_Clean[[#This Row],[Income]]&lt;=90000,"$70k-90k",TRUE,"$100k+")</f>
        <v>$10k-30k</v>
      </c>
      <c r="Q233" s="20">
        <f>_xlfn.XMATCH(tbl_Clean[[#This Row],[Income Band]],{"$10k-30k","$40k-60k","$70k-90k","$100k+"})</f>
        <v>1</v>
      </c>
      <c r="R233" s="20" t="str">
        <f>IF(tbl_Clean[[#This Row],[Cars]]&lt;=1,"0-1 Cars","2+ Cars")</f>
        <v>0-1 Cars</v>
      </c>
      <c r="S233" s="20">
        <f>_xlfn.XMATCH(tbl_Clean[[#This Row],[Commute Distance]],{"0-1 Miles","1-2 Miles","2-5 Miles","5-10 Miles","10+ Miles"})</f>
        <v>1</v>
      </c>
      <c r="T233" s="20">
        <f>_xlfn.XMATCH(tbl_Clean[[#This Row],[Education]],{"Partial High School","High School","Partial College","Bachelors","Graduate Degree"})</f>
        <v>5</v>
      </c>
      <c r="U233" s="20">
        <f>IF(tbl_Clean[[#This Row],[Purchased Bike]]="Yes",1,0)</f>
        <v>0</v>
      </c>
    </row>
    <row r="234" spans="1:21" x14ac:dyDescent="0.25">
      <c r="A234" s="20">
        <v>28915</v>
      </c>
      <c r="B234" s="3" t="s">
        <v>114</v>
      </c>
      <c r="C234" s="3" t="s">
        <v>113</v>
      </c>
      <c r="D234" s="19">
        <v>80000</v>
      </c>
      <c r="E234" s="20">
        <v>5</v>
      </c>
      <c r="F234" s="3" t="s">
        <v>30</v>
      </c>
      <c r="G234" s="3" t="s">
        <v>31</v>
      </c>
      <c r="H234" s="3" t="s">
        <v>17</v>
      </c>
      <c r="I234" s="20">
        <v>3</v>
      </c>
      <c r="J234" s="3" t="s">
        <v>33</v>
      </c>
      <c r="K234" s="3" t="s">
        <v>19</v>
      </c>
      <c r="L234" s="20">
        <v>57</v>
      </c>
      <c r="M234" s="3" t="s">
        <v>20</v>
      </c>
      <c r="N234" s="20" t="str" cm="1">
        <f t="array" ref="N234">_xlfn.IFS(tbl_Clean[[#This Row],[Age]]&lt;=30,"25-30",tbl_Clean[[#This Row],[Age]]&lt;=40,"31-40",tbl_Clean[[#This Row],[Age]]&lt;=50,"41-50",tbl_Clean[[#This Row],[Age]]&lt;=60,"51-60",TRUE,"61+")</f>
        <v>51-60</v>
      </c>
      <c r="O234" s="20">
        <f>_xlfn.XMATCH(tbl_Clean[[#This Row],[Age Band]],{"25-30","31-40","41-50","51-60","61+"})</f>
        <v>4</v>
      </c>
      <c r="P234" s="20" t="str" cm="1">
        <f t="array" ref="P234">_xlfn.IFS(tbl_Clean[[#This Row],[Income]]&lt;=30000,"$10k-30k",tbl_Clean[[#This Row],[Income]]&lt;=60000,"$40k-60k",tbl_Clean[[#This Row],[Income]]&lt;=90000,"$70k-90k",TRUE,"$100k+")</f>
        <v>$70k-90k</v>
      </c>
      <c r="Q234" s="20">
        <f>_xlfn.XMATCH(tbl_Clean[[#This Row],[Income Band]],{"$10k-30k","$40k-60k","$70k-90k","$100k+"})</f>
        <v>3</v>
      </c>
      <c r="R234" s="20" t="str">
        <f>IF(tbl_Clean[[#This Row],[Cars]]&lt;=1,"0-1 Cars","2+ Cars")</f>
        <v>2+ Cars</v>
      </c>
      <c r="S234" s="20">
        <f>_xlfn.XMATCH(tbl_Clean[[#This Row],[Commute Distance]],{"0-1 Miles","1-2 Miles","2-5 Miles","5-10 Miles","10+ Miles"})</f>
        <v>5</v>
      </c>
      <c r="T234" s="20">
        <f>_xlfn.XMATCH(tbl_Clean[[#This Row],[Education]],{"Partial High School","High School","Partial College","Bachelors","Graduate Degree"})</f>
        <v>2</v>
      </c>
      <c r="U234" s="20">
        <f>IF(tbl_Clean[[#This Row],[Purchased Bike]]="Yes",1,0)</f>
        <v>0</v>
      </c>
    </row>
    <row r="235" spans="1:21" x14ac:dyDescent="0.25">
      <c r="A235" s="20">
        <v>22830</v>
      </c>
      <c r="B235" s="3" t="s">
        <v>111</v>
      </c>
      <c r="C235" s="3" t="s">
        <v>113</v>
      </c>
      <c r="D235" s="19">
        <v>120000</v>
      </c>
      <c r="E235" s="20">
        <v>4</v>
      </c>
      <c r="F235" s="3" t="s">
        <v>21</v>
      </c>
      <c r="G235" s="3" t="s">
        <v>31</v>
      </c>
      <c r="H235" s="3" t="s">
        <v>17</v>
      </c>
      <c r="I235" s="20">
        <v>3</v>
      </c>
      <c r="J235" s="3" t="s">
        <v>33</v>
      </c>
      <c r="K235" s="3" t="s">
        <v>19</v>
      </c>
      <c r="L235" s="20">
        <v>56</v>
      </c>
      <c r="M235" s="3" t="s">
        <v>20</v>
      </c>
      <c r="N235" s="20" t="str" cm="1">
        <f t="array" ref="N235">_xlfn.IFS(tbl_Clean[[#This Row],[Age]]&lt;=30,"25-30",tbl_Clean[[#This Row],[Age]]&lt;=40,"31-40",tbl_Clean[[#This Row],[Age]]&lt;=50,"41-50",tbl_Clean[[#This Row],[Age]]&lt;=60,"51-60",TRUE,"61+")</f>
        <v>51-60</v>
      </c>
      <c r="O235" s="20">
        <f>_xlfn.XMATCH(tbl_Clean[[#This Row],[Age Band]],{"25-30","31-40","41-50","51-60","61+"})</f>
        <v>4</v>
      </c>
      <c r="P235" s="20" t="str" cm="1">
        <f t="array" ref="P235">_xlfn.IFS(tbl_Clean[[#This Row],[Income]]&lt;=30000,"$10k-30k",tbl_Clean[[#This Row],[Income]]&lt;=60000,"$40k-60k",tbl_Clean[[#This Row],[Income]]&lt;=90000,"$70k-90k",TRUE,"$100k+")</f>
        <v>$100k+</v>
      </c>
      <c r="Q235" s="20">
        <f>_xlfn.XMATCH(tbl_Clean[[#This Row],[Income Band]],{"$10k-30k","$40k-60k","$70k-90k","$100k+"})</f>
        <v>4</v>
      </c>
      <c r="R235" s="20" t="str">
        <f>IF(tbl_Clean[[#This Row],[Cars]]&lt;=1,"0-1 Cars","2+ Cars")</f>
        <v>2+ Cars</v>
      </c>
      <c r="S235" s="20">
        <f>_xlfn.XMATCH(tbl_Clean[[#This Row],[Commute Distance]],{"0-1 Miles","1-2 Miles","2-5 Miles","5-10 Miles","10+ Miles"})</f>
        <v>5</v>
      </c>
      <c r="T235" s="20">
        <f>_xlfn.XMATCH(tbl_Clean[[#This Row],[Education]],{"Partial High School","High School","Partial College","Bachelors","Graduate Degree"})</f>
        <v>3</v>
      </c>
      <c r="U235" s="20">
        <f>IF(tbl_Clean[[#This Row],[Purchased Bike]]="Yes",1,0)</f>
        <v>0</v>
      </c>
    </row>
    <row r="236" spans="1:21" x14ac:dyDescent="0.25">
      <c r="A236" s="20">
        <v>14777</v>
      </c>
      <c r="B236" s="3" t="s">
        <v>111</v>
      </c>
      <c r="C236" s="3" t="s">
        <v>112</v>
      </c>
      <c r="D236" s="19">
        <v>40000</v>
      </c>
      <c r="E236" s="20">
        <v>0</v>
      </c>
      <c r="F236" s="3" t="s">
        <v>15</v>
      </c>
      <c r="G236" s="3" t="s">
        <v>22</v>
      </c>
      <c r="H236" s="3" t="s">
        <v>17</v>
      </c>
      <c r="I236" s="20">
        <v>0</v>
      </c>
      <c r="J236" s="3" t="s">
        <v>18</v>
      </c>
      <c r="K236" s="3" t="s">
        <v>19</v>
      </c>
      <c r="L236" s="20">
        <v>38</v>
      </c>
      <c r="M236" s="3" t="s">
        <v>17</v>
      </c>
      <c r="N236" s="20" t="str" cm="1">
        <f t="array" ref="N236">_xlfn.IFS(tbl_Clean[[#This Row],[Age]]&lt;=30,"25-30",tbl_Clean[[#This Row],[Age]]&lt;=40,"31-40",tbl_Clean[[#This Row],[Age]]&lt;=50,"41-50",tbl_Clean[[#This Row],[Age]]&lt;=60,"51-60",TRUE,"61+")</f>
        <v>31-40</v>
      </c>
      <c r="O236" s="20">
        <f>_xlfn.XMATCH(tbl_Clean[[#This Row],[Age Band]],{"25-30","31-40","41-50","51-60","61+"})</f>
        <v>2</v>
      </c>
      <c r="P236" s="20" t="str" cm="1">
        <f t="array" ref="P236">_xlfn.IFS(tbl_Clean[[#This Row],[Income]]&lt;=30000,"$10k-30k",tbl_Clean[[#This Row],[Income]]&lt;=60000,"$40k-60k",tbl_Clean[[#This Row],[Income]]&lt;=90000,"$70k-90k",TRUE,"$100k+")</f>
        <v>$40k-60k</v>
      </c>
      <c r="Q236" s="20">
        <f>_xlfn.XMATCH(tbl_Clean[[#This Row],[Income Band]],{"$10k-30k","$40k-60k","$70k-90k","$100k+"})</f>
        <v>2</v>
      </c>
      <c r="R236" s="20" t="str">
        <f>IF(tbl_Clean[[#This Row],[Cars]]&lt;=1,"0-1 Cars","2+ Cars")</f>
        <v>0-1 Cars</v>
      </c>
      <c r="S236" s="20">
        <f>_xlfn.XMATCH(tbl_Clean[[#This Row],[Commute Distance]],{"0-1 Miles","1-2 Miles","2-5 Miles","5-10 Miles","10+ Miles"})</f>
        <v>1</v>
      </c>
      <c r="T236" s="20">
        <f>_xlfn.XMATCH(tbl_Clean[[#This Row],[Education]],{"Partial High School","High School","Partial College","Bachelors","Graduate Degree"})</f>
        <v>4</v>
      </c>
      <c r="U236" s="20">
        <f>IF(tbl_Clean[[#This Row],[Purchased Bike]]="Yes",1,0)</f>
        <v>1</v>
      </c>
    </row>
    <row r="237" spans="1:21" x14ac:dyDescent="0.25">
      <c r="A237" s="20">
        <v>12591</v>
      </c>
      <c r="B237" s="3" t="s">
        <v>111</v>
      </c>
      <c r="C237" s="3" t="s">
        <v>112</v>
      </c>
      <c r="D237" s="19">
        <v>30000</v>
      </c>
      <c r="E237" s="20">
        <v>4</v>
      </c>
      <c r="F237" s="3" t="s">
        <v>34</v>
      </c>
      <c r="G237" s="3" t="s">
        <v>22</v>
      </c>
      <c r="H237" s="3" t="s">
        <v>17</v>
      </c>
      <c r="I237" s="20">
        <v>0</v>
      </c>
      <c r="J237" s="3" t="s">
        <v>18</v>
      </c>
      <c r="K237" s="3" t="s">
        <v>19</v>
      </c>
      <c r="L237" s="20">
        <v>45</v>
      </c>
      <c r="M237" s="3" t="s">
        <v>20</v>
      </c>
      <c r="N237" s="20" t="str" cm="1">
        <f t="array" ref="N237">_xlfn.IFS(tbl_Clean[[#This Row],[Age]]&lt;=30,"25-30",tbl_Clean[[#This Row],[Age]]&lt;=40,"31-40",tbl_Clean[[#This Row],[Age]]&lt;=50,"41-50",tbl_Clean[[#This Row],[Age]]&lt;=60,"51-60",TRUE,"61+")</f>
        <v>41-50</v>
      </c>
      <c r="O237" s="20">
        <f>_xlfn.XMATCH(tbl_Clean[[#This Row],[Age Band]],{"25-30","31-40","41-50","51-60","61+"})</f>
        <v>3</v>
      </c>
      <c r="P237" s="20" t="str" cm="1">
        <f t="array" ref="P237">_xlfn.IFS(tbl_Clean[[#This Row],[Income]]&lt;=30000,"$10k-30k",tbl_Clean[[#This Row],[Income]]&lt;=60000,"$40k-60k",tbl_Clean[[#This Row],[Income]]&lt;=90000,"$70k-90k",TRUE,"$100k+")</f>
        <v>$10k-30k</v>
      </c>
      <c r="Q237" s="20">
        <f>_xlfn.XMATCH(tbl_Clean[[#This Row],[Income Band]],{"$10k-30k","$40k-60k","$70k-90k","$100k+"})</f>
        <v>1</v>
      </c>
      <c r="R237" s="20" t="str">
        <f>IF(tbl_Clean[[#This Row],[Cars]]&lt;=1,"0-1 Cars","2+ Cars")</f>
        <v>0-1 Cars</v>
      </c>
      <c r="S237" s="20">
        <f>_xlfn.XMATCH(tbl_Clean[[#This Row],[Commute Distance]],{"0-1 Miles","1-2 Miles","2-5 Miles","5-10 Miles","10+ Miles"})</f>
        <v>1</v>
      </c>
      <c r="T237" s="20">
        <f>_xlfn.XMATCH(tbl_Clean[[#This Row],[Education]],{"Partial High School","High School","Partial College","Bachelors","Graduate Degree"})</f>
        <v>5</v>
      </c>
      <c r="U237" s="20">
        <f>IF(tbl_Clean[[#This Row],[Purchased Bike]]="Yes",1,0)</f>
        <v>0</v>
      </c>
    </row>
    <row r="238" spans="1:21" x14ac:dyDescent="0.25">
      <c r="A238" s="20">
        <v>24174</v>
      </c>
      <c r="B238" s="3" t="s">
        <v>111</v>
      </c>
      <c r="C238" s="3" t="s">
        <v>113</v>
      </c>
      <c r="D238" s="19">
        <v>20000</v>
      </c>
      <c r="E238" s="20">
        <v>0</v>
      </c>
      <c r="F238" s="3" t="s">
        <v>15</v>
      </c>
      <c r="G238" s="3" t="s">
        <v>22</v>
      </c>
      <c r="H238" s="3" t="s">
        <v>17</v>
      </c>
      <c r="I238" s="20">
        <v>0</v>
      </c>
      <c r="J238" s="3" t="s">
        <v>18</v>
      </c>
      <c r="K238" s="3" t="s">
        <v>27</v>
      </c>
      <c r="L238" s="20">
        <v>27</v>
      </c>
      <c r="M238" s="3" t="s">
        <v>17</v>
      </c>
      <c r="N238" s="20" t="str" cm="1">
        <f t="array" ref="N238">_xlfn.IFS(tbl_Clean[[#This Row],[Age]]&lt;=30,"25-30",tbl_Clean[[#This Row],[Age]]&lt;=40,"31-40",tbl_Clean[[#This Row],[Age]]&lt;=50,"41-50",tbl_Clean[[#This Row],[Age]]&lt;=60,"51-60",TRUE,"61+")</f>
        <v>25-30</v>
      </c>
      <c r="O238" s="20">
        <f>_xlfn.XMATCH(tbl_Clean[[#This Row],[Age Band]],{"25-30","31-40","41-50","51-60","61+"})</f>
        <v>1</v>
      </c>
      <c r="P238" s="20" t="str" cm="1">
        <f t="array" ref="P238">_xlfn.IFS(tbl_Clean[[#This Row],[Income]]&lt;=30000,"$10k-30k",tbl_Clean[[#This Row],[Income]]&lt;=60000,"$40k-60k",tbl_Clean[[#This Row],[Income]]&lt;=90000,"$70k-90k",TRUE,"$100k+")</f>
        <v>$10k-30k</v>
      </c>
      <c r="Q238" s="20">
        <f>_xlfn.XMATCH(tbl_Clean[[#This Row],[Income Band]],{"$10k-30k","$40k-60k","$70k-90k","$100k+"})</f>
        <v>1</v>
      </c>
      <c r="R238" s="20" t="str">
        <f>IF(tbl_Clean[[#This Row],[Cars]]&lt;=1,"0-1 Cars","2+ Cars")</f>
        <v>0-1 Cars</v>
      </c>
      <c r="S238" s="20">
        <f>_xlfn.XMATCH(tbl_Clean[[#This Row],[Commute Distance]],{"0-1 Miles","1-2 Miles","2-5 Miles","5-10 Miles","10+ Miles"})</f>
        <v>1</v>
      </c>
      <c r="T238" s="20">
        <f>_xlfn.XMATCH(tbl_Clean[[#This Row],[Education]],{"Partial High School","High School","Partial College","Bachelors","Graduate Degree"})</f>
        <v>4</v>
      </c>
      <c r="U238" s="20">
        <f>IF(tbl_Clean[[#This Row],[Purchased Bike]]="Yes",1,0)</f>
        <v>1</v>
      </c>
    </row>
    <row r="239" spans="1:21" x14ac:dyDescent="0.25">
      <c r="A239" s="20">
        <v>24611</v>
      </c>
      <c r="B239" s="3" t="s">
        <v>114</v>
      </c>
      <c r="C239" s="3" t="s">
        <v>113</v>
      </c>
      <c r="D239" s="19">
        <v>90000</v>
      </c>
      <c r="E239" s="20">
        <v>0</v>
      </c>
      <c r="F239" s="3" t="s">
        <v>15</v>
      </c>
      <c r="G239" s="3" t="s">
        <v>23</v>
      </c>
      <c r="H239" s="3" t="s">
        <v>20</v>
      </c>
      <c r="I239" s="20">
        <v>4</v>
      </c>
      <c r="J239" s="3" t="s">
        <v>33</v>
      </c>
      <c r="K239" s="3" t="s">
        <v>27</v>
      </c>
      <c r="L239" s="20">
        <v>35</v>
      </c>
      <c r="M239" s="3" t="s">
        <v>17</v>
      </c>
      <c r="N239" s="20" t="str" cm="1">
        <f t="array" ref="N239">_xlfn.IFS(tbl_Clean[[#This Row],[Age]]&lt;=30,"25-30",tbl_Clean[[#This Row],[Age]]&lt;=40,"31-40",tbl_Clean[[#This Row],[Age]]&lt;=50,"41-50",tbl_Clean[[#This Row],[Age]]&lt;=60,"51-60",TRUE,"61+")</f>
        <v>31-40</v>
      </c>
      <c r="O239" s="20">
        <f>_xlfn.XMATCH(tbl_Clean[[#This Row],[Age Band]],{"25-30","31-40","41-50","51-60","61+"})</f>
        <v>2</v>
      </c>
      <c r="P239" s="20" t="str" cm="1">
        <f t="array" ref="P239">_xlfn.IFS(tbl_Clean[[#This Row],[Income]]&lt;=30000,"$10k-30k",tbl_Clean[[#This Row],[Income]]&lt;=60000,"$40k-60k",tbl_Clean[[#This Row],[Income]]&lt;=90000,"$70k-90k",TRUE,"$100k+")</f>
        <v>$70k-90k</v>
      </c>
      <c r="Q239" s="20">
        <f>_xlfn.XMATCH(tbl_Clean[[#This Row],[Income Band]],{"$10k-30k","$40k-60k","$70k-90k","$100k+"})</f>
        <v>3</v>
      </c>
      <c r="R239" s="20" t="str">
        <f>IF(tbl_Clean[[#This Row],[Cars]]&lt;=1,"0-1 Cars","2+ Cars")</f>
        <v>2+ Cars</v>
      </c>
      <c r="S239" s="20">
        <f>_xlfn.XMATCH(tbl_Clean[[#This Row],[Commute Distance]],{"0-1 Miles","1-2 Miles","2-5 Miles","5-10 Miles","10+ Miles"})</f>
        <v>5</v>
      </c>
      <c r="T239" s="20">
        <f>_xlfn.XMATCH(tbl_Clean[[#This Row],[Education]],{"Partial High School","High School","Partial College","Bachelors","Graduate Degree"})</f>
        <v>4</v>
      </c>
      <c r="U239" s="20">
        <f>IF(tbl_Clean[[#This Row],[Purchased Bike]]="Yes",1,0)</f>
        <v>1</v>
      </c>
    </row>
    <row r="240" spans="1:21" x14ac:dyDescent="0.25">
      <c r="A240" s="20">
        <v>11340</v>
      </c>
      <c r="B240" s="3" t="s">
        <v>111</v>
      </c>
      <c r="C240" s="3" t="s">
        <v>112</v>
      </c>
      <c r="D240" s="19">
        <v>10000</v>
      </c>
      <c r="E240" s="20">
        <v>1</v>
      </c>
      <c r="F240" s="3" t="s">
        <v>34</v>
      </c>
      <c r="G240" s="3" t="s">
        <v>22</v>
      </c>
      <c r="H240" s="3" t="s">
        <v>17</v>
      </c>
      <c r="I240" s="20">
        <v>0</v>
      </c>
      <c r="J240" s="3" t="s">
        <v>18</v>
      </c>
      <c r="K240" s="3" t="s">
        <v>19</v>
      </c>
      <c r="L240" s="20">
        <v>70</v>
      </c>
      <c r="M240" s="3" t="s">
        <v>17</v>
      </c>
      <c r="N240" s="20" t="str" cm="1">
        <f t="array" ref="N240">_xlfn.IFS(tbl_Clean[[#This Row],[Age]]&lt;=30,"25-30",tbl_Clean[[#This Row],[Age]]&lt;=40,"31-40",tbl_Clean[[#This Row],[Age]]&lt;=50,"41-50",tbl_Clean[[#This Row],[Age]]&lt;=60,"51-60",TRUE,"61+")</f>
        <v>61+</v>
      </c>
      <c r="O240" s="20">
        <f>_xlfn.XMATCH(tbl_Clean[[#This Row],[Age Band]],{"25-30","31-40","41-50","51-60","61+"})</f>
        <v>5</v>
      </c>
      <c r="P240" s="20" t="str" cm="1">
        <f t="array" ref="P240">_xlfn.IFS(tbl_Clean[[#This Row],[Income]]&lt;=30000,"$10k-30k",tbl_Clean[[#This Row],[Income]]&lt;=60000,"$40k-60k",tbl_Clean[[#This Row],[Income]]&lt;=90000,"$70k-90k",TRUE,"$100k+")</f>
        <v>$10k-30k</v>
      </c>
      <c r="Q240" s="20">
        <f>_xlfn.XMATCH(tbl_Clean[[#This Row],[Income Band]],{"$10k-30k","$40k-60k","$70k-90k","$100k+"})</f>
        <v>1</v>
      </c>
      <c r="R240" s="20" t="str">
        <f>IF(tbl_Clean[[#This Row],[Cars]]&lt;=1,"0-1 Cars","2+ Cars")</f>
        <v>0-1 Cars</v>
      </c>
      <c r="S240" s="20">
        <f>_xlfn.XMATCH(tbl_Clean[[#This Row],[Commute Distance]],{"0-1 Miles","1-2 Miles","2-5 Miles","5-10 Miles","10+ Miles"})</f>
        <v>1</v>
      </c>
      <c r="T240" s="20">
        <f>_xlfn.XMATCH(tbl_Clean[[#This Row],[Education]],{"Partial High School","High School","Partial College","Bachelors","Graduate Degree"})</f>
        <v>5</v>
      </c>
      <c r="U240" s="20">
        <f>IF(tbl_Clean[[#This Row],[Purchased Bike]]="Yes",1,0)</f>
        <v>1</v>
      </c>
    </row>
    <row r="241" spans="1:21" x14ac:dyDescent="0.25">
      <c r="A241" s="20">
        <v>25693</v>
      </c>
      <c r="B241" s="3" t="s">
        <v>114</v>
      </c>
      <c r="C241" s="3" t="s">
        <v>112</v>
      </c>
      <c r="D241" s="19">
        <v>30000</v>
      </c>
      <c r="E241" s="20">
        <v>5</v>
      </c>
      <c r="F241" s="3" t="s">
        <v>34</v>
      </c>
      <c r="G241" s="3" t="s">
        <v>22</v>
      </c>
      <c r="H241" s="3" t="s">
        <v>17</v>
      </c>
      <c r="I241" s="20">
        <v>0</v>
      </c>
      <c r="J241" s="3" t="s">
        <v>18</v>
      </c>
      <c r="K241" s="3" t="s">
        <v>19</v>
      </c>
      <c r="L241" s="20">
        <v>44</v>
      </c>
      <c r="M241" s="3" t="s">
        <v>17</v>
      </c>
      <c r="N241" s="20" t="str" cm="1">
        <f t="array" ref="N241">_xlfn.IFS(tbl_Clean[[#This Row],[Age]]&lt;=30,"25-30",tbl_Clean[[#This Row],[Age]]&lt;=40,"31-40",tbl_Clean[[#This Row],[Age]]&lt;=50,"41-50",tbl_Clean[[#This Row],[Age]]&lt;=60,"51-60",TRUE,"61+")</f>
        <v>41-50</v>
      </c>
      <c r="O241" s="20">
        <f>_xlfn.XMATCH(tbl_Clean[[#This Row],[Age Band]],{"25-30","31-40","41-50","51-60","61+"})</f>
        <v>3</v>
      </c>
      <c r="P241" s="20" t="str" cm="1">
        <f t="array" ref="P241">_xlfn.IFS(tbl_Clean[[#This Row],[Income]]&lt;=30000,"$10k-30k",tbl_Clean[[#This Row],[Income]]&lt;=60000,"$40k-60k",tbl_Clean[[#This Row],[Income]]&lt;=90000,"$70k-90k",TRUE,"$100k+")</f>
        <v>$10k-30k</v>
      </c>
      <c r="Q241" s="20">
        <f>_xlfn.XMATCH(tbl_Clean[[#This Row],[Income Band]],{"$10k-30k","$40k-60k","$70k-90k","$100k+"})</f>
        <v>1</v>
      </c>
      <c r="R241" s="20" t="str">
        <f>IF(tbl_Clean[[#This Row],[Cars]]&lt;=1,"0-1 Cars","2+ Cars")</f>
        <v>0-1 Cars</v>
      </c>
      <c r="S241" s="20">
        <f>_xlfn.XMATCH(tbl_Clean[[#This Row],[Commute Distance]],{"0-1 Miles","1-2 Miles","2-5 Miles","5-10 Miles","10+ Miles"})</f>
        <v>1</v>
      </c>
      <c r="T241" s="20">
        <f>_xlfn.XMATCH(tbl_Clean[[#This Row],[Education]],{"Partial High School","High School","Partial College","Bachelors","Graduate Degree"})</f>
        <v>5</v>
      </c>
      <c r="U241" s="20">
        <f>IF(tbl_Clean[[#This Row],[Purchased Bike]]="Yes",1,0)</f>
        <v>1</v>
      </c>
    </row>
    <row r="242" spans="1:21" x14ac:dyDescent="0.25">
      <c r="A242" s="20">
        <v>25555</v>
      </c>
      <c r="B242" s="3" t="s">
        <v>111</v>
      </c>
      <c r="C242" s="3" t="s">
        <v>112</v>
      </c>
      <c r="D242" s="19">
        <v>10000</v>
      </c>
      <c r="E242" s="20">
        <v>0</v>
      </c>
      <c r="F242" s="3" t="s">
        <v>21</v>
      </c>
      <c r="G242" s="3" t="s">
        <v>28</v>
      </c>
      <c r="H242" s="3" t="s">
        <v>20</v>
      </c>
      <c r="I242" s="20">
        <v>1</v>
      </c>
      <c r="J242" s="3" t="s">
        <v>18</v>
      </c>
      <c r="K242" s="3" t="s">
        <v>27</v>
      </c>
      <c r="L242" s="20">
        <v>26</v>
      </c>
      <c r="M242" s="3" t="s">
        <v>17</v>
      </c>
      <c r="N242" s="20" t="str" cm="1">
        <f t="array" ref="N242">_xlfn.IFS(tbl_Clean[[#This Row],[Age]]&lt;=30,"25-30",tbl_Clean[[#This Row],[Age]]&lt;=40,"31-40",tbl_Clean[[#This Row],[Age]]&lt;=50,"41-50",tbl_Clean[[#This Row],[Age]]&lt;=60,"51-60",TRUE,"61+")</f>
        <v>25-30</v>
      </c>
      <c r="O242" s="20">
        <f>_xlfn.XMATCH(tbl_Clean[[#This Row],[Age Band]],{"25-30","31-40","41-50","51-60","61+"})</f>
        <v>1</v>
      </c>
      <c r="P242" s="20" t="str" cm="1">
        <f t="array" ref="P242">_xlfn.IFS(tbl_Clean[[#This Row],[Income]]&lt;=30000,"$10k-30k",tbl_Clean[[#This Row],[Income]]&lt;=60000,"$40k-60k",tbl_Clean[[#This Row],[Income]]&lt;=90000,"$70k-90k",TRUE,"$100k+")</f>
        <v>$10k-30k</v>
      </c>
      <c r="Q242" s="20">
        <f>_xlfn.XMATCH(tbl_Clean[[#This Row],[Income Band]],{"$10k-30k","$40k-60k","$70k-90k","$100k+"})</f>
        <v>1</v>
      </c>
      <c r="R242" s="20" t="str">
        <f>IF(tbl_Clean[[#This Row],[Cars]]&lt;=1,"0-1 Cars","2+ Cars")</f>
        <v>0-1 Cars</v>
      </c>
      <c r="S242" s="20">
        <f>_xlfn.XMATCH(tbl_Clean[[#This Row],[Commute Distance]],{"0-1 Miles","1-2 Miles","2-5 Miles","5-10 Miles","10+ Miles"})</f>
        <v>1</v>
      </c>
      <c r="T242" s="20">
        <f>_xlfn.XMATCH(tbl_Clean[[#This Row],[Education]],{"Partial High School","High School","Partial College","Bachelors","Graduate Degree"})</f>
        <v>3</v>
      </c>
      <c r="U242" s="20">
        <f>IF(tbl_Clean[[#This Row],[Purchased Bike]]="Yes",1,0)</f>
        <v>1</v>
      </c>
    </row>
    <row r="243" spans="1:21" x14ac:dyDescent="0.25">
      <c r="A243" s="20">
        <v>22006</v>
      </c>
      <c r="B243" s="3" t="s">
        <v>111</v>
      </c>
      <c r="C243" s="3" t="s">
        <v>113</v>
      </c>
      <c r="D243" s="19">
        <v>70000</v>
      </c>
      <c r="E243" s="20">
        <v>5</v>
      </c>
      <c r="F243" s="3" t="s">
        <v>21</v>
      </c>
      <c r="G243" s="3" t="s">
        <v>16</v>
      </c>
      <c r="H243" s="3" t="s">
        <v>17</v>
      </c>
      <c r="I243" s="20">
        <v>3</v>
      </c>
      <c r="J243" s="3" t="s">
        <v>26</v>
      </c>
      <c r="K243" s="3" t="s">
        <v>27</v>
      </c>
      <c r="L243" s="20">
        <v>46</v>
      </c>
      <c r="M243" s="3" t="s">
        <v>20</v>
      </c>
      <c r="N243" s="20" t="str" cm="1">
        <f t="array" ref="N243">_xlfn.IFS(tbl_Clean[[#This Row],[Age]]&lt;=30,"25-30",tbl_Clean[[#This Row],[Age]]&lt;=40,"31-40",tbl_Clean[[#This Row],[Age]]&lt;=50,"41-50",tbl_Clean[[#This Row],[Age]]&lt;=60,"51-60",TRUE,"61+")</f>
        <v>41-50</v>
      </c>
      <c r="O243" s="20">
        <f>_xlfn.XMATCH(tbl_Clean[[#This Row],[Age Band]],{"25-30","31-40","41-50","51-60","61+"})</f>
        <v>3</v>
      </c>
      <c r="P243" s="20" t="str" cm="1">
        <f t="array" ref="P243">_xlfn.IFS(tbl_Clean[[#This Row],[Income]]&lt;=30000,"$10k-30k",tbl_Clean[[#This Row],[Income]]&lt;=60000,"$40k-60k",tbl_Clean[[#This Row],[Income]]&lt;=90000,"$70k-90k",TRUE,"$100k+")</f>
        <v>$70k-90k</v>
      </c>
      <c r="Q243" s="20">
        <f>_xlfn.XMATCH(tbl_Clean[[#This Row],[Income Band]],{"$10k-30k","$40k-60k","$70k-90k","$100k+"})</f>
        <v>3</v>
      </c>
      <c r="R243" s="20" t="str">
        <f>IF(tbl_Clean[[#This Row],[Cars]]&lt;=1,"0-1 Cars","2+ Cars")</f>
        <v>2+ Cars</v>
      </c>
      <c r="S243" s="20">
        <f>_xlfn.XMATCH(tbl_Clean[[#This Row],[Commute Distance]],{"0-1 Miles","1-2 Miles","2-5 Miles","5-10 Miles","10+ Miles"})</f>
        <v>4</v>
      </c>
      <c r="T243" s="20">
        <f>_xlfn.XMATCH(tbl_Clean[[#This Row],[Education]],{"Partial High School","High School","Partial College","Bachelors","Graduate Degree"})</f>
        <v>3</v>
      </c>
      <c r="U243" s="20">
        <f>IF(tbl_Clean[[#This Row],[Purchased Bike]]="Yes",1,0)</f>
        <v>0</v>
      </c>
    </row>
    <row r="244" spans="1:21" x14ac:dyDescent="0.25">
      <c r="A244" s="20">
        <v>20060</v>
      </c>
      <c r="B244" s="3" t="s">
        <v>114</v>
      </c>
      <c r="C244" s="3" t="s">
        <v>112</v>
      </c>
      <c r="D244" s="19">
        <v>30000</v>
      </c>
      <c r="E244" s="20">
        <v>0</v>
      </c>
      <c r="F244" s="3" t="s">
        <v>30</v>
      </c>
      <c r="G244" s="3" t="s">
        <v>28</v>
      </c>
      <c r="H244" s="3" t="s">
        <v>20</v>
      </c>
      <c r="I244" s="20">
        <v>1</v>
      </c>
      <c r="J244" s="3" t="s">
        <v>24</v>
      </c>
      <c r="K244" s="3" t="s">
        <v>19</v>
      </c>
      <c r="L244" s="20">
        <v>34</v>
      </c>
      <c r="M244" s="3" t="s">
        <v>17</v>
      </c>
      <c r="N244" s="20" t="str" cm="1">
        <f t="array" ref="N244">_xlfn.IFS(tbl_Clean[[#This Row],[Age]]&lt;=30,"25-30",tbl_Clean[[#This Row],[Age]]&lt;=40,"31-40",tbl_Clean[[#This Row],[Age]]&lt;=50,"41-50",tbl_Clean[[#This Row],[Age]]&lt;=60,"51-60",TRUE,"61+")</f>
        <v>31-40</v>
      </c>
      <c r="O244" s="20">
        <f>_xlfn.XMATCH(tbl_Clean[[#This Row],[Age Band]],{"25-30","31-40","41-50","51-60","61+"})</f>
        <v>2</v>
      </c>
      <c r="P244" s="20" t="str" cm="1">
        <f t="array" ref="P244">_xlfn.IFS(tbl_Clean[[#This Row],[Income]]&lt;=30000,"$10k-30k",tbl_Clean[[#This Row],[Income]]&lt;=60000,"$40k-60k",tbl_Clean[[#This Row],[Income]]&lt;=90000,"$70k-90k",TRUE,"$100k+")</f>
        <v>$10k-30k</v>
      </c>
      <c r="Q244" s="20">
        <f>_xlfn.XMATCH(tbl_Clean[[#This Row],[Income Band]],{"$10k-30k","$40k-60k","$70k-90k","$100k+"})</f>
        <v>1</v>
      </c>
      <c r="R244" s="20" t="str">
        <f>IF(tbl_Clean[[#This Row],[Cars]]&lt;=1,"0-1 Cars","2+ Cars")</f>
        <v>0-1 Cars</v>
      </c>
      <c r="S244" s="20">
        <f>_xlfn.XMATCH(tbl_Clean[[#This Row],[Commute Distance]],{"0-1 Miles","1-2 Miles","2-5 Miles","5-10 Miles","10+ Miles"})</f>
        <v>3</v>
      </c>
      <c r="T244" s="20">
        <f>_xlfn.XMATCH(tbl_Clean[[#This Row],[Education]],{"Partial High School","High School","Partial College","Bachelors","Graduate Degree"})</f>
        <v>2</v>
      </c>
      <c r="U244" s="20">
        <f>IF(tbl_Clean[[#This Row],[Purchased Bike]]="Yes",1,0)</f>
        <v>1</v>
      </c>
    </row>
    <row r="245" spans="1:21" x14ac:dyDescent="0.25">
      <c r="A245" s="20">
        <v>17702</v>
      </c>
      <c r="B245" s="3" t="s">
        <v>111</v>
      </c>
      <c r="C245" s="3" t="s">
        <v>113</v>
      </c>
      <c r="D245" s="19">
        <v>10000</v>
      </c>
      <c r="E245" s="20">
        <v>1</v>
      </c>
      <c r="F245" s="3" t="s">
        <v>34</v>
      </c>
      <c r="G245" s="3" t="s">
        <v>28</v>
      </c>
      <c r="H245" s="3" t="s">
        <v>17</v>
      </c>
      <c r="I245" s="20">
        <v>0</v>
      </c>
      <c r="J245" s="3" t="s">
        <v>18</v>
      </c>
      <c r="K245" s="3" t="s">
        <v>19</v>
      </c>
      <c r="L245" s="20">
        <v>37</v>
      </c>
      <c r="M245" s="3" t="s">
        <v>20</v>
      </c>
      <c r="N245" s="20" t="str" cm="1">
        <f t="array" ref="N245">_xlfn.IFS(tbl_Clean[[#This Row],[Age]]&lt;=30,"25-30",tbl_Clean[[#This Row],[Age]]&lt;=40,"31-40",tbl_Clean[[#This Row],[Age]]&lt;=50,"41-50",tbl_Clean[[#This Row],[Age]]&lt;=60,"51-60",TRUE,"61+")</f>
        <v>31-40</v>
      </c>
      <c r="O245" s="20">
        <f>_xlfn.XMATCH(tbl_Clean[[#This Row],[Age Band]],{"25-30","31-40","41-50","51-60","61+"})</f>
        <v>2</v>
      </c>
      <c r="P245" s="20" t="str" cm="1">
        <f t="array" ref="P245">_xlfn.IFS(tbl_Clean[[#This Row],[Income]]&lt;=30000,"$10k-30k",tbl_Clean[[#This Row],[Income]]&lt;=60000,"$40k-60k",tbl_Clean[[#This Row],[Income]]&lt;=90000,"$70k-90k",TRUE,"$100k+")</f>
        <v>$10k-30k</v>
      </c>
      <c r="Q245" s="20">
        <f>_xlfn.XMATCH(tbl_Clean[[#This Row],[Income Band]],{"$10k-30k","$40k-60k","$70k-90k","$100k+"})</f>
        <v>1</v>
      </c>
      <c r="R245" s="20" t="str">
        <f>IF(tbl_Clean[[#This Row],[Cars]]&lt;=1,"0-1 Cars","2+ Cars")</f>
        <v>0-1 Cars</v>
      </c>
      <c r="S245" s="20">
        <f>_xlfn.XMATCH(tbl_Clean[[#This Row],[Commute Distance]],{"0-1 Miles","1-2 Miles","2-5 Miles","5-10 Miles","10+ Miles"})</f>
        <v>1</v>
      </c>
      <c r="T245" s="20">
        <f>_xlfn.XMATCH(tbl_Clean[[#This Row],[Education]],{"Partial High School","High School","Partial College","Bachelors","Graduate Degree"})</f>
        <v>5</v>
      </c>
      <c r="U245" s="20">
        <f>IF(tbl_Clean[[#This Row],[Purchased Bike]]="Yes",1,0)</f>
        <v>0</v>
      </c>
    </row>
    <row r="246" spans="1:21" x14ac:dyDescent="0.25">
      <c r="A246" s="20">
        <v>12503</v>
      </c>
      <c r="B246" s="3" t="s">
        <v>114</v>
      </c>
      <c r="C246" s="3" t="s">
        <v>112</v>
      </c>
      <c r="D246" s="19">
        <v>30000</v>
      </c>
      <c r="E246" s="20">
        <v>3</v>
      </c>
      <c r="F246" s="3" t="s">
        <v>21</v>
      </c>
      <c r="G246" s="3" t="s">
        <v>22</v>
      </c>
      <c r="H246" s="3" t="s">
        <v>17</v>
      </c>
      <c r="I246" s="20">
        <v>2</v>
      </c>
      <c r="J246" s="3" t="s">
        <v>18</v>
      </c>
      <c r="K246" s="3" t="s">
        <v>19</v>
      </c>
      <c r="L246" s="20">
        <v>27</v>
      </c>
      <c r="M246" s="3" t="s">
        <v>20</v>
      </c>
      <c r="N246" s="20" t="str" cm="1">
        <f t="array" ref="N246">_xlfn.IFS(tbl_Clean[[#This Row],[Age]]&lt;=30,"25-30",tbl_Clean[[#This Row],[Age]]&lt;=40,"31-40",tbl_Clean[[#This Row],[Age]]&lt;=50,"41-50",tbl_Clean[[#This Row],[Age]]&lt;=60,"51-60",TRUE,"61+")</f>
        <v>25-30</v>
      </c>
      <c r="O246" s="20">
        <f>_xlfn.XMATCH(tbl_Clean[[#This Row],[Age Band]],{"25-30","31-40","41-50","51-60","61+"})</f>
        <v>1</v>
      </c>
      <c r="P246" s="20" t="str" cm="1">
        <f t="array" ref="P246">_xlfn.IFS(tbl_Clean[[#This Row],[Income]]&lt;=30000,"$10k-30k",tbl_Clean[[#This Row],[Income]]&lt;=60000,"$40k-60k",tbl_Clean[[#This Row],[Income]]&lt;=90000,"$70k-90k",TRUE,"$100k+")</f>
        <v>$10k-30k</v>
      </c>
      <c r="Q246" s="20">
        <f>_xlfn.XMATCH(tbl_Clean[[#This Row],[Income Band]],{"$10k-30k","$40k-60k","$70k-90k","$100k+"})</f>
        <v>1</v>
      </c>
      <c r="R246" s="20" t="str">
        <f>IF(tbl_Clean[[#This Row],[Cars]]&lt;=1,"0-1 Cars","2+ Cars")</f>
        <v>2+ Cars</v>
      </c>
      <c r="S246" s="20">
        <f>_xlfn.XMATCH(tbl_Clean[[#This Row],[Commute Distance]],{"0-1 Miles","1-2 Miles","2-5 Miles","5-10 Miles","10+ Miles"})</f>
        <v>1</v>
      </c>
      <c r="T246" s="20">
        <f>_xlfn.XMATCH(tbl_Clean[[#This Row],[Education]],{"Partial High School","High School","Partial College","Bachelors","Graduate Degree"})</f>
        <v>3</v>
      </c>
      <c r="U246" s="20">
        <f>IF(tbl_Clean[[#This Row],[Purchased Bike]]="Yes",1,0)</f>
        <v>0</v>
      </c>
    </row>
    <row r="247" spans="1:21" x14ac:dyDescent="0.25">
      <c r="A247" s="20">
        <v>23908</v>
      </c>
      <c r="B247" s="3" t="s">
        <v>114</v>
      </c>
      <c r="C247" s="3" t="s">
        <v>113</v>
      </c>
      <c r="D247" s="19">
        <v>30000</v>
      </c>
      <c r="E247" s="20">
        <v>1</v>
      </c>
      <c r="F247" s="3" t="s">
        <v>15</v>
      </c>
      <c r="G247" s="3" t="s">
        <v>22</v>
      </c>
      <c r="H247" s="3" t="s">
        <v>20</v>
      </c>
      <c r="I247" s="20">
        <v>1</v>
      </c>
      <c r="J247" s="3" t="s">
        <v>18</v>
      </c>
      <c r="K247" s="3" t="s">
        <v>19</v>
      </c>
      <c r="L247" s="20">
        <v>39</v>
      </c>
      <c r="M247" s="3" t="s">
        <v>17</v>
      </c>
      <c r="N247" s="20" t="str" cm="1">
        <f t="array" ref="N247">_xlfn.IFS(tbl_Clean[[#This Row],[Age]]&lt;=30,"25-30",tbl_Clean[[#This Row],[Age]]&lt;=40,"31-40",tbl_Clean[[#This Row],[Age]]&lt;=50,"41-50",tbl_Clean[[#This Row],[Age]]&lt;=60,"51-60",TRUE,"61+")</f>
        <v>31-40</v>
      </c>
      <c r="O247" s="20">
        <f>_xlfn.XMATCH(tbl_Clean[[#This Row],[Age Band]],{"25-30","31-40","41-50","51-60","61+"})</f>
        <v>2</v>
      </c>
      <c r="P247" s="20" t="str" cm="1">
        <f t="array" ref="P247">_xlfn.IFS(tbl_Clean[[#This Row],[Income]]&lt;=30000,"$10k-30k",tbl_Clean[[#This Row],[Income]]&lt;=60000,"$40k-60k",tbl_Clean[[#This Row],[Income]]&lt;=90000,"$70k-90k",TRUE,"$100k+")</f>
        <v>$10k-30k</v>
      </c>
      <c r="Q247" s="20">
        <f>_xlfn.XMATCH(tbl_Clean[[#This Row],[Income Band]],{"$10k-30k","$40k-60k","$70k-90k","$100k+"})</f>
        <v>1</v>
      </c>
      <c r="R247" s="20" t="str">
        <f>IF(tbl_Clean[[#This Row],[Cars]]&lt;=1,"0-1 Cars","2+ Cars")</f>
        <v>0-1 Cars</v>
      </c>
      <c r="S247" s="20">
        <f>_xlfn.XMATCH(tbl_Clean[[#This Row],[Commute Distance]],{"0-1 Miles","1-2 Miles","2-5 Miles","5-10 Miles","10+ Miles"})</f>
        <v>1</v>
      </c>
      <c r="T247" s="20">
        <f>_xlfn.XMATCH(tbl_Clean[[#This Row],[Education]],{"Partial High School","High School","Partial College","Bachelors","Graduate Degree"})</f>
        <v>4</v>
      </c>
      <c r="U247" s="20">
        <f>IF(tbl_Clean[[#This Row],[Purchased Bike]]="Yes",1,0)</f>
        <v>1</v>
      </c>
    </row>
    <row r="248" spans="1:21" x14ac:dyDescent="0.25">
      <c r="A248" s="20">
        <v>22527</v>
      </c>
      <c r="B248" s="3" t="s">
        <v>114</v>
      </c>
      <c r="C248" s="3" t="s">
        <v>112</v>
      </c>
      <c r="D248" s="19">
        <v>20000</v>
      </c>
      <c r="E248" s="20">
        <v>0</v>
      </c>
      <c r="F248" s="3" t="s">
        <v>30</v>
      </c>
      <c r="G248" s="3" t="s">
        <v>28</v>
      </c>
      <c r="H248" s="3" t="s">
        <v>20</v>
      </c>
      <c r="I248" s="20">
        <v>1</v>
      </c>
      <c r="J248" s="3" t="s">
        <v>24</v>
      </c>
      <c r="K248" s="3" t="s">
        <v>19</v>
      </c>
      <c r="L248" s="20">
        <v>29</v>
      </c>
      <c r="M248" s="3" t="s">
        <v>20</v>
      </c>
      <c r="N248" s="20" t="str" cm="1">
        <f t="array" ref="N248">_xlfn.IFS(tbl_Clean[[#This Row],[Age]]&lt;=30,"25-30",tbl_Clean[[#This Row],[Age]]&lt;=40,"31-40",tbl_Clean[[#This Row],[Age]]&lt;=50,"41-50",tbl_Clean[[#This Row],[Age]]&lt;=60,"51-60",TRUE,"61+")</f>
        <v>25-30</v>
      </c>
      <c r="O248" s="20">
        <f>_xlfn.XMATCH(tbl_Clean[[#This Row],[Age Band]],{"25-30","31-40","41-50","51-60","61+"})</f>
        <v>1</v>
      </c>
      <c r="P248" s="20" t="str" cm="1">
        <f t="array" ref="P248">_xlfn.IFS(tbl_Clean[[#This Row],[Income]]&lt;=30000,"$10k-30k",tbl_Clean[[#This Row],[Income]]&lt;=60000,"$40k-60k",tbl_Clean[[#This Row],[Income]]&lt;=90000,"$70k-90k",TRUE,"$100k+")</f>
        <v>$10k-30k</v>
      </c>
      <c r="Q248" s="20">
        <f>_xlfn.XMATCH(tbl_Clean[[#This Row],[Income Band]],{"$10k-30k","$40k-60k","$70k-90k","$100k+"})</f>
        <v>1</v>
      </c>
      <c r="R248" s="20" t="str">
        <f>IF(tbl_Clean[[#This Row],[Cars]]&lt;=1,"0-1 Cars","2+ Cars")</f>
        <v>0-1 Cars</v>
      </c>
      <c r="S248" s="20">
        <f>_xlfn.XMATCH(tbl_Clean[[#This Row],[Commute Distance]],{"0-1 Miles","1-2 Miles","2-5 Miles","5-10 Miles","10+ Miles"})</f>
        <v>3</v>
      </c>
      <c r="T248" s="20">
        <f>_xlfn.XMATCH(tbl_Clean[[#This Row],[Education]],{"Partial High School","High School","Partial College","Bachelors","Graduate Degree"})</f>
        <v>2</v>
      </c>
      <c r="U248" s="20">
        <f>IF(tbl_Clean[[#This Row],[Purchased Bike]]="Yes",1,0)</f>
        <v>0</v>
      </c>
    </row>
    <row r="249" spans="1:21" x14ac:dyDescent="0.25">
      <c r="A249" s="20">
        <v>19057</v>
      </c>
      <c r="B249" s="3" t="s">
        <v>111</v>
      </c>
      <c r="C249" s="3" t="s">
        <v>112</v>
      </c>
      <c r="D249" s="19">
        <v>120000</v>
      </c>
      <c r="E249" s="20">
        <v>3</v>
      </c>
      <c r="F249" s="3" t="s">
        <v>15</v>
      </c>
      <c r="G249" s="3" t="s">
        <v>31</v>
      </c>
      <c r="H249" s="3" t="s">
        <v>20</v>
      </c>
      <c r="I249" s="20">
        <v>2</v>
      </c>
      <c r="J249" s="3" t="s">
        <v>33</v>
      </c>
      <c r="K249" s="3" t="s">
        <v>19</v>
      </c>
      <c r="L249" s="20">
        <v>52</v>
      </c>
      <c r="M249" s="3" t="s">
        <v>17</v>
      </c>
      <c r="N249" s="20" t="str" cm="1">
        <f t="array" ref="N249">_xlfn.IFS(tbl_Clean[[#This Row],[Age]]&lt;=30,"25-30",tbl_Clean[[#This Row],[Age]]&lt;=40,"31-40",tbl_Clean[[#This Row],[Age]]&lt;=50,"41-50",tbl_Clean[[#This Row],[Age]]&lt;=60,"51-60",TRUE,"61+")</f>
        <v>51-60</v>
      </c>
      <c r="O249" s="20">
        <f>_xlfn.XMATCH(tbl_Clean[[#This Row],[Age Band]],{"25-30","31-40","41-50","51-60","61+"})</f>
        <v>4</v>
      </c>
      <c r="P249" s="20" t="str" cm="1">
        <f t="array" ref="P249">_xlfn.IFS(tbl_Clean[[#This Row],[Income]]&lt;=30000,"$10k-30k",tbl_Clean[[#This Row],[Income]]&lt;=60000,"$40k-60k",tbl_Clean[[#This Row],[Income]]&lt;=90000,"$70k-90k",TRUE,"$100k+")</f>
        <v>$100k+</v>
      </c>
      <c r="Q249" s="20">
        <f>_xlfn.XMATCH(tbl_Clean[[#This Row],[Income Band]],{"$10k-30k","$40k-60k","$70k-90k","$100k+"})</f>
        <v>4</v>
      </c>
      <c r="R249" s="20" t="str">
        <f>IF(tbl_Clean[[#This Row],[Cars]]&lt;=1,"0-1 Cars","2+ Cars")</f>
        <v>2+ Cars</v>
      </c>
      <c r="S249" s="20">
        <f>_xlfn.XMATCH(tbl_Clean[[#This Row],[Commute Distance]],{"0-1 Miles","1-2 Miles","2-5 Miles","5-10 Miles","10+ Miles"})</f>
        <v>5</v>
      </c>
      <c r="T249" s="20">
        <f>_xlfn.XMATCH(tbl_Clean[[#This Row],[Education]],{"Partial High School","High School","Partial College","Bachelors","Graduate Degree"})</f>
        <v>4</v>
      </c>
      <c r="U249" s="20">
        <f>IF(tbl_Clean[[#This Row],[Purchased Bike]]="Yes",1,0)</f>
        <v>1</v>
      </c>
    </row>
    <row r="250" spans="1:21" x14ac:dyDescent="0.25">
      <c r="A250" s="20">
        <v>18494</v>
      </c>
      <c r="B250" s="3" t="s">
        <v>111</v>
      </c>
      <c r="C250" s="3" t="s">
        <v>113</v>
      </c>
      <c r="D250" s="19">
        <v>110000</v>
      </c>
      <c r="E250" s="20">
        <v>5</v>
      </c>
      <c r="F250" s="3" t="s">
        <v>15</v>
      </c>
      <c r="G250" s="3" t="s">
        <v>31</v>
      </c>
      <c r="H250" s="3" t="s">
        <v>17</v>
      </c>
      <c r="I250" s="20">
        <v>4</v>
      </c>
      <c r="J250" s="3" t="s">
        <v>24</v>
      </c>
      <c r="K250" s="3" t="s">
        <v>27</v>
      </c>
      <c r="L250" s="20">
        <v>48</v>
      </c>
      <c r="M250" s="3" t="s">
        <v>17</v>
      </c>
      <c r="N250" s="20" t="str" cm="1">
        <f t="array" ref="N250">_xlfn.IFS(tbl_Clean[[#This Row],[Age]]&lt;=30,"25-30",tbl_Clean[[#This Row],[Age]]&lt;=40,"31-40",tbl_Clean[[#This Row],[Age]]&lt;=50,"41-50",tbl_Clean[[#This Row],[Age]]&lt;=60,"51-60",TRUE,"61+")</f>
        <v>41-50</v>
      </c>
      <c r="O250" s="20">
        <f>_xlfn.XMATCH(tbl_Clean[[#This Row],[Age Band]],{"25-30","31-40","41-50","51-60","61+"})</f>
        <v>3</v>
      </c>
      <c r="P250" s="20" t="str" cm="1">
        <f t="array" ref="P250">_xlfn.IFS(tbl_Clean[[#This Row],[Income]]&lt;=30000,"$10k-30k",tbl_Clean[[#This Row],[Income]]&lt;=60000,"$40k-60k",tbl_Clean[[#This Row],[Income]]&lt;=90000,"$70k-90k",TRUE,"$100k+")</f>
        <v>$100k+</v>
      </c>
      <c r="Q250" s="20">
        <f>_xlfn.XMATCH(tbl_Clean[[#This Row],[Income Band]],{"$10k-30k","$40k-60k","$70k-90k","$100k+"})</f>
        <v>4</v>
      </c>
      <c r="R250" s="20" t="str">
        <f>IF(tbl_Clean[[#This Row],[Cars]]&lt;=1,"0-1 Cars","2+ Cars")</f>
        <v>2+ Cars</v>
      </c>
      <c r="S250" s="20">
        <f>_xlfn.XMATCH(tbl_Clean[[#This Row],[Commute Distance]],{"0-1 Miles","1-2 Miles","2-5 Miles","5-10 Miles","10+ Miles"})</f>
        <v>3</v>
      </c>
      <c r="T250" s="20">
        <f>_xlfn.XMATCH(tbl_Clean[[#This Row],[Education]],{"Partial High School","High School","Partial College","Bachelors","Graduate Degree"})</f>
        <v>4</v>
      </c>
      <c r="U250" s="20">
        <f>IF(tbl_Clean[[#This Row],[Purchased Bike]]="Yes",1,0)</f>
        <v>1</v>
      </c>
    </row>
    <row r="251" spans="1:21" x14ac:dyDescent="0.25">
      <c r="A251" s="20">
        <v>11249</v>
      </c>
      <c r="B251" s="3" t="s">
        <v>111</v>
      </c>
      <c r="C251" s="3" t="s">
        <v>112</v>
      </c>
      <c r="D251" s="19">
        <v>130000</v>
      </c>
      <c r="E251" s="20">
        <v>3</v>
      </c>
      <c r="F251" s="3" t="s">
        <v>21</v>
      </c>
      <c r="G251" s="3" t="s">
        <v>23</v>
      </c>
      <c r="H251" s="3" t="s">
        <v>17</v>
      </c>
      <c r="I251" s="20">
        <v>3</v>
      </c>
      <c r="J251" s="3" t="s">
        <v>18</v>
      </c>
      <c r="K251" s="3" t="s">
        <v>19</v>
      </c>
      <c r="L251" s="20">
        <v>51</v>
      </c>
      <c r="M251" s="3" t="s">
        <v>17</v>
      </c>
      <c r="N251" s="20" t="str" cm="1">
        <f t="array" ref="N251">_xlfn.IFS(tbl_Clean[[#This Row],[Age]]&lt;=30,"25-30",tbl_Clean[[#This Row],[Age]]&lt;=40,"31-40",tbl_Clean[[#This Row],[Age]]&lt;=50,"41-50",tbl_Clean[[#This Row],[Age]]&lt;=60,"51-60",TRUE,"61+")</f>
        <v>51-60</v>
      </c>
      <c r="O251" s="20">
        <f>_xlfn.XMATCH(tbl_Clean[[#This Row],[Age Band]],{"25-30","31-40","41-50","51-60","61+"})</f>
        <v>4</v>
      </c>
      <c r="P251" s="20" t="str" cm="1">
        <f t="array" ref="P251">_xlfn.IFS(tbl_Clean[[#This Row],[Income]]&lt;=30000,"$10k-30k",tbl_Clean[[#This Row],[Income]]&lt;=60000,"$40k-60k",tbl_Clean[[#This Row],[Income]]&lt;=90000,"$70k-90k",TRUE,"$100k+")</f>
        <v>$100k+</v>
      </c>
      <c r="Q251" s="20">
        <f>_xlfn.XMATCH(tbl_Clean[[#This Row],[Income Band]],{"$10k-30k","$40k-60k","$70k-90k","$100k+"})</f>
        <v>4</v>
      </c>
      <c r="R251" s="20" t="str">
        <f>IF(tbl_Clean[[#This Row],[Cars]]&lt;=1,"0-1 Cars","2+ Cars")</f>
        <v>2+ Cars</v>
      </c>
      <c r="S251" s="20">
        <f>_xlfn.XMATCH(tbl_Clean[[#This Row],[Commute Distance]],{"0-1 Miles","1-2 Miles","2-5 Miles","5-10 Miles","10+ Miles"})</f>
        <v>1</v>
      </c>
      <c r="T251" s="20">
        <f>_xlfn.XMATCH(tbl_Clean[[#This Row],[Education]],{"Partial High School","High School","Partial College","Bachelors","Graduate Degree"})</f>
        <v>3</v>
      </c>
      <c r="U251" s="20">
        <f>IF(tbl_Clean[[#This Row],[Purchased Bike]]="Yes",1,0)</f>
        <v>1</v>
      </c>
    </row>
    <row r="252" spans="1:21" x14ac:dyDescent="0.25">
      <c r="A252" s="20">
        <v>21568</v>
      </c>
      <c r="B252" s="3" t="s">
        <v>111</v>
      </c>
      <c r="C252" s="3" t="s">
        <v>112</v>
      </c>
      <c r="D252" s="19">
        <v>100000</v>
      </c>
      <c r="E252" s="20">
        <v>0</v>
      </c>
      <c r="F252" s="3" t="s">
        <v>30</v>
      </c>
      <c r="G252" s="3" t="s">
        <v>31</v>
      </c>
      <c r="H252" s="3" t="s">
        <v>17</v>
      </c>
      <c r="I252" s="20">
        <v>4</v>
      </c>
      <c r="J252" s="3" t="s">
        <v>33</v>
      </c>
      <c r="K252" s="3" t="s">
        <v>27</v>
      </c>
      <c r="L252" s="20">
        <v>34</v>
      </c>
      <c r="M252" s="3" t="s">
        <v>17</v>
      </c>
      <c r="N252" s="20" t="str" cm="1">
        <f t="array" ref="N252">_xlfn.IFS(tbl_Clean[[#This Row],[Age]]&lt;=30,"25-30",tbl_Clean[[#This Row],[Age]]&lt;=40,"31-40",tbl_Clean[[#This Row],[Age]]&lt;=50,"41-50",tbl_Clean[[#This Row],[Age]]&lt;=60,"51-60",TRUE,"61+")</f>
        <v>31-40</v>
      </c>
      <c r="O252" s="20">
        <f>_xlfn.XMATCH(tbl_Clean[[#This Row],[Age Band]],{"25-30","31-40","41-50","51-60","61+"})</f>
        <v>2</v>
      </c>
      <c r="P252" s="20" t="str" cm="1">
        <f t="array" ref="P252">_xlfn.IFS(tbl_Clean[[#This Row],[Income]]&lt;=30000,"$10k-30k",tbl_Clean[[#This Row],[Income]]&lt;=60000,"$40k-60k",tbl_Clean[[#This Row],[Income]]&lt;=90000,"$70k-90k",TRUE,"$100k+")</f>
        <v>$100k+</v>
      </c>
      <c r="Q252" s="20">
        <f>_xlfn.XMATCH(tbl_Clean[[#This Row],[Income Band]],{"$10k-30k","$40k-60k","$70k-90k","$100k+"})</f>
        <v>4</v>
      </c>
      <c r="R252" s="20" t="str">
        <f>IF(tbl_Clean[[#This Row],[Cars]]&lt;=1,"0-1 Cars","2+ Cars")</f>
        <v>2+ Cars</v>
      </c>
      <c r="S252" s="20">
        <f>_xlfn.XMATCH(tbl_Clean[[#This Row],[Commute Distance]],{"0-1 Miles","1-2 Miles","2-5 Miles","5-10 Miles","10+ Miles"})</f>
        <v>5</v>
      </c>
      <c r="T252" s="20">
        <f>_xlfn.XMATCH(tbl_Clean[[#This Row],[Education]],{"Partial High School","High School","Partial College","Bachelors","Graduate Degree"})</f>
        <v>2</v>
      </c>
      <c r="U252" s="20">
        <f>IF(tbl_Clean[[#This Row],[Purchased Bike]]="Yes",1,0)</f>
        <v>1</v>
      </c>
    </row>
    <row r="253" spans="1:21" x14ac:dyDescent="0.25">
      <c r="A253" s="20">
        <v>13981</v>
      </c>
      <c r="B253" s="3" t="s">
        <v>111</v>
      </c>
      <c r="C253" s="3" t="s">
        <v>112</v>
      </c>
      <c r="D253" s="19">
        <v>10000</v>
      </c>
      <c r="E253" s="20">
        <v>5</v>
      </c>
      <c r="F253" s="3" t="s">
        <v>30</v>
      </c>
      <c r="G253" s="3" t="s">
        <v>16</v>
      </c>
      <c r="H253" s="3" t="s">
        <v>20</v>
      </c>
      <c r="I253" s="20">
        <v>3</v>
      </c>
      <c r="J253" s="3" t="s">
        <v>29</v>
      </c>
      <c r="K253" s="3" t="s">
        <v>27</v>
      </c>
      <c r="L253" s="20">
        <v>62</v>
      </c>
      <c r="M253" s="3" t="s">
        <v>20</v>
      </c>
      <c r="N253" s="20" t="str" cm="1">
        <f t="array" ref="N253">_xlfn.IFS(tbl_Clean[[#This Row],[Age]]&lt;=30,"25-30",tbl_Clean[[#This Row],[Age]]&lt;=40,"31-40",tbl_Clean[[#This Row],[Age]]&lt;=50,"41-50",tbl_Clean[[#This Row],[Age]]&lt;=60,"51-60",TRUE,"61+")</f>
        <v>61+</v>
      </c>
      <c r="O253" s="20">
        <f>_xlfn.XMATCH(tbl_Clean[[#This Row],[Age Band]],{"25-30","31-40","41-50","51-60","61+"})</f>
        <v>5</v>
      </c>
      <c r="P253" s="20" t="str" cm="1">
        <f t="array" ref="P253">_xlfn.IFS(tbl_Clean[[#This Row],[Income]]&lt;=30000,"$10k-30k",tbl_Clean[[#This Row],[Income]]&lt;=60000,"$40k-60k",tbl_Clean[[#This Row],[Income]]&lt;=90000,"$70k-90k",TRUE,"$100k+")</f>
        <v>$10k-30k</v>
      </c>
      <c r="Q253" s="20">
        <f>_xlfn.XMATCH(tbl_Clean[[#This Row],[Income Band]],{"$10k-30k","$40k-60k","$70k-90k","$100k+"})</f>
        <v>1</v>
      </c>
      <c r="R253" s="20" t="str">
        <f>IF(tbl_Clean[[#This Row],[Cars]]&lt;=1,"0-1 Cars","2+ Cars")</f>
        <v>2+ Cars</v>
      </c>
      <c r="S253" s="20">
        <f>_xlfn.XMATCH(tbl_Clean[[#This Row],[Commute Distance]],{"0-1 Miles","1-2 Miles","2-5 Miles","5-10 Miles","10+ Miles"})</f>
        <v>2</v>
      </c>
      <c r="T253" s="20">
        <f>_xlfn.XMATCH(tbl_Clean[[#This Row],[Education]],{"Partial High School","High School","Partial College","Bachelors","Graduate Degree"})</f>
        <v>2</v>
      </c>
      <c r="U253" s="20">
        <f>IF(tbl_Clean[[#This Row],[Purchased Bike]]="Yes",1,0)</f>
        <v>0</v>
      </c>
    </row>
    <row r="254" spans="1:21" x14ac:dyDescent="0.25">
      <c r="A254" s="20">
        <v>23432</v>
      </c>
      <c r="B254" s="3" t="s">
        <v>114</v>
      </c>
      <c r="C254" s="3" t="s">
        <v>113</v>
      </c>
      <c r="D254" s="19">
        <v>70000</v>
      </c>
      <c r="E254" s="20">
        <v>0</v>
      </c>
      <c r="F254" s="3" t="s">
        <v>15</v>
      </c>
      <c r="G254" s="3" t="s">
        <v>23</v>
      </c>
      <c r="H254" s="3" t="s">
        <v>17</v>
      </c>
      <c r="I254" s="20">
        <v>1</v>
      </c>
      <c r="J254" s="3" t="s">
        <v>26</v>
      </c>
      <c r="K254" s="3" t="s">
        <v>27</v>
      </c>
      <c r="L254" s="20">
        <v>37</v>
      </c>
      <c r="M254" s="3" t="s">
        <v>17</v>
      </c>
      <c r="N254" s="20" t="str" cm="1">
        <f t="array" ref="N254">_xlfn.IFS(tbl_Clean[[#This Row],[Age]]&lt;=30,"25-30",tbl_Clean[[#This Row],[Age]]&lt;=40,"31-40",tbl_Clean[[#This Row],[Age]]&lt;=50,"41-50",tbl_Clean[[#This Row],[Age]]&lt;=60,"51-60",TRUE,"61+")</f>
        <v>31-40</v>
      </c>
      <c r="O254" s="20">
        <f>_xlfn.XMATCH(tbl_Clean[[#This Row],[Age Band]],{"25-30","31-40","41-50","51-60","61+"})</f>
        <v>2</v>
      </c>
      <c r="P254" s="20" t="str" cm="1">
        <f t="array" ref="P254">_xlfn.IFS(tbl_Clean[[#This Row],[Income]]&lt;=30000,"$10k-30k",tbl_Clean[[#This Row],[Income]]&lt;=60000,"$40k-60k",tbl_Clean[[#This Row],[Income]]&lt;=90000,"$70k-90k",TRUE,"$100k+")</f>
        <v>$70k-90k</v>
      </c>
      <c r="Q254" s="20">
        <f>_xlfn.XMATCH(tbl_Clean[[#This Row],[Income Band]],{"$10k-30k","$40k-60k","$70k-90k","$100k+"})</f>
        <v>3</v>
      </c>
      <c r="R254" s="20" t="str">
        <f>IF(tbl_Clean[[#This Row],[Cars]]&lt;=1,"0-1 Cars","2+ Cars")</f>
        <v>0-1 Cars</v>
      </c>
      <c r="S254" s="20">
        <f>_xlfn.XMATCH(tbl_Clean[[#This Row],[Commute Distance]],{"0-1 Miles","1-2 Miles","2-5 Miles","5-10 Miles","10+ Miles"})</f>
        <v>4</v>
      </c>
      <c r="T254" s="20">
        <f>_xlfn.XMATCH(tbl_Clean[[#This Row],[Education]],{"Partial High School","High School","Partial College","Bachelors","Graduate Degree"})</f>
        <v>4</v>
      </c>
      <c r="U254" s="20">
        <f>IF(tbl_Clean[[#This Row],[Purchased Bike]]="Yes",1,0)</f>
        <v>1</v>
      </c>
    </row>
    <row r="255" spans="1:21" x14ac:dyDescent="0.25">
      <c r="A255" s="20">
        <v>22931</v>
      </c>
      <c r="B255" s="3" t="s">
        <v>111</v>
      </c>
      <c r="C255" s="3" t="s">
        <v>113</v>
      </c>
      <c r="D255" s="19">
        <v>100000</v>
      </c>
      <c r="E255" s="20">
        <v>5</v>
      </c>
      <c r="F255" s="3" t="s">
        <v>34</v>
      </c>
      <c r="G255" s="3" t="s">
        <v>31</v>
      </c>
      <c r="H255" s="3" t="s">
        <v>20</v>
      </c>
      <c r="I255" s="20">
        <v>1</v>
      </c>
      <c r="J255" s="3" t="s">
        <v>29</v>
      </c>
      <c r="K255" s="3" t="s">
        <v>27</v>
      </c>
      <c r="L255" s="20">
        <v>78</v>
      </c>
      <c r="M255" s="3" t="s">
        <v>17</v>
      </c>
      <c r="N255" s="20" t="str" cm="1">
        <f t="array" ref="N255">_xlfn.IFS(tbl_Clean[[#This Row],[Age]]&lt;=30,"25-30",tbl_Clean[[#This Row],[Age]]&lt;=40,"31-40",tbl_Clean[[#This Row],[Age]]&lt;=50,"41-50",tbl_Clean[[#This Row],[Age]]&lt;=60,"51-60",TRUE,"61+")</f>
        <v>61+</v>
      </c>
      <c r="O255" s="20">
        <f>_xlfn.XMATCH(tbl_Clean[[#This Row],[Age Band]],{"25-30","31-40","41-50","51-60","61+"})</f>
        <v>5</v>
      </c>
      <c r="P255" s="20" t="str" cm="1">
        <f t="array" ref="P255">_xlfn.IFS(tbl_Clean[[#This Row],[Income]]&lt;=30000,"$10k-30k",tbl_Clean[[#This Row],[Income]]&lt;=60000,"$40k-60k",tbl_Clean[[#This Row],[Income]]&lt;=90000,"$70k-90k",TRUE,"$100k+")</f>
        <v>$100k+</v>
      </c>
      <c r="Q255" s="20">
        <f>_xlfn.XMATCH(tbl_Clean[[#This Row],[Income Band]],{"$10k-30k","$40k-60k","$70k-90k","$100k+"})</f>
        <v>4</v>
      </c>
      <c r="R255" s="20" t="str">
        <f>IF(tbl_Clean[[#This Row],[Cars]]&lt;=1,"0-1 Cars","2+ Cars")</f>
        <v>0-1 Cars</v>
      </c>
      <c r="S255" s="20">
        <f>_xlfn.XMATCH(tbl_Clean[[#This Row],[Commute Distance]],{"0-1 Miles","1-2 Miles","2-5 Miles","5-10 Miles","10+ Miles"})</f>
        <v>2</v>
      </c>
      <c r="T255" s="20">
        <f>_xlfn.XMATCH(tbl_Clean[[#This Row],[Education]],{"Partial High School","High School","Partial College","Bachelors","Graduate Degree"})</f>
        <v>5</v>
      </c>
      <c r="U255" s="20">
        <f>IF(tbl_Clean[[#This Row],[Purchased Bike]]="Yes",1,0)</f>
        <v>1</v>
      </c>
    </row>
    <row r="256" spans="1:21" x14ac:dyDescent="0.25">
      <c r="A256" s="20">
        <v>18172</v>
      </c>
      <c r="B256" s="3" t="s">
        <v>111</v>
      </c>
      <c r="C256" s="3" t="s">
        <v>113</v>
      </c>
      <c r="D256" s="19">
        <v>130000</v>
      </c>
      <c r="E256" s="20">
        <v>4</v>
      </c>
      <c r="F256" s="3" t="s">
        <v>30</v>
      </c>
      <c r="G256" s="3" t="s">
        <v>23</v>
      </c>
      <c r="H256" s="3" t="s">
        <v>17</v>
      </c>
      <c r="I256" s="20">
        <v>3</v>
      </c>
      <c r="J256" s="3" t="s">
        <v>18</v>
      </c>
      <c r="K256" s="3" t="s">
        <v>19</v>
      </c>
      <c r="L256" s="20">
        <v>55</v>
      </c>
      <c r="M256" s="3" t="s">
        <v>20</v>
      </c>
      <c r="N256" s="20" t="str" cm="1">
        <f t="array" ref="N256">_xlfn.IFS(tbl_Clean[[#This Row],[Age]]&lt;=30,"25-30",tbl_Clean[[#This Row],[Age]]&lt;=40,"31-40",tbl_Clean[[#This Row],[Age]]&lt;=50,"41-50",tbl_Clean[[#This Row],[Age]]&lt;=60,"51-60",TRUE,"61+")</f>
        <v>51-60</v>
      </c>
      <c r="O256" s="20">
        <f>_xlfn.XMATCH(tbl_Clean[[#This Row],[Age Band]],{"25-30","31-40","41-50","51-60","61+"})</f>
        <v>4</v>
      </c>
      <c r="P256" s="20" t="str" cm="1">
        <f t="array" ref="P256">_xlfn.IFS(tbl_Clean[[#This Row],[Income]]&lt;=30000,"$10k-30k",tbl_Clean[[#This Row],[Income]]&lt;=60000,"$40k-60k",tbl_Clean[[#This Row],[Income]]&lt;=90000,"$70k-90k",TRUE,"$100k+")</f>
        <v>$100k+</v>
      </c>
      <c r="Q256" s="20">
        <f>_xlfn.XMATCH(tbl_Clean[[#This Row],[Income Band]],{"$10k-30k","$40k-60k","$70k-90k","$100k+"})</f>
        <v>4</v>
      </c>
      <c r="R256" s="20" t="str">
        <f>IF(tbl_Clean[[#This Row],[Cars]]&lt;=1,"0-1 Cars","2+ Cars")</f>
        <v>2+ Cars</v>
      </c>
      <c r="S256" s="20">
        <f>_xlfn.XMATCH(tbl_Clean[[#This Row],[Commute Distance]],{"0-1 Miles","1-2 Miles","2-5 Miles","5-10 Miles","10+ Miles"})</f>
        <v>1</v>
      </c>
      <c r="T256" s="20">
        <f>_xlfn.XMATCH(tbl_Clean[[#This Row],[Education]],{"Partial High School","High School","Partial College","Bachelors","Graduate Degree"})</f>
        <v>2</v>
      </c>
      <c r="U256" s="20">
        <f>IF(tbl_Clean[[#This Row],[Purchased Bike]]="Yes",1,0)</f>
        <v>0</v>
      </c>
    </row>
    <row r="257" spans="1:21" x14ac:dyDescent="0.25">
      <c r="A257" s="20">
        <v>12666</v>
      </c>
      <c r="B257" s="3" t="s">
        <v>114</v>
      </c>
      <c r="C257" s="3" t="s">
        <v>113</v>
      </c>
      <c r="D257" s="19">
        <v>60000</v>
      </c>
      <c r="E257" s="20">
        <v>0</v>
      </c>
      <c r="F257" s="3" t="s">
        <v>15</v>
      </c>
      <c r="G257" s="3" t="s">
        <v>23</v>
      </c>
      <c r="H257" s="3" t="s">
        <v>20</v>
      </c>
      <c r="I257" s="20">
        <v>4</v>
      </c>
      <c r="J257" s="3" t="s">
        <v>24</v>
      </c>
      <c r="K257" s="3" t="s">
        <v>27</v>
      </c>
      <c r="L257" s="20">
        <v>31</v>
      </c>
      <c r="M257" s="3" t="s">
        <v>20</v>
      </c>
      <c r="N257" s="20" t="str" cm="1">
        <f t="array" ref="N257">_xlfn.IFS(tbl_Clean[[#This Row],[Age]]&lt;=30,"25-30",tbl_Clean[[#This Row],[Age]]&lt;=40,"31-40",tbl_Clean[[#This Row],[Age]]&lt;=50,"41-50",tbl_Clean[[#This Row],[Age]]&lt;=60,"51-60",TRUE,"61+")</f>
        <v>31-40</v>
      </c>
      <c r="O257" s="20">
        <f>_xlfn.XMATCH(tbl_Clean[[#This Row],[Age Band]],{"25-30","31-40","41-50","51-60","61+"})</f>
        <v>2</v>
      </c>
      <c r="P257" s="20" t="str" cm="1">
        <f t="array" ref="P257">_xlfn.IFS(tbl_Clean[[#This Row],[Income]]&lt;=30000,"$10k-30k",tbl_Clean[[#This Row],[Income]]&lt;=60000,"$40k-60k",tbl_Clean[[#This Row],[Income]]&lt;=90000,"$70k-90k",TRUE,"$100k+")</f>
        <v>$40k-60k</v>
      </c>
      <c r="Q257" s="20">
        <f>_xlfn.XMATCH(tbl_Clean[[#This Row],[Income Band]],{"$10k-30k","$40k-60k","$70k-90k","$100k+"})</f>
        <v>2</v>
      </c>
      <c r="R257" s="20" t="str">
        <f>IF(tbl_Clean[[#This Row],[Cars]]&lt;=1,"0-1 Cars","2+ Cars")</f>
        <v>2+ Cars</v>
      </c>
      <c r="S257" s="20">
        <f>_xlfn.XMATCH(tbl_Clean[[#This Row],[Commute Distance]],{"0-1 Miles","1-2 Miles","2-5 Miles","5-10 Miles","10+ Miles"})</f>
        <v>3</v>
      </c>
      <c r="T257" s="20">
        <f>_xlfn.XMATCH(tbl_Clean[[#This Row],[Education]],{"Partial High School","High School","Partial College","Bachelors","Graduate Degree"})</f>
        <v>4</v>
      </c>
      <c r="U257" s="20">
        <f>IF(tbl_Clean[[#This Row],[Purchased Bike]]="Yes",1,0)</f>
        <v>0</v>
      </c>
    </row>
    <row r="258" spans="1:21" x14ac:dyDescent="0.25">
      <c r="A258" s="20">
        <v>20598</v>
      </c>
      <c r="B258" s="3" t="s">
        <v>111</v>
      </c>
      <c r="C258" s="3" t="s">
        <v>113</v>
      </c>
      <c r="D258" s="19">
        <v>100000</v>
      </c>
      <c r="E258" s="20">
        <v>3</v>
      </c>
      <c r="F258" s="3" t="s">
        <v>32</v>
      </c>
      <c r="G258" s="3" t="s">
        <v>23</v>
      </c>
      <c r="H258" s="3" t="s">
        <v>17</v>
      </c>
      <c r="I258" s="20">
        <v>0</v>
      </c>
      <c r="J258" s="3" t="s">
        <v>33</v>
      </c>
      <c r="K258" s="3" t="s">
        <v>19</v>
      </c>
      <c r="L258" s="20">
        <v>59</v>
      </c>
      <c r="M258" s="3" t="s">
        <v>17</v>
      </c>
      <c r="N258" s="20" t="str" cm="1">
        <f t="array" ref="N258">_xlfn.IFS(tbl_Clean[[#This Row],[Age]]&lt;=30,"25-30",tbl_Clean[[#This Row],[Age]]&lt;=40,"31-40",tbl_Clean[[#This Row],[Age]]&lt;=50,"41-50",tbl_Clean[[#This Row],[Age]]&lt;=60,"51-60",TRUE,"61+")</f>
        <v>51-60</v>
      </c>
      <c r="O258" s="20">
        <f>_xlfn.XMATCH(tbl_Clean[[#This Row],[Age Band]],{"25-30","31-40","41-50","51-60","61+"})</f>
        <v>4</v>
      </c>
      <c r="P258" s="20" t="str" cm="1">
        <f t="array" ref="P258">_xlfn.IFS(tbl_Clean[[#This Row],[Income]]&lt;=30000,"$10k-30k",tbl_Clean[[#This Row],[Income]]&lt;=60000,"$40k-60k",tbl_Clean[[#This Row],[Income]]&lt;=90000,"$70k-90k",TRUE,"$100k+")</f>
        <v>$100k+</v>
      </c>
      <c r="Q258" s="20">
        <f>_xlfn.XMATCH(tbl_Clean[[#This Row],[Income Band]],{"$10k-30k","$40k-60k","$70k-90k","$100k+"})</f>
        <v>4</v>
      </c>
      <c r="R258" s="20" t="str">
        <f>IF(tbl_Clean[[#This Row],[Cars]]&lt;=1,"0-1 Cars","2+ Cars")</f>
        <v>0-1 Cars</v>
      </c>
      <c r="S258" s="20">
        <f>_xlfn.XMATCH(tbl_Clean[[#This Row],[Commute Distance]],{"0-1 Miles","1-2 Miles","2-5 Miles","5-10 Miles","10+ Miles"})</f>
        <v>5</v>
      </c>
      <c r="T258" s="20">
        <f>_xlfn.XMATCH(tbl_Clean[[#This Row],[Education]],{"Partial High School","High School","Partial College","Bachelors","Graduate Degree"})</f>
        <v>1</v>
      </c>
      <c r="U258" s="20">
        <f>IF(tbl_Clean[[#This Row],[Purchased Bike]]="Yes",1,0)</f>
        <v>1</v>
      </c>
    </row>
    <row r="259" spans="1:21" x14ac:dyDescent="0.25">
      <c r="A259" s="20">
        <v>21375</v>
      </c>
      <c r="B259" s="3" t="s">
        <v>114</v>
      </c>
      <c r="C259" s="3" t="s">
        <v>113</v>
      </c>
      <c r="D259" s="19">
        <v>20000</v>
      </c>
      <c r="E259" s="20">
        <v>2</v>
      </c>
      <c r="F259" s="3" t="s">
        <v>32</v>
      </c>
      <c r="G259" s="3" t="s">
        <v>22</v>
      </c>
      <c r="H259" s="3" t="s">
        <v>17</v>
      </c>
      <c r="I259" s="20">
        <v>2</v>
      </c>
      <c r="J259" s="3" t="s">
        <v>26</v>
      </c>
      <c r="K259" s="3" t="s">
        <v>27</v>
      </c>
      <c r="L259" s="20">
        <v>57</v>
      </c>
      <c r="M259" s="3" t="s">
        <v>20</v>
      </c>
      <c r="N259" s="20" t="str" cm="1">
        <f t="array" ref="N259">_xlfn.IFS(tbl_Clean[[#This Row],[Age]]&lt;=30,"25-30",tbl_Clean[[#This Row],[Age]]&lt;=40,"31-40",tbl_Clean[[#This Row],[Age]]&lt;=50,"41-50",tbl_Clean[[#This Row],[Age]]&lt;=60,"51-60",TRUE,"61+")</f>
        <v>51-60</v>
      </c>
      <c r="O259" s="20">
        <f>_xlfn.XMATCH(tbl_Clean[[#This Row],[Age Band]],{"25-30","31-40","41-50","51-60","61+"})</f>
        <v>4</v>
      </c>
      <c r="P259" s="20" t="str" cm="1">
        <f t="array" ref="P259">_xlfn.IFS(tbl_Clean[[#This Row],[Income]]&lt;=30000,"$10k-30k",tbl_Clean[[#This Row],[Income]]&lt;=60000,"$40k-60k",tbl_Clean[[#This Row],[Income]]&lt;=90000,"$70k-90k",TRUE,"$100k+")</f>
        <v>$10k-30k</v>
      </c>
      <c r="Q259" s="20">
        <f>_xlfn.XMATCH(tbl_Clean[[#This Row],[Income Band]],{"$10k-30k","$40k-60k","$70k-90k","$100k+"})</f>
        <v>1</v>
      </c>
      <c r="R259" s="20" t="str">
        <f>IF(tbl_Clean[[#This Row],[Cars]]&lt;=1,"0-1 Cars","2+ Cars")</f>
        <v>2+ Cars</v>
      </c>
      <c r="S259" s="20">
        <f>_xlfn.XMATCH(tbl_Clean[[#This Row],[Commute Distance]],{"0-1 Miles","1-2 Miles","2-5 Miles","5-10 Miles","10+ Miles"})</f>
        <v>4</v>
      </c>
      <c r="T259" s="20">
        <f>_xlfn.XMATCH(tbl_Clean[[#This Row],[Education]],{"Partial High School","High School","Partial College","Bachelors","Graduate Degree"})</f>
        <v>1</v>
      </c>
      <c r="U259" s="20">
        <f>IF(tbl_Clean[[#This Row],[Purchased Bike]]="Yes",1,0)</f>
        <v>0</v>
      </c>
    </row>
    <row r="260" spans="1:21" x14ac:dyDescent="0.25">
      <c r="A260" s="20">
        <v>20839</v>
      </c>
      <c r="B260" s="3" t="s">
        <v>114</v>
      </c>
      <c r="C260" s="3" t="s">
        <v>112</v>
      </c>
      <c r="D260" s="19">
        <v>30000</v>
      </c>
      <c r="E260" s="20">
        <v>3</v>
      </c>
      <c r="F260" s="3" t="s">
        <v>34</v>
      </c>
      <c r="G260" s="3" t="s">
        <v>22</v>
      </c>
      <c r="H260" s="3" t="s">
        <v>17</v>
      </c>
      <c r="I260" s="20">
        <v>0</v>
      </c>
      <c r="J260" s="3" t="s">
        <v>18</v>
      </c>
      <c r="K260" s="3" t="s">
        <v>19</v>
      </c>
      <c r="L260" s="20">
        <v>47</v>
      </c>
      <c r="M260" s="3" t="s">
        <v>17</v>
      </c>
      <c r="N260" s="20" t="str" cm="1">
        <f t="array" ref="N260">_xlfn.IFS(tbl_Clean[[#This Row],[Age]]&lt;=30,"25-30",tbl_Clean[[#This Row],[Age]]&lt;=40,"31-40",tbl_Clean[[#This Row],[Age]]&lt;=50,"41-50",tbl_Clean[[#This Row],[Age]]&lt;=60,"51-60",TRUE,"61+")</f>
        <v>41-50</v>
      </c>
      <c r="O260" s="20">
        <f>_xlfn.XMATCH(tbl_Clean[[#This Row],[Age Band]],{"25-30","31-40","41-50","51-60","61+"})</f>
        <v>3</v>
      </c>
      <c r="P260" s="20" t="str" cm="1">
        <f t="array" ref="P260">_xlfn.IFS(tbl_Clean[[#This Row],[Income]]&lt;=30000,"$10k-30k",tbl_Clean[[#This Row],[Income]]&lt;=60000,"$40k-60k",tbl_Clean[[#This Row],[Income]]&lt;=90000,"$70k-90k",TRUE,"$100k+")</f>
        <v>$10k-30k</v>
      </c>
      <c r="Q260" s="20">
        <f>_xlfn.XMATCH(tbl_Clean[[#This Row],[Income Band]],{"$10k-30k","$40k-60k","$70k-90k","$100k+"})</f>
        <v>1</v>
      </c>
      <c r="R260" s="20" t="str">
        <f>IF(tbl_Clean[[#This Row],[Cars]]&lt;=1,"0-1 Cars","2+ Cars")</f>
        <v>0-1 Cars</v>
      </c>
      <c r="S260" s="20">
        <f>_xlfn.XMATCH(tbl_Clean[[#This Row],[Commute Distance]],{"0-1 Miles","1-2 Miles","2-5 Miles","5-10 Miles","10+ Miles"})</f>
        <v>1</v>
      </c>
      <c r="T260" s="20">
        <f>_xlfn.XMATCH(tbl_Clean[[#This Row],[Education]],{"Partial High School","High School","Partial College","Bachelors","Graduate Degree"})</f>
        <v>5</v>
      </c>
      <c r="U260" s="20">
        <f>IF(tbl_Clean[[#This Row],[Purchased Bike]]="Yes",1,0)</f>
        <v>1</v>
      </c>
    </row>
    <row r="261" spans="1:21" x14ac:dyDescent="0.25">
      <c r="A261" s="20">
        <v>21738</v>
      </c>
      <c r="B261" s="3" t="s">
        <v>111</v>
      </c>
      <c r="C261" s="3" t="s">
        <v>113</v>
      </c>
      <c r="D261" s="19">
        <v>20000</v>
      </c>
      <c r="E261" s="20">
        <v>1</v>
      </c>
      <c r="F261" s="3" t="s">
        <v>34</v>
      </c>
      <c r="G261" s="3" t="s">
        <v>22</v>
      </c>
      <c r="H261" s="3" t="s">
        <v>17</v>
      </c>
      <c r="I261" s="20">
        <v>0</v>
      </c>
      <c r="J261" s="3" t="s">
        <v>18</v>
      </c>
      <c r="K261" s="3" t="s">
        <v>19</v>
      </c>
      <c r="L261" s="20">
        <v>43</v>
      </c>
      <c r="M261" s="3" t="s">
        <v>20</v>
      </c>
      <c r="N261" s="20" t="str" cm="1">
        <f t="array" ref="N261">_xlfn.IFS(tbl_Clean[[#This Row],[Age]]&lt;=30,"25-30",tbl_Clean[[#This Row],[Age]]&lt;=40,"31-40",tbl_Clean[[#This Row],[Age]]&lt;=50,"41-50",tbl_Clean[[#This Row],[Age]]&lt;=60,"51-60",TRUE,"61+")</f>
        <v>41-50</v>
      </c>
      <c r="O261" s="20">
        <f>_xlfn.XMATCH(tbl_Clean[[#This Row],[Age Band]],{"25-30","31-40","41-50","51-60","61+"})</f>
        <v>3</v>
      </c>
      <c r="P261" s="20" t="str" cm="1">
        <f t="array" ref="P261">_xlfn.IFS(tbl_Clean[[#This Row],[Income]]&lt;=30000,"$10k-30k",tbl_Clean[[#This Row],[Income]]&lt;=60000,"$40k-60k",tbl_Clean[[#This Row],[Income]]&lt;=90000,"$70k-90k",TRUE,"$100k+")</f>
        <v>$10k-30k</v>
      </c>
      <c r="Q261" s="20">
        <f>_xlfn.XMATCH(tbl_Clean[[#This Row],[Income Band]],{"$10k-30k","$40k-60k","$70k-90k","$100k+"})</f>
        <v>1</v>
      </c>
      <c r="R261" s="20" t="str">
        <f>IF(tbl_Clean[[#This Row],[Cars]]&lt;=1,"0-1 Cars","2+ Cars")</f>
        <v>0-1 Cars</v>
      </c>
      <c r="S261" s="20">
        <f>_xlfn.XMATCH(tbl_Clean[[#This Row],[Commute Distance]],{"0-1 Miles","1-2 Miles","2-5 Miles","5-10 Miles","10+ Miles"})</f>
        <v>1</v>
      </c>
      <c r="T261" s="20">
        <f>_xlfn.XMATCH(tbl_Clean[[#This Row],[Education]],{"Partial High School","High School","Partial College","Bachelors","Graduate Degree"})</f>
        <v>5</v>
      </c>
      <c r="U261" s="20">
        <f>IF(tbl_Clean[[#This Row],[Purchased Bike]]="Yes",1,0)</f>
        <v>0</v>
      </c>
    </row>
    <row r="262" spans="1:21" x14ac:dyDescent="0.25">
      <c r="A262" s="20">
        <v>14164</v>
      </c>
      <c r="B262" s="3" t="s">
        <v>114</v>
      </c>
      <c r="C262" s="3" t="s">
        <v>112</v>
      </c>
      <c r="D262" s="19">
        <v>50000</v>
      </c>
      <c r="E262" s="20">
        <v>0</v>
      </c>
      <c r="F262" s="3" t="s">
        <v>34</v>
      </c>
      <c r="G262" s="3" t="s">
        <v>16</v>
      </c>
      <c r="H262" s="3" t="s">
        <v>17</v>
      </c>
      <c r="I262" s="20">
        <v>0</v>
      </c>
      <c r="J262" s="3" t="s">
        <v>18</v>
      </c>
      <c r="K262" s="3" t="s">
        <v>19</v>
      </c>
      <c r="L262" s="20">
        <v>36</v>
      </c>
      <c r="M262" s="3" t="s">
        <v>17</v>
      </c>
      <c r="N262" s="20" t="str" cm="1">
        <f t="array" ref="N262">_xlfn.IFS(tbl_Clean[[#This Row],[Age]]&lt;=30,"25-30",tbl_Clean[[#This Row],[Age]]&lt;=40,"31-40",tbl_Clean[[#This Row],[Age]]&lt;=50,"41-50",tbl_Clean[[#This Row],[Age]]&lt;=60,"51-60",TRUE,"61+")</f>
        <v>31-40</v>
      </c>
      <c r="O262" s="20">
        <f>_xlfn.XMATCH(tbl_Clean[[#This Row],[Age Band]],{"25-30","31-40","41-50","51-60","61+"})</f>
        <v>2</v>
      </c>
      <c r="P262" s="20" t="str" cm="1">
        <f t="array" ref="P262">_xlfn.IFS(tbl_Clean[[#This Row],[Income]]&lt;=30000,"$10k-30k",tbl_Clean[[#This Row],[Income]]&lt;=60000,"$40k-60k",tbl_Clean[[#This Row],[Income]]&lt;=90000,"$70k-90k",TRUE,"$100k+")</f>
        <v>$40k-60k</v>
      </c>
      <c r="Q262" s="20">
        <f>_xlfn.XMATCH(tbl_Clean[[#This Row],[Income Band]],{"$10k-30k","$40k-60k","$70k-90k","$100k+"})</f>
        <v>2</v>
      </c>
      <c r="R262" s="20" t="str">
        <f>IF(tbl_Clean[[#This Row],[Cars]]&lt;=1,"0-1 Cars","2+ Cars")</f>
        <v>0-1 Cars</v>
      </c>
      <c r="S262" s="20">
        <f>_xlfn.XMATCH(tbl_Clean[[#This Row],[Commute Distance]],{"0-1 Miles","1-2 Miles","2-5 Miles","5-10 Miles","10+ Miles"})</f>
        <v>1</v>
      </c>
      <c r="T262" s="20">
        <f>_xlfn.XMATCH(tbl_Clean[[#This Row],[Education]],{"Partial High School","High School","Partial College","Bachelors","Graduate Degree"})</f>
        <v>5</v>
      </c>
      <c r="U262" s="20">
        <f>IF(tbl_Clean[[#This Row],[Purchased Bike]]="Yes",1,0)</f>
        <v>1</v>
      </c>
    </row>
    <row r="263" spans="1:21" x14ac:dyDescent="0.25">
      <c r="A263" s="20">
        <v>14193</v>
      </c>
      <c r="B263" s="3" t="s">
        <v>114</v>
      </c>
      <c r="C263" s="3" t="s">
        <v>112</v>
      </c>
      <c r="D263" s="19">
        <v>100000</v>
      </c>
      <c r="E263" s="20">
        <v>3</v>
      </c>
      <c r="F263" s="3" t="s">
        <v>21</v>
      </c>
      <c r="G263" s="3" t="s">
        <v>31</v>
      </c>
      <c r="H263" s="3" t="s">
        <v>17</v>
      </c>
      <c r="I263" s="20">
        <v>4</v>
      </c>
      <c r="J263" s="3" t="s">
        <v>33</v>
      </c>
      <c r="K263" s="3" t="s">
        <v>19</v>
      </c>
      <c r="L263" s="20">
        <v>56</v>
      </c>
      <c r="M263" s="3" t="s">
        <v>20</v>
      </c>
      <c r="N263" s="20" t="str" cm="1">
        <f t="array" ref="N263">_xlfn.IFS(tbl_Clean[[#This Row],[Age]]&lt;=30,"25-30",tbl_Clean[[#This Row],[Age]]&lt;=40,"31-40",tbl_Clean[[#This Row],[Age]]&lt;=50,"41-50",tbl_Clean[[#This Row],[Age]]&lt;=60,"51-60",TRUE,"61+")</f>
        <v>51-60</v>
      </c>
      <c r="O263" s="20">
        <f>_xlfn.XMATCH(tbl_Clean[[#This Row],[Age Band]],{"25-30","31-40","41-50","51-60","61+"})</f>
        <v>4</v>
      </c>
      <c r="P263" s="20" t="str" cm="1">
        <f t="array" ref="P263">_xlfn.IFS(tbl_Clean[[#This Row],[Income]]&lt;=30000,"$10k-30k",tbl_Clean[[#This Row],[Income]]&lt;=60000,"$40k-60k",tbl_Clean[[#This Row],[Income]]&lt;=90000,"$70k-90k",TRUE,"$100k+")</f>
        <v>$100k+</v>
      </c>
      <c r="Q263" s="20">
        <f>_xlfn.XMATCH(tbl_Clean[[#This Row],[Income Band]],{"$10k-30k","$40k-60k","$70k-90k","$100k+"})</f>
        <v>4</v>
      </c>
      <c r="R263" s="20" t="str">
        <f>IF(tbl_Clean[[#This Row],[Cars]]&lt;=1,"0-1 Cars","2+ Cars")</f>
        <v>2+ Cars</v>
      </c>
      <c r="S263" s="20">
        <f>_xlfn.XMATCH(tbl_Clean[[#This Row],[Commute Distance]],{"0-1 Miles","1-2 Miles","2-5 Miles","5-10 Miles","10+ Miles"})</f>
        <v>5</v>
      </c>
      <c r="T263" s="20">
        <f>_xlfn.XMATCH(tbl_Clean[[#This Row],[Education]],{"Partial High School","High School","Partial College","Bachelors","Graduate Degree"})</f>
        <v>3</v>
      </c>
      <c r="U263" s="20">
        <f>IF(tbl_Clean[[#This Row],[Purchased Bike]]="Yes",1,0)</f>
        <v>0</v>
      </c>
    </row>
    <row r="264" spans="1:21" x14ac:dyDescent="0.25">
      <c r="A264" s="20">
        <v>12705</v>
      </c>
      <c r="B264" s="3" t="s">
        <v>111</v>
      </c>
      <c r="C264" s="3" t="s">
        <v>113</v>
      </c>
      <c r="D264" s="19">
        <v>150000</v>
      </c>
      <c r="E264" s="20">
        <v>0</v>
      </c>
      <c r="F264" s="3" t="s">
        <v>15</v>
      </c>
      <c r="G264" s="3" t="s">
        <v>31</v>
      </c>
      <c r="H264" s="3" t="s">
        <v>17</v>
      </c>
      <c r="I264" s="20">
        <v>4</v>
      </c>
      <c r="J264" s="3" t="s">
        <v>18</v>
      </c>
      <c r="K264" s="3" t="s">
        <v>27</v>
      </c>
      <c r="L264" s="20">
        <v>37</v>
      </c>
      <c r="M264" s="3" t="s">
        <v>17</v>
      </c>
      <c r="N264" s="20" t="str" cm="1">
        <f t="array" ref="N264">_xlfn.IFS(tbl_Clean[[#This Row],[Age]]&lt;=30,"25-30",tbl_Clean[[#This Row],[Age]]&lt;=40,"31-40",tbl_Clean[[#This Row],[Age]]&lt;=50,"41-50",tbl_Clean[[#This Row],[Age]]&lt;=60,"51-60",TRUE,"61+")</f>
        <v>31-40</v>
      </c>
      <c r="O264" s="20">
        <f>_xlfn.XMATCH(tbl_Clean[[#This Row],[Age Band]],{"25-30","31-40","41-50","51-60","61+"})</f>
        <v>2</v>
      </c>
      <c r="P264" s="20" t="str" cm="1">
        <f t="array" ref="P264">_xlfn.IFS(tbl_Clean[[#This Row],[Income]]&lt;=30000,"$10k-30k",tbl_Clean[[#This Row],[Income]]&lt;=60000,"$40k-60k",tbl_Clean[[#This Row],[Income]]&lt;=90000,"$70k-90k",TRUE,"$100k+")</f>
        <v>$100k+</v>
      </c>
      <c r="Q264" s="20">
        <f>_xlfn.XMATCH(tbl_Clean[[#This Row],[Income Band]],{"$10k-30k","$40k-60k","$70k-90k","$100k+"})</f>
        <v>4</v>
      </c>
      <c r="R264" s="20" t="str">
        <f>IF(tbl_Clean[[#This Row],[Cars]]&lt;=1,"0-1 Cars","2+ Cars")</f>
        <v>2+ Cars</v>
      </c>
      <c r="S264" s="20">
        <f>_xlfn.XMATCH(tbl_Clean[[#This Row],[Commute Distance]],{"0-1 Miles","1-2 Miles","2-5 Miles","5-10 Miles","10+ Miles"})</f>
        <v>1</v>
      </c>
      <c r="T264" s="20">
        <f>_xlfn.XMATCH(tbl_Clean[[#This Row],[Education]],{"Partial High School","High School","Partial College","Bachelors","Graduate Degree"})</f>
        <v>4</v>
      </c>
      <c r="U264" s="20">
        <f>IF(tbl_Clean[[#This Row],[Purchased Bike]]="Yes",1,0)</f>
        <v>1</v>
      </c>
    </row>
    <row r="265" spans="1:21" x14ac:dyDescent="0.25">
      <c r="A265" s="20">
        <v>22672</v>
      </c>
      <c r="B265" s="3" t="s">
        <v>114</v>
      </c>
      <c r="C265" s="3" t="s">
        <v>112</v>
      </c>
      <c r="D265" s="19">
        <v>30000</v>
      </c>
      <c r="E265" s="20">
        <v>2</v>
      </c>
      <c r="F265" s="3" t="s">
        <v>21</v>
      </c>
      <c r="G265" s="3" t="s">
        <v>22</v>
      </c>
      <c r="H265" s="3" t="s">
        <v>17</v>
      </c>
      <c r="I265" s="20">
        <v>0</v>
      </c>
      <c r="J265" s="3" t="s">
        <v>18</v>
      </c>
      <c r="K265" s="3" t="s">
        <v>19</v>
      </c>
      <c r="L265" s="20">
        <v>43</v>
      </c>
      <c r="M265" s="3" t="s">
        <v>20</v>
      </c>
      <c r="N265" s="20" t="str" cm="1">
        <f t="array" ref="N265">_xlfn.IFS(tbl_Clean[[#This Row],[Age]]&lt;=30,"25-30",tbl_Clean[[#This Row],[Age]]&lt;=40,"31-40",tbl_Clean[[#This Row],[Age]]&lt;=50,"41-50",tbl_Clean[[#This Row],[Age]]&lt;=60,"51-60",TRUE,"61+")</f>
        <v>41-50</v>
      </c>
      <c r="O265" s="20">
        <f>_xlfn.XMATCH(tbl_Clean[[#This Row],[Age Band]],{"25-30","31-40","41-50","51-60","61+"})</f>
        <v>3</v>
      </c>
      <c r="P265" s="20" t="str" cm="1">
        <f t="array" ref="P265">_xlfn.IFS(tbl_Clean[[#This Row],[Income]]&lt;=30000,"$10k-30k",tbl_Clean[[#This Row],[Income]]&lt;=60000,"$40k-60k",tbl_Clean[[#This Row],[Income]]&lt;=90000,"$70k-90k",TRUE,"$100k+")</f>
        <v>$10k-30k</v>
      </c>
      <c r="Q265" s="20">
        <f>_xlfn.XMATCH(tbl_Clean[[#This Row],[Income Band]],{"$10k-30k","$40k-60k","$70k-90k","$100k+"})</f>
        <v>1</v>
      </c>
      <c r="R265" s="20" t="str">
        <f>IF(tbl_Clean[[#This Row],[Cars]]&lt;=1,"0-1 Cars","2+ Cars")</f>
        <v>0-1 Cars</v>
      </c>
      <c r="S265" s="20">
        <f>_xlfn.XMATCH(tbl_Clean[[#This Row],[Commute Distance]],{"0-1 Miles","1-2 Miles","2-5 Miles","5-10 Miles","10+ Miles"})</f>
        <v>1</v>
      </c>
      <c r="T265" s="20">
        <f>_xlfn.XMATCH(tbl_Clean[[#This Row],[Education]],{"Partial High School","High School","Partial College","Bachelors","Graduate Degree"})</f>
        <v>3</v>
      </c>
      <c r="U265" s="20">
        <f>IF(tbl_Clean[[#This Row],[Purchased Bike]]="Yes",1,0)</f>
        <v>0</v>
      </c>
    </row>
    <row r="266" spans="1:21" x14ac:dyDescent="0.25">
      <c r="A266" s="20">
        <v>26219</v>
      </c>
      <c r="B266" s="3" t="s">
        <v>111</v>
      </c>
      <c r="C266" s="3" t="s">
        <v>112</v>
      </c>
      <c r="D266" s="19">
        <v>40000</v>
      </c>
      <c r="E266" s="20">
        <v>1</v>
      </c>
      <c r="F266" s="3" t="s">
        <v>15</v>
      </c>
      <c r="G266" s="3" t="s">
        <v>16</v>
      </c>
      <c r="H266" s="3" t="s">
        <v>17</v>
      </c>
      <c r="I266" s="20">
        <v>1</v>
      </c>
      <c r="J266" s="3" t="s">
        <v>29</v>
      </c>
      <c r="K266" s="3" t="s">
        <v>19</v>
      </c>
      <c r="L266" s="20">
        <v>33</v>
      </c>
      <c r="M266" s="3" t="s">
        <v>17</v>
      </c>
      <c r="N266" s="20" t="str" cm="1">
        <f t="array" ref="N266">_xlfn.IFS(tbl_Clean[[#This Row],[Age]]&lt;=30,"25-30",tbl_Clean[[#This Row],[Age]]&lt;=40,"31-40",tbl_Clean[[#This Row],[Age]]&lt;=50,"41-50",tbl_Clean[[#This Row],[Age]]&lt;=60,"51-60",TRUE,"61+")</f>
        <v>31-40</v>
      </c>
      <c r="O266" s="20">
        <f>_xlfn.XMATCH(tbl_Clean[[#This Row],[Age Band]],{"25-30","31-40","41-50","51-60","61+"})</f>
        <v>2</v>
      </c>
      <c r="P266" s="20" t="str" cm="1">
        <f t="array" ref="P266">_xlfn.IFS(tbl_Clean[[#This Row],[Income]]&lt;=30000,"$10k-30k",tbl_Clean[[#This Row],[Income]]&lt;=60000,"$40k-60k",tbl_Clean[[#This Row],[Income]]&lt;=90000,"$70k-90k",TRUE,"$100k+")</f>
        <v>$40k-60k</v>
      </c>
      <c r="Q266" s="20">
        <f>_xlfn.XMATCH(tbl_Clean[[#This Row],[Income Band]],{"$10k-30k","$40k-60k","$70k-90k","$100k+"})</f>
        <v>2</v>
      </c>
      <c r="R266" s="20" t="str">
        <f>IF(tbl_Clean[[#This Row],[Cars]]&lt;=1,"0-1 Cars","2+ Cars")</f>
        <v>0-1 Cars</v>
      </c>
      <c r="S266" s="20">
        <f>_xlfn.XMATCH(tbl_Clean[[#This Row],[Commute Distance]],{"0-1 Miles","1-2 Miles","2-5 Miles","5-10 Miles","10+ Miles"})</f>
        <v>2</v>
      </c>
      <c r="T266" s="20">
        <f>_xlfn.XMATCH(tbl_Clean[[#This Row],[Education]],{"Partial High School","High School","Partial College","Bachelors","Graduate Degree"})</f>
        <v>4</v>
      </c>
      <c r="U266" s="20">
        <f>IF(tbl_Clean[[#This Row],[Purchased Bike]]="Yes",1,0)</f>
        <v>1</v>
      </c>
    </row>
    <row r="267" spans="1:21" x14ac:dyDescent="0.25">
      <c r="A267" s="20">
        <v>28468</v>
      </c>
      <c r="B267" s="3" t="s">
        <v>111</v>
      </c>
      <c r="C267" s="3" t="s">
        <v>112</v>
      </c>
      <c r="D267" s="19">
        <v>10000</v>
      </c>
      <c r="E267" s="20">
        <v>2</v>
      </c>
      <c r="F267" s="3" t="s">
        <v>21</v>
      </c>
      <c r="G267" s="3" t="s">
        <v>28</v>
      </c>
      <c r="H267" s="3" t="s">
        <v>17</v>
      </c>
      <c r="I267" s="20">
        <v>0</v>
      </c>
      <c r="J267" s="3" t="s">
        <v>29</v>
      </c>
      <c r="K267" s="3" t="s">
        <v>19</v>
      </c>
      <c r="L267" s="20">
        <v>51</v>
      </c>
      <c r="M267" s="3" t="s">
        <v>20</v>
      </c>
      <c r="N267" s="20" t="str" cm="1">
        <f t="array" ref="N267">_xlfn.IFS(tbl_Clean[[#This Row],[Age]]&lt;=30,"25-30",tbl_Clean[[#This Row],[Age]]&lt;=40,"31-40",tbl_Clean[[#This Row],[Age]]&lt;=50,"41-50",tbl_Clean[[#This Row],[Age]]&lt;=60,"51-60",TRUE,"61+")</f>
        <v>51-60</v>
      </c>
      <c r="O267" s="20">
        <f>_xlfn.XMATCH(tbl_Clean[[#This Row],[Age Band]],{"25-30","31-40","41-50","51-60","61+"})</f>
        <v>4</v>
      </c>
      <c r="P267" s="20" t="str" cm="1">
        <f t="array" ref="P267">_xlfn.IFS(tbl_Clean[[#This Row],[Income]]&lt;=30000,"$10k-30k",tbl_Clean[[#This Row],[Income]]&lt;=60000,"$40k-60k",tbl_Clean[[#This Row],[Income]]&lt;=90000,"$70k-90k",TRUE,"$100k+")</f>
        <v>$10k-30k</v>
      </c>
      <c r="Q267" s="20">
        <f>_xlfn.XMATCH(tbl_Clean[[#This Row],[Income Band]],{"$10k-30k","$40k-60k","$70k-90k","$100k+"})</f>
        <v>1</v>
      </c>
      <c r="R267" s="20" t="str">
        <f>IF(tbl_Clean[[#This Row],[Cars]]&lt;=1,"0-1 Cars","2+ Cars")</f>
        <v>0-1 Cars</v>
      </c>
      <c r="S267" s="20">
        <f>_xlfn.XMATCH(tbl_Clean[[#This Row],[Commute Distance]],{"0-1 Miles","1-2 Miles","2-5 Miles","5-10 Miles","10+ Miles"})</f>
        <v>2</v>
      </c>
      <c r="T267" s="20">
        <f>_xlfn.XMATCH(tbl_Clean[[#This Row],[Education]],{"Partial High School","High School","Partial College","Bachelors","Graduate Degree"})</f>
        <v>3</v>
      </c>
      <c r="U267" s="20">
        <f>IF(tbl_Clean[[#This Row],[Purchased Bike]]="Yes",1,0)</f>
        <v>0</v>
      </c>
    </row>
    <row r="268" spans="1:21" x14ac:dyDescent="0.25">
      <c r="A268" s="20">
        <v>23419</v>
      </c>
      <c r="B268" s="3" t="s">
        <v>114</v>
      </c>
      <c r="C268" s="3" t="s">
        <v>112</v>
      </c>
      <c r="D268" s="19">
        <v>70000</v>
      </c>
      <c r="E268" s="20">
        <v>5</v>
      </c>
      <c r="F268" s="3" t="s">
        <v>15</v>
      </c>
      <c r="G268" s="3" t="s">
        <v>23</v>
      </c>
      <c r="H268" s="3" t="s">
        <v>17</v>
      </c>
      <c r="I268" s="20">
        <v>3</v>
      </c>
      <c r="J268" s="3" t="s">
        <v>33</v>
      </c>
      <c r="K268" s="3" t="s">
        <v>27</v>
      </c>
      <c r="L268" s="20">
        <v>39</v>
      </c>
      <c r="M268" s="3" t="s">
        <v>20</v>
      </c>
      <c r="N268" s="20" t="str" cm="1">
        <f t="array" ref="N268">_xlfn.IFS(tbl_Clean[[#This Row],[Age]]&lt;=30,"25-30",tbl_Clean[[#This Row],[Age]]&lt;=40,"31-40",tbl_Clean[[#This Row],[Age]]&lt;=50,"41-50",tbl_Clean[[#This Row],[Age]]&lt;=60,"51-60",TRUE,"61+")</f>
        <v>31-40</v>
      </c>
      <c r="O268" s="20">
        <f>_xlfn.XMATCH(tbl_Clean[[#This Row],[Age Band]],{"25-30","31-40","41-50","51-60","61+"})</f>
        <v>2</v>
      </c>
      <c r="P268" s="20" t="str" cm="1">
        <f t="array" ref="P268">_xlfn.IFS(tbl_Clean[[#This Row],[Income]]&lt;=30000,"$10k-30k",tbl_Clean[[#This Row],[Income]]&lt;=60000,"$40k-60k",tbl_Clean[[#This Row],[Income]]&lt;=90000,"$70k-90k",TRUE,"$100k+")</f>
        <v>$70k-90k</v>
      </c>
      <c r="Q268" s="20">
        <f>_xlfn.XMATCH(tbl_Clean[[#This Row],[Income Band]],{"$10k-30k","$40k-60k","$70k-90k","$100k+"})</f>
        <v>3</v>
      </c>
      <c r="R268" s="20" t="str">
        <f>IF(tbl_Clean[[#This Row],[Cars]]&lt;=1,"0-1 Cars","2+ Cars")</f>
        <v>2+ Cars</v>
      </c>
      <c r="S268" s="20">
        <f>_xlfn.XMATCH(tbl_Clean[[#This Row],[Commute Distance]],{"0-1 Miles","1-2 Miles","2-5 Miles","5-10 Miles","10+ Miles"})</f>
        <v>5</v>
      </c>
      <c r="T268" s="20">
        <f>_xlfn.XMATCH(tbl_Clean[[#This Row],[Education]],{"Partial High School","High School","Partial College","Bachelors","Graduate Degree"})</f>
        <v>4</v>
      </c>
      <c r="U268" s="20">
        <f>IF(tbl_Clean[[#This Row],[Purchased Bike]]="Yes",1,0)</f>
        <v>0</v>
      </c>
    </row>
    <row r="269" spans="1:21" x14ac:dyDescent="0.25">
      <c r="A269" s="20">
        <v>17964</v>
      </c>
      <c r="B269" s="3" t="s">
        <v>111</v>
      </c>
      <c r="C269" s="3" t="s">
        <v>113</v>
      </c>
      <c r="D269" s="19">
        <v>40000</v>
      </c>
      <c r="E269" s="20">
        <v>0</v>
      </c>
      <c r="F269" s="3" t="s">
        <v>34</v>
      </c>
      <c r="G269" s="3" t="s">
        <v>22</v>
      </c>
      <c r="H269" s="3" t="s">
        <v>17</v>
      </c>
      <c r="I269" s="20">
        <v>0</v>
      </c>
      <c r="J269" s="3" t="s">
        <v>18</v>
      </c>
      <c r="K269" s="3" t="s">
        <v>19</v>
      </c>
      <c r="L269" s="20">
        <v>37</v>
      </c>
      <c r="M269" s="3" t="s">
        <v>17</v>
      </c>
      <c r="N269" s="20" t="str" cm="1">
        <f t="array" ref="N269">_xlfn.IFS(tbl_Clean[[#This Row],[Age]]&lt;=30,"25-30",tbl_Clean[[#This Row],[Age]]&lt;=40,"31-40",tbl_Clean[[#This Row],[Age]]&lt;=50,"41-50",tbl_Clean[[#This Row],[Age]]&lt;=60,"51-60",TRUE,"61+")</f>
        <v>31-40</v>
      </c>
      <c r="O269" s="20">
        <f>_xlfn.XMATCH(tbl_Clean[[#This Row],[Age Band]],{"25-30","31-40","41-50","51-60","61+"})</f>
        <v>2</v>
      </c>
      <c r="P269" s="20" t="str" cm="1">
        <f t="array" ref="P269">_xlfn.IFS(tbl_Clean[[#This Row],[Income]]&lt;=30000,"$10k-30k",tbl_Clean[[#This Row],[Income]]&lt;=60000,"$40k-60k",tbl_Clean[[#This Row],[Income]]&lt;=90000,"$70k-90k",TRUE,"$100k+")</f>
        <v>$40k-60k</v>
      </c>
      <c r="Q269" s="20">
        <f>_xlfn.XMATCH(tbl_Clean[[#This Row],[Income Band]],{"$10k-30k","$40k-60k","$70k-90k","$100k+"})</f>
        <v>2</v>
      </c>
      <c r="R269" s="20" t="str">
        <f>IF(tbl_Clean[[#This Row],[Cars]]&lt;=1,"0-1 Cars","2+ Cars")</f>
        <v>0-1 Cars</v>
      </c>
      <c r="S269" s="20">
        <f>_xlfn.XMATCH(tbl_Clean[[#This Row],[Commute Distance]],{"0-1 Miles","1-2 Miles","2-5 Miles","5-10 Miles","10+ Miles"})</f>
        <v>1</v>
      </c>
      <c r="T269" s="20">
        <f>_xlfn.XMATCH(tbl_Clean[[#This Row],[Education]],{"Partial High School","High School","Partial College","Bachelors","Graduate Degree"})</f>
        <v>5</v>
      </c>
      <c r="U269" s="20">
        <f>IF(tbl_Clean[[#This Row],[Purchased Bike]]="Yes",1,0)</f>
        <v>1</v>
      </c>
    </row>
    <row r="270" spans="1:21" x14ac:dyDescent="0.25">
      <c r="A270" s="20">
        <v>20919</v>
      </c>
      <c r="B270" s="3" t="s">
        <v>114</v>
      </c>
      <c r="C270" s="3" t="s">
        <v>112</v>
      </c>
      <c r="D270" s="19">
        <v>30000</v>
      </c>
      <c r="E270" s="20">
        <v>2</v>
      </c>
      <c r="F270" s="3" t="s">
        <v>21</v>
      </c>
      <c r="G270" s="3" t="s">
        <v>22</v>
      </c>
      <c r="H270" s="3" t="s">
        <v>17</v>
      </c>
      <c r="I270" s="20">
        <v>2</v>
      </c>
      <c r="J270" s="3" t="s">
        <v>18</v>
      </c>
      <c r="K270" s="3" t="s">
        <v>19</v>
      </c>
      <c r="L270" s="20">
        <v>42</v>
      </c>
      <c r="M270" s="3" t="s">
        <v>20</v>
      </c>
      <c r="N270" s="20" t="str" cm="1">
        <f t="array" ref="N270">_xlfn.IFS(tbl_Clean[[#This Row],[Age]]&lt;=30,"25-30",tbl_Clean[[#This Row],[Age]]&lt;=40,"31-40",tbl_Clean[[#This Row],[Age]]&lt;=50,"41-50",tbl_Clean[[#This Row],[Age]]&lt;=60,"51-60",TRUE,"61+")</f>
        <v>41-50</v>
      </c>
      <c r="O270" s="20">
        <f>_xlfn.XMATCH(tbl_Clean[[#This Row],[Age Band]],{"25-30","31-40","41-50","51-60","61+"})</f>
        <v>3</v>
      </c>
      <c r="P270" s="20" t="str" cm="1">
        <f t="array" ref="P270">_xlfn.IFS(tbl_Clean[[#This Row],[Income]]&lt;=30000,"$10k-30k",tbl_Clean[[#This Row],[Income]]&lt;=60000,"$40k-60k",tbl_Clean[[#This Row],[Income]]&lt;=90000,"$70k-90k",TRUE,"$100k+")</f>
        <v>$10k-30k</v>
      </c>
      <c r="Q270" s="20">
        <f>_xlfn.XMATCH(tbl_Clean[[#This Row],[Income Band]],{"$10k-30k","$40k-60k","$70k-90k","$100k+"})</f>
        <v>1</v>
      </c>
      <c r="R270" s="20" t="str">
        <f>IF(tbl_Clean[[#This Row],[Cars]]&lt;=1,"0-1 Cars","2+ Cars")</f>
        <v>2+ Cars</v>
      </c>
      <c r="S270" s="20">
        <f>_xlfn.XMATCH(tbl_Clean[[#This Row],[Commute Distance]],{"0-1 Miles","1-2 Miles","2-5 Miles","5-10 Miles","10+ Miles"})</f>
        <v>1</v>
      </c>
      <c r="T270" s="20">
        <f>_xlfn.XMATCH(tbl_Clean[[#This Row],[Education]],{"Partial High School","High School","Partial College","Bachelors","Graduate Degree"})</f>
        <v>3</v>
      </c>
      <c r="U270" s="20">
        <f>IF(tbl_Clean[[#This Row],[Purchased Bike]]="Yes",1,0)</f>
        <v>0</v>
      </c>
    </row>
    <row r="271" spans="1:21" x14ac:dyDescent="0.25">
      <c r="A271" s="20">
        <v>20927</v>
      </c>
      <c r="B271" s="3" t="s">
        <v>114</v>
      </c>
      <c r="C271" s="3" t="s">
        <v>112</v>
      </c>
      <c r="D271" s="19">
        <v>20000</v>
      </c>
      <c r="E271" s="20">
        <v>5</v>
      </c>
      <c r="F271" s="3" t="s">
        <v>30</v>
      </c>
      <c r="G271" s="3" t="s">
        <v>28</v>
      </c>
      <c r="H271" s="3" t="s">
        <v>17</v>
      </c>
      <c r="I271" s="20">
        <v>2</v>
      </c>
      <c r="J271" s="3" t="s">
        <v>18</v>
      </c>
      <c r="K271" s="3" t="s">
        <v>19</v>
      </c>
      <c r="L271" s="20">
        <v>27</v>
      </c>
      <c r="M271" s="3" t="s">
        <v>20</v>
      </c>
      <c r="N271" s="20" t="str" cm="1">
        <f t="array" ref="N271">_xlfn.IFS(tbl_Clean[[#This Row],[Age]]&lt;=30,"25-30",tbl_Clean[[#This Row],[Age]]&lt;=40,"31-40",tbl_Clean[[#This Row],[Age]]&lt;=50,"41-50",tbl_Clean[[#This Row],[Age]]&lt;=60,"51-60",TRUE,"61+")</f>
        <v>25-30</v>
      </c>
      <c r="O271" s="20">
        <f>_xlfn.XMATCH(tbl_Clean[[#This Row],[Age Band]],{"25-30","31-40","41-50","51-60","61+"})</f>
        <v>1</v>
      </c>
      <c r="P271" s="20" t="str" cm="1">
        <f t="array" ref="P271">_xlfn.IFS(tbl_Clean[[#This Row],[Income]]&lt;=30000,"$10k-30k",tbl_Clean[[#This Row],[Income]]&lt;=60000,"$40k-60k",tbl_Clean[[#This Row],[Income]]&lt;=90000,"$70k-90k",TRUE,"$100k+")</f>
        <v>$10k-30k</v>
      </c>
      <c r="Q271" s="20">
        <f>_xlfn.XMATCH(tbl_Clean[[#This Row],[Income Band]],{"$10k-30k","$40k-60k","$70k-90k","$100k+"})</f>
        <v>1</v>
      </c>
      <c r="R271" s="20" t="str">
        <f>IF(tbl_Clean[[#This Row],[Cars]]&lt;=1,"0-1 Cars","2+ Cars")</f>
        <v>2+ Cars</v>
      </c>
      <c r="S271" s="20">
        <f>_xlfn.XMATCH(tbl_Clean[[#This Row],[Commute Distance]],{"0-1 Miles","1-2 Miles","2-5 Miles","5-10 Miles","10+ Miles"})</f>
        <v>1</v>
      </c>
      <c r="T271" s="20">
        <f>_xlfn.XMATCH(tbl_Clean[[#This Row],[Education]],{"Partial High School","High School","Partial College","Bachelors","Graduate Degree"})</f>
        <v>2</v>
      </c>
      <c r="U271" s="20">
        <f>IF(tbl_Clean[[#This Row],[Purchased Bike]]="Yes",1,0)</f>
        <v>0</v>
      </c>
    </row>
    <row r="272" spans="1:21" x14ac:dyDescent="0.25">
      <c r="A272" s="20">
        <v>13133</v>
      </c>
      <c r="B272" s="3" t="s">
        <v>114</v>
      </c>
      <c r="C272" s="3" t="s">
        <v>113</v>
      </c>
      <c r="D272" s="19">
        <v>100000</v>
      </c>
      <c r="E272" s="20">
        <v>5</v>
      </c>
      <c r="F272" s="3" t="s">
        <v>15</v>
      </c>
      <c r="G272" s="3" t="s">
        <v>23</v>
      </c>
      <c r="H272" s="3" t="s">
        <v>17</v>
      </c>
      <c r="I272" s="20">
        <v>1</v>
      </c>
      <c r="J272" s="3" t="s">
        <v>26</v>
      </c>
      <c r="K272" s="3" t="s">
        <v>27</v>
      </c>
      <c r="L272" s="20">
        <v>47</v>
      </c>
      <c r="M272" s="3" t="s">
        <v>17</v>
      </c>
      <c r="N272" s="20" t="str" cm="1">
        <f t="array" ref="N272">_xlfn.IFS(tbl_Clean[[#This Row],[Age]]&lt;=30,"25-30",tbl_Clean[[#This Row],[Age]]&lt;=40,"31-40",tbl_Clean[[#This Row],[Age]]&lt;=50,"41-50",tbl_Clean[[#This Row],[Age]]&lt;=60,"51-60",TRUE,"61+")</f>
        <v>41-50</v>
      </c>
      <c r="O272" s="20">
        <f>_xlfn.XMATCH(tbl_Clean[[#This Row],[Age Band]],{"25-30","31-40","41-50","51-60","61+"})</f>
        <v>3</v>
      </c>
      <c r="P272" s="20" t="str" cm="1">
        <f t="array" ref="P272">_xlfn.IFS(tbl_Clean[[#This Row],[Income]]&lt;=30000,"$10k-30k",tbl_Clean[[#This Row],[Income]]&lt;=60000,"$40k-60k",tbl_Clean[[#This Row],[Income]]&lt;=90000,"$70k-90k",TRUE,"$100k+")</f>
        <v>$100k+</v>
      </c>
      <c r="Q272" s="20">
        <f>_xlfn.XMATCH(tbl_Clean[[#This Row],[Income Band]],{"$10k-30k","$40k-60k","$70k-90k","$100k+"})</f>
        <v>4</v>
      </c>
      <c r="R272" s="20" t="str">
        <f>IF(tbl_Clean[[#This Row],[Cars]]&lt;=1,"0-1 Cars","2+ Cars")</f>
        <v>0-1 Cars</v>
      </c>
      <c r="S272" s="20">
        <f>_xlfn.XMATCH(tbl_Clean[[#This Row],[Commute Distance]],{"0-1 Miles","1-2 Miles","2-5 Miles","5-10 Miles","10+ Miles"})</f>
        <v>4</v>
      </c>
      <c r="T272" s="20">
        <f>_xlfn.XMATCH(tbl_Clean[[#This Row],[Education]],{"Partial High School","High School","Partial College","Bachelors","Graduate Degree"})</f>
        <v>4</v>
      </c>
      <c r="U272" s="20">
        <f>IF(tbl_Clean[[#This Row],[Purchased Bike]]="Yes",1,0)</f>
        <v>1</v>
      </c>
    </row>
    <row r="273" spans="1:21" x14ac:dyDescent="0.25">
      <c r="A273" s="20">
        <v>19626</v>
      </c>
      <c r="B273" s="3" t="s">
        <v>111</v>
      </c>
      <c r="C273" s="3" t="s">
        <v>113</v>
      </c>
      <c r="D273" s="19">
        <v>70000</v>
      </c>
      <c r="E273" s="20">
        <v>5</v>
      </c>
      <c r="F273" s="3" t="s">
        <v>21</v>
      </c>
      <c r="G273" s="3" t="s">
        <v>16</v>
      </c>
      <c r="H273" s="3" t="s">
        <v>17</v>
      </c>
      <c r="I273" s="20">
        <v>3</v>
      </c>
      <c r="J273" s="3" t="s">
        <v>26</v>
      </c>
      <c r="K273" s="3" t="s">
        <v>27</v>
      </c>
      <c r="L273" s="20">
        <v>45</v>
      </c>
      <c r="M273" s="3" t="s">
        <v>20</v>
      </c>
      <c r="N273" s="20" t="str" cm="1">
        <f t="array" ref="N273">_xlfn.IFS(tbl_Clean[[#This Row],[Age]]&lt;=30,"25-30",tbl_Clean[[#This Row],[Age]]&lt;=40,"31-40",tbl_Clean[[#This Row],[Age]]&lt;=50,"41-50",tbl_Clean[[#This Row],[Age]]&lt;=60,"51-60",TRUE,"61+")</f>
        <v>41-50</v>
      </c>
      <c r="O273" s="20">
        <f>_xlfn.XMATCH(tbl_Clean[[#This Row],[Age Band]],{"25-30","31-40","41-50","51-60","61+"})</f>
        <v>3</v>
      </c>
      <c r="P273" s="20" t="str" cm="1">
        <f t="array" ref="P273">_xlfn.IFS(tbl_Clean[[#This Row],[Income]]&lt;=30000,"$10k-30k",tbl_Clean[[#This Row],[Income]]&lt;=60000,"$40k-60k",tbl_Clean[[#This Row],[Income]]&lt;=90000,"$70k-90k",TRUE,"$100k+")</f>
        <v>$70k-90k</v>
      </c>
      <c r="Q273" s="20">
        <f>_xlfn.XMATCH(tbl_Clean[[#This Row],[Income Band]],{"$10k-30k","$40k-60k","$70k-90k","$100k+"})</f>
        <v>3</v>
      </c>
      <c r="R273" s="20" t="str">
        <f>IF(tbl_Clean[[#This Row],[Cars]]&lt;=1,"0-1 Cars","2+ Cars")</f>
        <v>2+ Cars</v>
      </c>
      <c r="S273" s="20">
        <f>_xlfn.XMATCH(tbl_Clean[[#This Row],[Commute Distance]],{"0-1 Miles","1-2 Miles","2-5 Miles","5-10 Miles","10+ Miles"})</f>
        <v>4</v>
      </c>
      <c r="T273" s="20">
        <f>_xlfn.XMATCH(tbl_Clean[[#This Row],[Education]],{"Partial High School","High School","Partial College","Bachelors","Graduate Degree"})</f>
        <v>3</v>
      </c>
      <c r="U273" s="20">
        <f>IF(tbl_Clean[[#This Row],[Purchased Bike]]="Yes",1,0)</f>
        <v>0</v>
      </c>
    </row>
    <row r="274" spans="1:21" x14ac:dyDescent="0.25">
      <c r="A274" s="20">
        <v>21039</v>
      </c>
      <c r="B274" s="3" t="s">
        <v>114</v>
      </c>
      <c r="C274" s="3" t="s">
        <v>112</v>
      </c>
      <c r="D274" s="19">
        <v>50000</v>
      </c>
      <c r="E274" s="20">
        <v>0</v>
      </c>
      <c r="F274" s="3" t="s">
        <v>34</v>
      </c>
      <c r="G274" s="3" t="s">
        <v>16</v>
      </c>
      <c r="H274" s="3" t="s">
        <v>20</v>
      </c>
      <c r="I274" s="20">
        <v>0</v>
      </c>
      <c r="J274" s="3" t="s">
        <v>18</v>
      </c>
      <c r="K274" s="3" t="s">
        <v>19</v>
      </c>
      <c r="L274" s="20">
        <v>37</v>
      </c>
      <c r="M274" s="3" t="s">
        <v>17</v>
      </c>
      <c r="N274" s="20" t="str" cm="1">
        <f t="array" ref="N274">_xlfn.IFS(tbl_Clean[[#This Row],[Age]]&lt;=30,"25-30",tbl_Clean[[#This Row],[Age]]&lt;=40,"31-40",tbl_Clean[[#This Row],[Age]]&lt;=50,"41-50",tbl_Clean[[#This Row],[Age]]&lt;=60,"51-60",TRUE,"61+")</f>
        <v>31-40</v>
      </c>
      <c r="O274" s="20">
        <f>_xlfn.XMATCH(tbl_Clean[[#This Row],[Age Band]],{"25-30","31-40","41-50","51-60","61+"})</f>
        <v>2</v>
      </c>
      <c r="P274" s="20" t="str" cm="1">
        <f t="array" ref="P274">_xlfn.IFS(tbl_Clean[[#This Row],[Income]]&lt;=30000,"$10k-30k",tbl_Clean[[#This Row],[Income]]&lt;=60000,"$40k-60k",tbl_Clean[[#This Row],[Income]]&lt;=90000,"$70k-90k",TRUE,"$100k+")</f>
        <v>$40k-60k</v>
      </c>
      <c r="Q274" s="20">
        <f>_xlfn.XMATCH(tbl_Clean[[#This Row],[Income Band]],{"$10k-30k","$40k-60k","$70k-90k","$100k+"})</f>
        <v>2</v>
      </c>
      <c r="R274" s="20" t="str">
        <f>IF(tbl_Clean[[#This Row],[Cars]]&lt;=1,"0-1 Cars","2+ Cars")</f>
        <v>0-1 Cars</v>
      </c>
      <c r="S274" s="20">
        <f>_xlfn.XMATCH(tbl_Clean[[#This Row],[Commute Distance]],{"0-1 Miles","1-2 Miles","2-5 Miles","5-10 Miles","10+ Miles"})</f>
        <v>1</v>
      </c>
      <c r="T274" s="20">
        <f>_xlfn.XMATCH(tbl_Clean[[#This Row],[Education]],{"Partial High School","High School","Partial College","Bachelors","Graduate Degree"})</f>
        <v>5</v>
      </c>
      <c r="U274" s="20">
        <f>IF(tbl_Clean[[#This Row],[Purchased Bike]]="Yes",1,0)</f>
        <v>1</v>
      </c>
    </row>
    <row r="275" spans="1:21" x14ac:dyDescent="0.25">
      <c r="A275" s="20">
        <v>12231</v>
      </c>
      <c r="B275" s="3" t="s">
        <v>114</v>
      </c>
      <c r="C275" s="3" t="s">
        <v>112</v>
      </c>
      <c r="D275" s="19">
        <v>10000</v>
      </c>
      <c r="E275" s="20">
        <v>2</v>
      </c>
      <c r="F275" s="3" t="s">
        <v>21</v>
      </c>
      <c r="G275" s="3" t="s">
        <v>28</v>
      </c>
      <c r="H275" s="3" t="s">
        <v>17</v>
      </c>
      <c r="I275" s="20">
        <v>0</v>
      </c>
      <c r="J275" s="3" t="s">
        <v>18</v>
      </c>
      <c r="K275" s="3" t="s">
        <v>19</v>
      </c>
      <c r="L275" s="20">
        <v>51</v>
      </c>
      <c r="M275" s="3" t="s">
        <v>17</v>
      </c>
      <c r="N275" s="20" t="str" cm="1">
        <f t="array" ref="N275">_xlfn.IFS(tbl_Clean[[#This Row],[Age]]&lt;=30,"25-30",tbl_Clean[[#This Row],[Age]]&lt;=40,"31-40",tbl_Clean[[#This Row],[Age]]&lt;=50,"41-50",tbl_Clean[[#This Row],[Age]]&lt;=60,"51-60",TRUE,"61+")</f>
        <v>51-60</v>
      </c>
      <c r="O275" s="20">
        <f>_xlfn.XMATCH(tbl_Clean[[#This Row],[Age Band]],{"25-30","31-40","41-50","51-60","61+"})</f>
        <v>4</v>
      </c>
      <c r="P275" s="20" t="str" cm="1">
        <f t="array" ref="P275">_xlfn.IFS(tbl_Clean[[#This Row],[Income]]&lt;=30000,"$10k-30k",tbl_Clean[[#This Row],[Income]]&lt;=60000,"$40k-60k",tbl_Clean[[#This Row],[Income]]&lt;=90000,"$70k-90k",TRUE,"$100k+")</f>
        <v>$10k-30k</v>
      </c>
      <c r="Q275" s="20">
        <f>_xlfn.XMATCH(tbl_Clean[[#This Row],[Income Band]],{"$10k-30k","$40k-60k","$70k-90k","$100k+"})</f>
        <v>1</v>
      </c>
      <c r="R275" s="20" t="str">
        <f>IF(tbl_Clean[[#This Row],[Cars]]&lt;=1,"0-1 Cars","2+ Cars")</f>
        <v>0-1 Cars</v>
      </c>
      <c r="S275" s="20">
        <f>_xlfn.XMATCH(tbl_Clean[[#This Row],[Commute Distance]],{"0-1 Miles","1-2 Miles","2-5 Miles","5-10 Miles","10+ Miles"})</f>
        <v>1</v>
      </c>
      <c r="T275" s="20">
        <f>_xlfn.XMATCH(tbl_Clean[[#This Row],[Education]],{"Partial High School","High School","Partial College","Bachelors","Graduate Degree"})</f>
        <v>3</v>
      </c>
      <c r="U275" s="20">
        <f>IF(tbl_Clean[[#This Row],[Purchased Bike]]="Yes",1,0)</f>
        <v>1</v>
      </c>
    </row>
    <row r="276" spans="1:21" x14ac:dyDescent="0.25">
      <c r="A276" s="20">
        <v>25665</v>
      </c>
      <c r="B276" s="3" t="s">
        <v>114</v>
      </c>
      <c r="C276" s="3" t="s">
        <v>112</v>
      </c>
      <c r="D276" s="19">
        <v>20000</v>
      </c>
      <c r="E276" s="20">
        <v>0</v>
      </c>
      <c r="F276" s="3" t="s">
        <v>30</v>
      </c>
      <c r="G276" s="3" t="s">
        <v>28</v>
      </c>
      <c r="H276" s="3" t="s">
        <v>20</v>
      </c>
      <c r="I276" s="20">
        <v>1</v>
      </c>
      <c r="J276" s="3" t="s">
        <v>29</v>
      </c>
      <c r="K276" s="3" t="s">
        <v>19</v>
      </c>
      <c r="L276" s="20">
        <v>28</v>
      </c>
      <c r="M276" s="3" t="s">
        <v>20</v>
      </c>
      <c r="N276" s="20" t="str" cm="1">
        <f t="array" ref="N276">_xlfn.IFS(tbl_Clean[[#This Row],[Age]]&lt;=30,"25-30",tbl_Clean[[#This Row],[Age]]&lt;=40,"31-40",tbl_Clean[[#This Row],[Age]]&lt;=50,"41-50",tbl_Clean[[#This Row],[Age]]&lt;=60,"51-60",TRUE,"61+")</f>
        <v>25-30</v>
      </c>
      <c r="O276" s="20">
        <f>_xlfn.XMATCH(tbl_Clean[[#This Row],[Age Band]],{"25-30","31-40","41-50","51-60","61+"})</f>
        <v>1</v>
      </c>
      <c r="P276" s="20" t="str" cm="1">
        <f t="array" ref="P276">_xlfn.IFS(tbl_Clean[[#This Row],[Income]]&lt;=30000,"$10k-30k",tbl_Clean[[#This Row],[Income]]&lt;=60000,"$40k-60k",tbl_Clean[[#This Row],[Income]]&lt;=90000,"$70k-90k",TRUE,"$100k+")</f>
        <v>$10k-30k</v>
      </c>
      <c r="Q276" s="20">
        <f>_xlfn.XMATCH(tbl_Clean[[#This Row],[Income Band]],{"$10k-30k","$40k-60k","$70k-90k","$100k+"})</f>
        <v>1</v>
      </c>
      <c r="R276" s="20" t="str">
        <f>IF(tbl_Clean[[#This Row],[Cars]]&lt;=1,"0-1 Cars","2+ Cars")</f>
        <v>0-1 Cars</v>
      </c>
      <c r="S276" s="20">
        <f>_xlfn.XMATCH(tbl_Clean[[#This Row],[Commute Distance]],{"0-1 Miles","1-2 Miles","2-5 Miles","5-10 Miles","10+ Miles"})</f>
        <v>2</v>
      </c>
      <c r="T276" s="20">
        <f>_xlfn.XMATCH(tbl_Clean[[#This Row],[Education]],{"Partial High School","High School","Partial College","Bachelors","Graduate Degree"})</f>
        <v>2</v>
      </c>
      <c r="U276" s="20">
        <f>IF(tbl_Clean[[#This Row],[Purchased Bike]]="Yes",1,0)</f>
        <v>0</v>
      </c>
    </row>
    <row r="277" spans="1:21" x14ac:dyDescent="0.25">
      <c r="A277" s="20">
        <v>24061</v>
      </c>
      <c r="B277" s="3" t="s">
        <v>111</v>
      </c>
      <c r="C277" s="3" t="s">
        <v>113</v>
      </c>
      <c r="D277" s="19">
        <v>10000</v>
      </c>
      <c r="E277" s="20">
        <v>4</v>
      </c>
      <c r="F277" s="3" t="s">
        <v>32</v>
      </c>
      <c r="G277" s="3" t="s">
        <v>28</v>
      </c>
      <c r="H277" s="3" t="s">
        <v>17</v>
      </c>
      <c r="I277" s="20">
        <v>1</v>
      </c>
      <c r="J277" s="3" t="s">
        <v>18</v>
      </c>
      <c r="K277" s="3" t="s">
        <v>19</v>
      </c>
      <c r="L277" s="20">
        <v>40</v>
      </c>
      <c r="M277" s="3" t="s">
        <v>17</v>
      </c>
      <c r="N277" s="20" t="str" cm="1">
        <f t="array" ref="N277">_xlfn.IFS(tbl_Clean[[#This Row],[Age]]&lt;=30,"25-30",tbl_Clean[[#This Row],[Age]]&lt;=40,"31-40",tbl_Clean[[#This Row],[Age]]&lt;=50,"41-50",tbl_Clean[[#This Row],[Age]]&lt;=60,"51-60",TRUE,"61+")</f>
        <v>31-40</v>
      </c>
      <c r="O277" s="20">
        <f>_xlfn.XMATCH(tbl_Clean[[#This Row],[Age Band]],{"25-30","31-40","41-50","51-60","61+"})</f>
        <v>2</v>
      </c>
      <c r="P277" s="20" t="str" cm="1">
        <f t="array" ref="P277">_xlfn.IFS(tbl_Clean[[#This Row],[Income]]&lt;=30000,"$10k-30k",tbl_Clean[[#This Row],[Income]]&lt;=60000,"$40k-60k",tbl_Clean[[#This Row],[Income]]&lt;=90000,"$70k-90k",TRUE,"$100k+")</f>
        <v>$10k-30k</v>
      </c>
      <c r="Q277" s="20">
        <f>_xlfn.XMATCH(tbl_Clean[[#This Row],[Income Band]],{"$10k-30k","$40k-60k","$70k-90k","$100k+"})</f>
        <v>1</v>
      </c>
      <c r="R277" s="20" t="str">
        <f>IF(tbl_Clean[[#This Row],[Cars]]&lt;=1,"0-1 Cars","2+ Cars")</f>
        <v>0-1 Cars</v>
      </c>
      <c r="S277" s="20">
        <f>_xlfn.XMATCH(tbl_Clean[[#This Row],[Commute Distance]],{"0-1 Miles","1-2 Miles","2-5 Miles","5-10 Miles","10+ Miles"})</f>
        <v>1</v>
      </c>
      <c r="T277" s="20">
        <f>_xlfn.XMATCH(tbl_Clean[[#This Row],[Education]],{"Partial High School","High School","Partial College","Bachelors","Graduate Degree"})</f>
        <v>1</v>
      </c>
      <c r="U277" s="20">
        <f>IF(tbl_Clean[[#This Row],[Purchased Bike]]="Yes",1,0)</f>
        <v>1</v>
      </c>
    </row>
    <row r="278" spans="1:21" x14ac:dyDescent="0.25">
      <c r="A278" s="20">
        <v>26879</v>
      </c>
      <c r="B278" s="3" t="s">
        <v>114</v>
      </c>
      <c r="C278" s="3" t="s">
        <v>112</v>
      </c>
      <c r="D278" s="19">
        <v>20000</v>
      </c>
      <c r="E278" s="20">
        <v>0</v>
      </c>
      <c r="F278" s="3" t="s">
        <v>30</v>
      </c>
      <c r="G278" s="3" t="s">
        <v>28</v>
      </c>
      <c r="H278" s="3" t="s">
        <v>20</v>
      </c>
      <c r="I278" s="20">
        <v>1</v>
      </c>
      <c r="J278" s="3" t="s">
        <v>24</v>
      </c>
      <c r="K278" s="3" t="s">
        <v>19</v>
      </c>
      <c r="L278" s="20">
        <v>30</v>
      </c>
      <c r="M278" s="3" t="s">
        <v>20</v>
      </c>
      <c r="N278" s="20" t="str" cm="1">
        <f t="array" ref="N278">_xlfn.IFS(tbl_Clean[[#This Row],[Age]]&lt;=30,"25-30",tbl_Clean[[#This Row],[Age]]&lt;=40,"31-40",tbl_Clean[[#This Row],[Age]]&lt;=50,"41-50",tbl_Clean[[#This Row],[Age]]&lt;=60,"51-60",TRUE,"61+")</f>
        <v>25-30</v>
      </c>
      <c r="O278" s="20">
        <f>_xlfn.XMATCH(tbl_Clean[[#This Row],[Age Band]],{"25-30","31-40","41-50","51-60","61+"})</f>
        <v>1</v>
      </c>
      <c r="P278" s="20" t="str" cm="1">
        <f t="array" ref="P278">_xlfn.IFS(tbl_Clean[[#This Row],[Income]]&lt;=30000,"$10k-30k",tbl_Clean[[#This Row],[Income]]&lt;=60000,"$40k-60k",tbl_Clean[[#This Row],[Income]]&lt;=90000,"$70k-90k",TRUE,"$100k+")</f>
        <v>$10k-30k</v>
      </c>
      <c r="Q278" s="20">
        <f>_xlfn.XMATCH(tbl_Clean[[#This Row],[Income Band]],{"$10k-30k","$40k-60k","$70k-90k","$100k+"})</f>
        <v>1</v>
      </c>
      <c r="R278" s="20" t="str">
        <f>IF(tbl_Clean[[#This Row],[Cars]]&lt;=1,"0-1 Cars","2+ Cars")</f>
        <v>0-1 Cars</v>
      </c>
      <c r="S278" s="20">
        <f>_xlfn.XMATCH(tbl_Clean[[#This Row],[Commute Distance]],{"0-1 Miles","1-2 Miles","2-5 Miles","5-10 Miles","10+ Miles"})</f>
        <v>3</v>
      </c>
      <c r="T278" s="20">
        <f>_xlfn.XMATCH(tbl_Clean[[#This Row],[Education]],{"Partial High School","High School","Partial College","Bachelors","Graduate Degree"})</f>
        <v>2</v>
      </c>
      <c r="U278" s="20">
        <f>IF(tbl_Clean[[#This Row],[Purchased Bike]]="Yes",1,0)</f>
        <v>0</v>
      </c>
    </row>
    <row r="279" spans="1:21" x14ac:dyDescent="0.25">
      <c r="A279" s="20">
        <v>12284</v>
      </c>
      <c r="B279" s="3" t="s">
        <v>111</v>
      </c>
      <c r="C279" s="3" t="s">
        <v>112</v>
      </c>
      <c r="D279" s="19">
        <v>30000</v>
      </c>
      <c r="E279" s="20">
        <v>0</v>
      </c>
      <c r="F279" s="3" t="s">
        <v>15</v>
      </c>
      <c r="G279" s="3" t="s">
        <v>22</v>
      </c>
      <c r="H279" s="3" t="s">
        <v>20</v>
      </c>
      <c r="I279" s="20">
        <v>0</v>
      </c>
      <c r="J279" s="3" t="s">
        <v>18</v>
      </c>
      <c r="K279" s="3" t="s">
        <v>19</v>
      </c>
      <c r="L279" s="20">
        <v>36</v>
      </c>
      <c r="M279" s="3" t="s">
        <v>17</v>
      </c>
      <c r="N279" s="20" t="str" cm="1">
        <f t="array" ref="N279">_xlfn.IFS(tbl_Clean[[#This Row],[Age]]&lt;=30,"25-30",tbl_Clean[[#This Row],[Age]]&lt;=40,"31-40",tbl_Clean[[#This Row],[Age]]&lt;=50,"41-50",tbl_Clean[[#This Row],[Age]]&lt;=60,"51-60",TRUE,"61+")</f>
        <v>31-40</v>
      </c>
      <c r="O279" s="20">
        <f>_xlfn.XMATCH(tbl_Clean[[#This Row],[Age Band]],{"25-30","31-40","41-50","51-60","61+"})</f>
        <v>2</v>
      </c>
      <c r="P279" s="20" t="str" cm="1">
        <f t="array" ref="P279">_xlfn.IFS(tbl_Clean[[#This Row],[Income]]&lt;=30000,"$10k-30k",tbl_Clean[[#This Row],[Income]]&lt;=60000,"$40k-60k",tbl_Clean[[#This Row],[Income]]&lt;=90000,"$70k-90k",TRUE,"$100k+")</f>
        <v>$10k-30k</v>
      </c>
      <c r="Q279" s="20">
        <f>_xlfn.XMATCH(tbl_Clean[[#This Row],[Income Band]],{"$10k-30k","$40k-60k","$70k-90k","$100k+"})</f>
        <v>1</v>
      </c>
      <c r="R279" s="20" t="str">
        <f>IF(tbl_Clean[[#This Row],[Cars]]&lt;=1,"0-1 Cars","2+ Cars")</f>
        <v>0-1 Cars</v>
      </c>
      <c r="S279" s="20">
        <f>_xlfn.XMATCH(tbl_Clean[[#This Row],[Commute Distance]],{"0-1 Miles","1-2 Miles","2-5 Miles","5-10 Miles","10+ Miles"})</f>
        <v>1</v>
      </c>
      <c r="T279" s="20">
        <f>_xlfn.XMATCH(tbl_Clean[[#This Row],[Education]],{"Partial High School","High School","Partial College","Bachelors","Graduate Degree"})</f>
        <v>4</v>
      </c>
      <c r="U279" s="20">
        <f>IF(tbl_Clean[[#This Row],[Purchased Bike]]="Yes",1,0)</f>
        <v>1</v>
      </c>
    </row>
    <row r="280" spans="1:21" x14ac:dyDescent="0.25">
      <c r="A280" s="20">
        <v>26654</v>
      </c>
      <c r="B280" s="3" t="s">
        <v>111</v>
      </c>
      <c r="C280" s="3" t="s">
        <v>112</v>
      </c>
      <c r="D280" s="19">
        <v>90000</v>
      </c>
      <c r="E280" s="20">
        <v>1</v>
      </c>
      <c r="F280" s="3" t="s">
        <v>34</v>
      </c>
      <c r="G280" s="3" t="s">
        <v>31</v>
      </c>
      <c r="H280" s="3" t="s">
        <v>17</v>
      </c>
      <c r="I280" s="20">
        <v>0</v>
      </c>
      <c r="J280" s="3" t="s">
        <v>18</v>
      </c>
      <c r="K280" s="3" t="s">
        <v>27</v>
      </c>
      <c r="L280" s="20">
        <v>37</v>
      </c>
      <c r="M280" s="3" t="s">
        <v>17</v>
      </c>
      <c r="N280" s="20" t="str" cm="1">
        <f t="array" ref="N280">_xlfn.IFS(tbl_Clean[[#This Row],[Age]]&lt;=30,"25-30",tbl_Clean[[#This Row],[Age]]&lt;=40,"31-40",tbl_Clean[[#This Row],[Age]]&lt;=50,"41-50",tbl_Clean[[#This Row],[Age]]&lt;=60,"51-60",TRUE,"61+")</f>
        <v>31-40</v>
      </c>
      <c r="O280" s="20">
        <f>_xlfn.XMATCH(tbl_Clean[[#This Row],[Age Band]],{"25-30","31-40","41-50","51-60","61+"})</f>
        <v>2</v>
      </c>
      <c r="P280" s="20" t="str" cm="1">
        <f t="array" ref="P280">_xlfn.IFS(tbl_Clean[[#This Row],[Income]]&lt;=30000,"$10k-30k",tbl_Clean[[#This Row],[Income]]&lt;=60000,"$40k-60k",tbl_Clean[[#This Row],[Income]]&lt;=90000,"$70k-90k",TRUE,"$100k+")</f>
        <v>$70k-90k</v>
      </c>
      <c r="Q280" s="20">
        <f>_xlfn.XMATCH(tbl_Clean[[#This Row],[Income Band]],{"$10k-30k","$40k-60k","$70k-90k","$100k+"})</f>
        <v>3</v>
      </c>
      <c r="R280" s="20" t="str">
        <f>IF(tbl_Clean[[#This Row],[Cars]]&lt;=1,"0-1 Cars","2+ Cars")</f>
        <v>0-1 Cars</v>
      </c>
      <c r="S280" s="20">
        <f>_xlfn.XMATCH(tbl_Clean[[#This Row],[Commute Distance]],{"0-1 Miles","1-2 Miles","2-5 Miles","5-10 Miles","10+ Miles"})</f>
        <v>1</v>
      </c>
      <c r="T280" s="20">
        <f>_xlfn.XMATCH(tbl_Clean[[#This Row],[Education]],{"Partial High School","High School","Partial College","Bachelors","Graduate Degree"})</f>
        <v>5</v>
      </c>
      <c r="U280" s="20">
        <f>IF(tbl_Clean[[#This Row],[Purchased Bike]]="Yes",1,0)</f>
        <v>1</v>
      </c>
    </row>
    <row r="281" spans="1:21" x14ac:dyDescent="0.25">
      <c r="A281" s="20">
        <v>14545</v>
      </c>
      <c r="B281" s="3" t="s">
        <v>111</v>
      </c>
      <c r="C281" s="3" t="s">
        <v>112</v>
      </c>
      <c r="D281" s="19">
        <v>10000</v>
      </c>
      <c r="E281" s="20">
        <v>2</v>
      </c>
      <c r="F281" s="3" t="s">
        <v>21</v>
      </c>
      <c r="G281" s="3" t="s">
        <v>28</v>
      </c>
      <c r="H281" s="3" t="s">
        <v>17</v>
      </c>
      <c r="I281" s="20">
        <v>0</v>
      </c>
      <c r="J281" s="3" t="s">
        <v>29</v>
      </c>
      <c r="K281" s="3" t="s">
        <v>19</v>
      </c>
      <c r="L281" s="20">
        <v>49</v>
      </c>
      <c r="M281" s="3" t="s">
        <v>20</v>
      </c>
      <c r="N281" s="20" t="str" cm="1">
        <f t="array" ref="N281">_xlfn.IFS(tbl_Clean[[#This Row],[Age]]&lt;=30,"25-30",tbl_Clean[[#This Row],[Age]]&lt;=40,"31-40",tbl_Clean[[#This Row],[Age]]&lt;=50,"41-50",tbl_Clean[[#This Row],[Age]]&lt;=60,"51-60",TRUE,"61+")</f>
        <v>41-50</v>
      </c>
      <c r="O281" s="20">
        <f>_xlfn.XMATCH(tbl_Clean[[#This Row],[Age Band]],{"25-30","31-40","41-50","51-60","61+"})</f>
        <v>3</v>
      </c>
      <c r="P281" s="20" t="str" cm="1">
        <f t="array" ref="P281">_xlfn.IFS(tbl_Clean[[#This Row],[Income]]&lt;=30000,"$10k-30k",tbl_Clean[[#This Row],[Income]]&lt;=60000,"$40k-60k",tbl_Clean[[#This Row],[Income]]&lt;=90000,"$70k-90k",TRUE,"$100k+")</f>
        <v>$10k-30k</v>
      </c>
      <c r="Q281" s="20">
        <f>_xlfn.XMATCH(tbl_Clean[[#This Row],[Income Band]],{"$10k-30k","$40k-60k","$70k-90k","$100k+"})</f>
        <v>1</v>
      </c>
      <c r="R281" s="20" t="str">
        <f>IF(tbl_Clean[[#This Row],[Cars]]&lt;=1,"0-1 Cars","2+ Cars")</f>
        <v>0-1 Cars</v>
      </c>
      <c r="S281" s="20">
        <f>_xlfn.XMATCH(tbl_Clean[[#This Row],[Commute Distance]],{"0-1 Miles","1-2 Miles","2-5 Miles","5-10 Miles","10+ Miles"})</f>
        <v>2</v>
      </c>
      <c r="T281" s="20">
        <f>_xlfn.XMATCH(tbl_Clean[[#This Row],[Education]],{"Partial High School","High School","Partial College","Bachelors","Graduate Degree"})</f>
        <v>3</v>
      </c>
      <c r="U281" s="20">
        <f>IF(tbl_Clean[[#This Row],[Purchased Bike]]="Yes",1,0)</f>
        <v>0</v>
      </c>
    </row>
    <row r="282" spans="1:21" x14ac:dyDescent="0.25">
      <c r="A282" s="20">
        <v>24201</v>
      </c>
      <c r="B282" s="3" t="s">
        <v>111</v>
      </c>
      <c r="C282" s="3" t="s">
        <v>112</v>
      </c>
      <c r="D282" s="19">
        <v>10000</v>
      </c>
      <c r="E282" s="20">
        <v>2</v>
      </c>
      <c r="F282" s="3" t="s">
        <v>30</v>
      </c>
      <c r="G282" s="3" t="s">
        <v>28</v>
      </c>
      <c r="H282" s="3" t="s">
        <v>17</v>
      </c>
      <c r="I282" s="20">
        <v>0</v>
      </c>
      <c r="J282" s="3" t="s">
        <v>18</v>
      </c>
      <c r="K282" s="3" t="s">
        <v>19</v>
      </c>
      <c r="L282" s="20">
        <v>37</v>
      </c>
      <c r="M282" s="3" t="s">
        <v>17</v>
      </c>
      <c r="N282" s="20" t="str" cm="1">
        <f t="array" ref="N282">_xlfn.IFS(tbl_Clean[[#This Row],[Age]]&lt;=30,"25-30",tbl_Clean[[#This Row],[Age]]&lt;=40,"31-40",tbl_Clean[[#This Row],[Age]]&lt;=50,"41-50",tbl_Clean[[#This Row],[Age]]&lt;=60,"51-60",TRUE,"61+")</f>
        <v>31-40</v>
      </c>
      <c r="O282" s="20">
        <f>_xlfn.XMATCH(tbl_Clean[[#This Row],[Age Band]],{"25-30","31-40","41-50","51-60","61+"})</f>
        <v>2</v>
      </c>
      <c r="P282" s="20" t="str" cm="1">
        <f t="array" ref="P282">_xlfn.IFS(tbl_Clean[[#This Row],[Income]]&lt;=30000,"$10k-30k",tbl_Clean[[#This Row],[Income]]&lt;=60000,"$40k-60k",tbl_Clean[[#This Row],[Income]]&lt;=90000,"$70k-90k",TRUE,"$100k+")</f>
        <v>$10k-30k</v>
      </c>
      <c r="Q282" s="20">
        <f>_xlfn.XMATCH(tbl_Clean[[#This Row],[Income Band]],{"$10k-30k","$40k-60k","$70k-90k","$100k+"})</f>
        <v>1</v>
      </c>
      <c r="R282" s="20" t="str">
        <f>IF(tbl_Clean[[#This Row],[Cars]]&lt;=1,"0-1 Cars","2+ Cars")</f>
        <v>0-1 Cars</v>
      </c>
      <c r="S282" s="20">
        <f>_xlfn.XMATCH(tbl_Clean[[#This Row],[Commute Distance]],{"0-1 Miles","1-2 Miles","2-5 Miles","5-10 Miles","10+ Miles"})</f>
        <v>1</v>
      </c>
      <c r="T282" s="20">
        <f>_xlfn.XMATCH(tbl_Clean[[#This Row],[Education]],{"Partial High School","High School","Partial College","Bachelors","Graduate Degree"})</f>
        <v>2</v>
      </c>
      <c r="U282" s="20">
        <f>IF(tbl_Clean[[#This Row],[Purchased Bike]]="Yes",1,0)</f>
        <v>1</v>
      </c>
    </row>
    <row r="283" spans="1:21" x14ac:dyDescent="0.25">
      <c r="A283" s="20">
        <v>20625</v>
      </c>
      <c r="B283" s="3" t="s">
        <v>111</v>
      </c>
      <c r="C283" s="3" t="s">
        <v>113</v>
      </c>
      <c r="D283" s="19">
        <v>100000</v>
      </c>
      <c r="E283" s="20">
        <v>0</v>
      </c>
      <c r="F283" s="3" t="s">
        <v>30</v>
      </c>
      <c r="G283" s="3" t="s">
        <v>31</v>
      </c>
      <c r="H283" s="3" t="s">
        <v>17</v>
      </c>
      <c r="I283" s="20">
        <v>3</v>
      </c>
      <c r="J283" s="3" t="s">
        <v>33</v>
      </c>
      <c r="K283" s="3" t="s">
        <v>27</v>
      </c>
      <c r="L283" s="20">
        <v>35</v>
      </c>
      <c r="M283" s="3" t="s">
        <v>17</v>
      </c>
      <c r="N283" s="20" t="str" cm="1">
        <f t="array" ref="N283">_xlfn.IFS(tbl_Clean[[#This Row],[Age]]&lt;=30,"25-30",tbl_Clean[[#This Row],[Age]]&lt;=40,"31-40",tbl_Clean[[#This Row],[Age]]&lt;=50,"41-50",tbl_Clean[[#This Row],[Age]]&lt;=60,"51-60",TRUE,"61+")</f>
        <v>31-40</v>
      </c>
      <c r="O283" s="20">
        <f>_xlfn.XMATCH(tbl_Clean[[#This Row],[Age Band]],{"25-30","31-40","41-50","51-60","61+"})</f>
        <v>2</v>
      </c>
      <c r="P283" s="20" t="str" cm="1">
        <f t="array" ref="P283">_xlfn.IFS(tbl_Clean[[#This Row],[Income]]&lt;=30000,"$10k-30k",tbl_Clean[[#This Row],[Income]]&lt;=60000,"$40k-60k",tbl_Clean[[#This Row],[Income]]&lt;=90000,"$70k-90k",TRUE,"$100k+")</f>
        <v>$100k+</v>
      </c>
      <c r="Q283" s="20">
        <f>_xlfn.XMATCH(tbl_Clean[[#This Row],[Income Band]],{"$10k-30k","$40k-60k","$70k-90k","$100k+"})</f>
        <v>4</v>
      </c>
      <c r="R283" s="20" t="str">
        <f>IF(tbl_Clean[[#This Row],[Cars]]&lt;=1,"0-1 Cars","2+ Cars")</f>
        <v>2+ Cars</v>
      </c>
      <c r="S283" s="20">
        <f>_xlfn.XMATCH(tbl_Clean[[#This Row],[Commute Distance]],{"0-1 Miles","1-2 Miles","2-5 Miles","5-10 Miles","10+ Miles"})</f>
        <v>5</v>
      </c>
      <c r="T283" s="20">
        <f>_xlfn.XMATCH(tbl_Clean[[#This Row],[Education]],{"Partial High School","High School","Partial College","Bachelors","Graduate Degree"})</f>
        <v>2</v>
      </c>
      <c r="U283" s="20">
        <f>IF(tbl_Clean[[#This Row],[Purchased Bike]]="Yes",1,0)</f>
        <v>1</v>
      </c>
    </row>
    <row r="284" spans="1:21" x14ac:dyDescent="0.25">
      <c r="A284" s="20">
        <v>16390</v>
      </c>
      <c r="B284" s="3" t="s">
        <v>114</v>
      </c>
      <c r="C284" s="3" t="s">
        <v>113</v>
      </c>
      <c r="D284" s="19">
        <v>30000</v>
      </c>
      <c r="E284" s="20">
        <v>1</v>
      </c>
      <c r="F284" s="3" t="s">
        <v>15</v>
      </c>
      <c r="G284" s="3" t="s">
        <v>22</v>
      </c>
      <c r="H284" s="3" t="s">
        <v>20</v>
      </c>
      <c r="I284" s="20">
        <v>0</v>
      </c>
      <c r="J284" s="3" t="s">
        <v>18</v>
      </c>
      <c r="K284" s="3" t="s">
        <v>19</v>
      </c>
      <c r="L284" s="20">
        <v>38</v>
      </c>
      <c r="M284" s="3" t="s">
        <v>17</v>
      </c>
      <c r="N284" s="20" t="str" cm="1">
        <f t="array" ref="N284">_xlfn.IFS(tbl_Clean[[#This Row],[Age]]&lt;=30,"25-30",tbl_Clean[[#This Row],[Age]]&lt;=40,"31-40",tbl_Clean[[#This Row],[Age]]&lt;=50,"41-50",tbl_Clean[[#This Row],[Age]]&lt;=60,"51-60",TRUE,"61+")</f>
        <v>31-40</v>
      </c>
      <c r="O284" s="20">
        <f>_xlfn.XMATCH(tbl_Clean[[#This Row],[Age Band]],{"25-30","31-40","41-50","51-60","61+"})</f>
        <v>2</v>
      </c>
      <c r="P284" s="20" t="str" cm="1">
        <f t="array" ref="P284">_xlfn.IFS(tbl_Clean[[#This Row],[Income]]&lt;=30000,"$10k-30k",tbl_Clean[[#This Row],[Income]]&lt;=60000,"$40k-60k",tbl_Clean[[#This Row],[Income]]&lt;=90000,"$70k-90k",TRUE,"$100k+")</f>
        <v>$10k-30k</v>
      </c>
      <c r="Q284" s="20">
        <f>_xlfn.XMATCH(tbl_Clean[[#This Row],[Income Band]],{"$10k-30k","$40k-60k","$70k-90k","$100k+"})</f>
        <v>1</v>
      </c>
      <c r="R284" s="20" t="str">
        <f>IF(tbl_Clean[[#This Row],[Cars]]&lt;=1,"0-1 Cars","2+ Cars")</f>
        <v>0-1 Cars</v>
      </c>
      <c r="S284" s="20">
        <f>_xlfn.XMATCH(tbl_Clean[[#This Row],[Commute Distance]],{"0-1 Miles","1-2 Miles","2-5 Miles","5-10 Miles","10+ Miles"})</f>
        <v>1</v>
      </c>
      <c r="T284" s="20">
        <f>_xlfn.XMATCH(tbl_Clean[[#This Row],[Education]],{"Partial High School","High School","Partial College","Bachelors","Graduate Degree"})</f>
        <v>4</v>
      </c>
      <c r="U284" s="20">
        <f>IF(tbl_Clean[[#This Row],[Purchased Bike]]="Yes",1,0)</f>
        <v>1</v>
      </c>
    </row>
    <row r="285" spans="1:21" x14ac:dyDescent="0.25">
      <c r="A285" s="20">
        <v>14804</v>
      </c>
      <c r="B285" s="3" t="s">
        <v>114</v>
      </c>
      <c r="C285" s="3" t="s">
        <v>112</v>
      </c>
      <c r="D285" s="19">
        <v>10000</v>
      </c>
      <c r="E285" s="20">
        <v>3</v>
      </c>
      <c r="F285" s="3" t="s">
        <v>32</v>
      </c>
      <c r="G285" s="3" t="s">
        <v>28</v>
      </c>
      <c r="H285" s="3" t="s">
        <v>17</v>
      </c>
      <c r="I285" s="20">
        <v>2</v>
      </c>
      <c r="J285" s="3" t="s">
        <v>18</v>
      </c>
      <c r="K285" s="3" t="s">
        <v>19</v>
      </c>
      <c r="L285" s="20">
        <v>43</v>
      </c>
      <c r="M285" s="3" t="s">
        <v>20</v>
      </c>
      <c r="N285" s="20" t="str" cm="1">
        <f t="array" ref="N285">_xlfn.IFS(tbl_Clean[[#This Row],[Age]]&lt;=30,"25-30",tbl_Clean[[#This Row],[Age]]&lt;=40,"31-40",tbl_Clean[[#This Row],[Age]]&lt;=50,"41-50",tbl_Clean[[#This Row],[Age]]&lt;=60,"51-60",TRUE,"61+")</f>
        <v>41-50</v>
      </c>
      <c r="O285" s="20">
        <f>_xlfn.XMATCH(tbl_Clean[[#This Row],[Age Band]],{"25-30","31-40","41-50","51-60","61+"})</f>
        <v>3</v>
      </c>
      <c r="P285" s="20" t="str" cm="1">
        <f t="array" ref="P285">_xlfn.IFS(tbl_Clean[[#This Row],[Income]]&lt;=30000,"$10k-30k",tbl_Clean[[#This Row],[Income]]&lt;=60000,"$40k-60k",tbl_Clean[[#This Row],[Income]]&lt;=90000,"$70k-90k",TRUE,"$100k+")</f>
        <v>$10k-30k</v>
      </c>
      <c r="Q285" s="20">
        <f>_xlfn.XMATCH(tbl_Clean[[#This Row],[Income Band]],{"$10k-30k","$40k-60k","$70k-90k","$100k+"})</f>
        <v>1</v>
      </c>
      <c r="R285" s="20" t="str">
        <f>IF(tbl_Clean[[#This Row],[Cars]]&lt;=1,"0-1 Cars","2+ Cars")</f>
        <v>2+ Cars</v>
      </c>
      <c r="S285" s="20">
        <f>_xlfn.XMATCH(tbl_Clean[[#This Row],[Commute Distance]],{"0-1 Miles","1-2 Miles","2-5 Miles","5-10 Miles","10+ Miles"})</f>
        <v>1</v>
      </c>
      <c r="T285" s="20">
        <f>_xlfn.XMATCH(tbl_Clean[[#This Row],[Education]],{"Partial High School","High School","Partial College","Bachelors","Graduate Degree"})</f>
        <v>1</v>
      </c>
      <c r="U285" s="20">
        <f>IF(tbl_Clean[[#This Row],[Purchased Bike]]="Yes",1,0)</f>
        <v>0</v>
      </c>
    </row>
    <row r="286" spans="1:21" x14ac:dyDescent="0.25">
      <c r="A286" s="20">
        <v>12629</v>
      </c>
      <c r="B286" s="3" t="s">
        <v>114</v>
      </c>
      <c r="C286" s="3" t="s">
        <v>113</v>
      </c>
      <c r="D286" s="19">
        <v>20000</v>
      </c>
      <c r="E286" s="20">
        <v>1</v>
      </c>
      <c r="F286" s="3" t="s">
        <v>21</v>
      </c>
      <c r="G286" s="3" t="s">
        <v>28</v>
      </c>
      <c r="H286" s="3" t="s">
        <v>20</v>
      </c>
      <c r="I286" s="20">
        <v>0</v>
      </c>
      <c r="J286" s="3" t="s">
        <v>18</v>
      </c>
      <c r="K286" s="3" t="s">
        <v>19</v>
      </c>
      <c r="L286" s="20">
        <v>37</v>
      </c>
      <c r="M286" s="3" t="s">
        <v>20</v>
      </c>
      <c r="N286" s="20" t="str" cm="1">
        <f t="array" ref="N286">_xlfn.IFS(tbl_Clean[[#This Row],[Age]]&lt;=30,"25-30",tbl_Clean[[#This Row],[Age]]&lt;=40,"31-40",tbl_Clean[[#This Row],[Age]]&lt;=50,"41-50",tbl_Clean[[#This Row],[Age]]&lt;=60,"51-60",TRUE,"61+")</f>
        <v>31-40</v>
      </c>
      <c r="O286" s="20">
        <f>_xlfn.XMATCH(tbl_Clean[[#This Row],[Age Band]],{"25-30","31-40","41-50","51-60","61+"})</f>
        <v>2</v>
      </c>
      <c r="P286" s="20" t="str" cm="1">
        <f t="array" ref="P286">_xlfn.IFS(tbl_Clean[[#This Row],[Income]]&lt;=30000,"$10k-30k",tbl_Clean[[#This Row],[Income]]&lt;=60000,"$40k-60k",tbl_Clean[[#This Row],[Income]]&lt;=90000,"$70k-90k",TRUE,"$100k+")</f>
        <v>$10k-30k</v>
      </c>
      <c r="Q286" s="20">
        <f>_xlfn.XMATCH(tbl_Clean[[#This Row],[Income Band]],{"$10k-30k","$40k-60k","$70k-90k","$100k+"})</f>
        <v>1</v>
      </c>
      <c r="R286" s="20" t="str">
        <f>IF(tbl_Clean[[#This Row],[Cars]]&lt;=1,"0-1 Cars","2+ Cars")</f>
        <v>0-1 Cars</v>
      </c>
      <c r="S286" s="20">
        <f>_xlfn.XMATCH(tbl_Clean[[#This Row],[Commute Distance]],{"0-1 Miles","1-2 Miles","2-5 Miles","5-10 Miles","10+ Miles"})</f>
        <v>1</v>
      </c>
      <c r="T286" s="20">
        <f>_xlfn.XMATCH(tbl_Clean[[#This Row],[Education]],{"Partial High School","High School","Partial College","Bachelors","Graduate Degree"})</f>
        <v>3</v>
      </c>
      <c r="U286" s="20">
        <f>IF(tbl_Clean[[#This Row],[Purchased Bike]]="Yes",1,0)</f>
        <v>0</v>
      </c>
    </row>
    <row r="287" spans="1:21" x14ac:dyDescent="0.25">
      <c r="A287" s="20">
        <v>14696</v>
      </c>
      <c r="B287" s="3" t="s">
        <v>114</v>
      </c>
      <c r="C287" s="3" t="s">
        <v>113</v>
      </c>
      <c r="D287" s="19">
        <v>10000</v>
      </c>
      <c r="E287" s="20">
        <v>0</v>
      </c>
      <c r="F287" s="3" t="s">
        <v>32</v>
      </c>
      <c r="G287" s="3" t="s">
        <v>28</v>
      </c>
      <c r="H287" s="3" t="s">
        <v>20</v>
      </c>
      <c r="I287" s="20">
        <v>2</v>
      </c>
      <c r="J287" s="3" t="s">
        <v>18</v>
      </c>
      <c r="K287" s="3" t="s">
        <v>19</v>
      </c>
      <c r="L287" s="20">
        <v>34</v>
      </c>
      <c r="M287" s="3" t="s">
        <v>20</v>
      </c>
      <c r="N287" s="20" t="str" cm="1">
        <f t="array" ref="N287">_xlfn.IFS(tbl_Clean[[#This Row],[Age]]&lt;=30,"25-30",tbl_Clean[[#This Row],[Age]]&lt;=40,"31-40",tbl_Clean[[#This Row],[Age]]&lt;=50,"41-50",tbl_Clean[[#This Row],[Age]]&lt;=60,"51-60",TRUE,"61+")</f>
        <v>31-40</v>
      </c>
      <c r="O287" s="20">
        <f>_xlfn.XMATCH(tbl_Clean[[#This Row],[Age Band]],{"25-30","31-40","41-50","51-60","61+"})</f>
        <v>2</v>
      </c>
      <c r="P287" s="20" t="str" cm="1">
        <f t="array" ref="P287">_xlfn.IFS(tbl_Clean[[#This Row],[Income]]&lt;=30000,"$10k-30k",tbl_Clean[[#This Row],[Income]]&lt;=60000,"$40k-60k",tbl_Clean[[#This Row],[Income]]&lt;=90000,"$70k-90k",TRUE,"$100k+")</f>
        <v>$10k-30k</v>
      </c>
      <c r="Q287" s="20">
        <f>_xlfn.XMATCH(tbl_Clean[[#This Row],[Income Band]],{"$10k-30k","$40k-60k","$70k-90k","$100k+"})</f>
        <v>1</v>
      </c>
      <c r="R287" s="20" t="str">
        <f>IF(tbl_Clean[[#This Row],[Cars]]&lt;=1,"0-1 Cars","2+ Cars")</f>
        <v>2+ Cars</v>
      </c>
      <c r="S287" s="20">
        <f>_xlfn.XMATCH(tbl_Clean[[#This Row],[Commute Distance]],{"0-1 Miles","1-2 Miles","2-5 Miles","5-10 Miles","10+ Miles"})</f>
        <v>1</v>
      </c>
      <c r="T287" s="20">
        <f>_xlfn.XMATCH(tbl_Clean[[#This Row],[Education]],{"Partial High School","High School","Partial College","Bachelors","Graduate Degree"})</f>
        <v>1</v>
      </c>
      <c r="U287" s="20">
        <f>IF(tbl_Clean[[#This Row],[Purchased Bike]]="Yes",1,0)</f>
        <v>0</v>
      </c>
    </row>
    <row r="288" spans="1:21" x14ac:dyDescent="0.25">
      <c r="A288" s="20">
        <v>22005</v>
      </c>
      <c r="B288" s="3" t="s">
        <v>111</v>
      </c>
      <c r="C288" s="3" t="s">
        <v>112</v>
      </c>
      <c r="D288" s="19">
        <v>70000</v>
      </c>
      <c r="E288" s="20">
        <v>5</v>
      </c>
      <c r="F288" s="3" t="s">
        <v>21</v>
      </c>
      <c r="G288" s="3" t="s">
        <v>16</v>
      </c>
      <c r="H288" s="3" t="s">
        <v>20</v>
      </c>
      <c r="I288" s="20">
        <v>3</v>
      </c>
      <c r="J288" s="3" t="s">
        <v>26</v>
      </c>
      <c r="K288" s="3" t="s">
        <v>27</v>
      </c>
      <c r="L288" s="20">
        <v>46</v>
      </c>
      <c r="M288" s="3" t="s">
        <v>20</v>
      </c>
      <c r="N288" s="20" t="str" cm="1">
        <f t="array" ref="N288">_xlfn.IFS(tbl_Clean[[#This Row],[Age]]&lt;=30,"25-30",tbl_Clean[[#This Row],[Age]]&lt;=40,"31-40",tbl_Clean[[#This Row],[Age]]&lt;=50,"41-50",tbl_Clean[[#This Row],[Age]]&lt;=60,"51-60",TRUE,"61+")</f>
        <v>41-50</v>
      </c>
      <c r="O288" s="20">
        <f>_xlfn.XMATCH(tbl_Clean[[#This Row],[Age Band]],{"25-30","31-40","41-50","51-60","61+"})</f>
        <v>3</v>
      </c>
      <c r="P288" s="20" t="str" cm="1">
        <f t="array" ref="P288">_xlfn.IFS(tbl_Clean[[#This Row],[Income]]&lt;=30000,"$10k-30k",tbl_Clean[[#This Row],[Income]]&lt;=60000,"$40k-60k",tbl_Clean[[#This Row],[Income]]&lt;=90000,"$70k-90k",TRUE,"$100k+")</f>
        <v>$70k-90k</v>
      </c>
      <c r="Q288" s="20">
        <f>_xlfn.XMATCH(tbl_Clean[[#This Row],[Income Band]],{"$10k-30k","$40k-60k","$70k-90k","$100k+"})</f>
        <v>3</v>
      </c>
      <c r="R288" s="20" t="str">
        <f>IF(tbl_Clean[[#This Row],[Cars]]&lt;=1,"0-1 Cars","2+ Cars")</f>
        <v>2+ Cars</v>
      </c>
      <c r="S288" s="20">
        <f>_xlfn.XMATCH(tbl_Clean[[#This Row],[Commute Distance]],{"0-1 Miles","1-2 Miles","2-5 Miles","5-10 Miles","10+ Miles"})</f>
        <v>4</v>
      </c>
      <c r="T288" s="20">
        <f>_xlfn.XMATCH(tbl_Clean[[#This Row],[Education]],{"Partial High School","High School","Partial College","Bachelors","Graduate Degree"})</f>
        <v>3</v>
      </c>
      <c r="U288" s="20">
        <f>IF(tbl_Clean[[#This Row],[Purchased Bike]]="Yes",1,0)</f>
        <v>0</v>
      </c>
    </row>
    <row r="289" spans="1:21" x14ac:dyDescent="0.25">
      <c r="A289" s="20">
        <v>14544</v>
      </c>
      <c r="B289" s="3" t="s">
        <v>114</v>
      </c>
      <c r="C289" s="3" t="s">
        <v>113</v>
      </c>
      <c r="D289" s="19">
        <v>10000</v>
      </c>
      <c r="E289" s="20">
        <v>1</v>
      </c>
      <c r="F289" s="3" t="s">
        <v>21</v>
      </c>
      <c r="G289" s="3" t="s">
        <v>28</v>
      </c>
      <c r="H289" s="3" t="s">
        <v>17</v>
      </c>
      <c r="I289" s="20">
        <v>0</v>
      </c>
      <c r="J289" s="3" t="s">
        <v>18</v>
      </c>
      <c r="K289" s="3" t="s">
        <v>19</v>
      </c>
      <c r="L289" s="20">
        <v>49</v>
      </c>
      <c r="M289" s="3" t="s">
        <v>20</v>
      </c>
      <c r="N289" s="20" t="str" cm="1">
        <f t="array" ref="N289">_xlfn.IFS(tbl_Clean[[#This Row],[Age]]&lt;=30,"25-30",tbl_Clean[[#This Row],[Age]]&lt;=40,"31-40",tbl_Clean[[#This Row],[Age]]&lt;=50,"41-50",tbl_Clean[[#This Row],[Age]]&lt;=60,"51-60",TRUE,"61+")</f>
        <v>41-50</v>
      </c>
      <c r="O289" s="20">
        <f>_xlfn.XMATCH(tbl_Clean[[#This Row],[Age Band]],{"25-30","31-40","41-50","51-60","61+"})</f>
        <v>3</v>
      </c>
      <c r="P289" s="20" t="str" cm="1">
        <f t="array" ref="P289">_xlfn.IFS(tbl_Clean[[#This Row],[Income]]&lt;=30000,"$10k-30k",tbl_Clean[[#This Row],[Income]]&lt;=60000,"$40k-60k",tbl_Clean[[#This Row],[Income]]&lt;=90000,"$70k-90k",TRUE,"$100k+")</f>
        <v>$10k-30k</v>
      </c>
      <c r="Q289" s="20">
        <f>_xlfn.XMATCH(tbl_Clean[[#This Row],[Income Band]],{"$10k-30k","$40k-60k","$70k-90k","$100k+"})</f>
        <v>1</v>
      </c>
      <c r="R289" s="20" t="str">
        <f>IF(tbl_Clean[[#This Row],[Cars]]&lt;=1,"0-1 Cars","2+ Cars")</f>
        <v>0-1 Cars</v>
      </c>
      <c r="S289" s="20">
        <f>_xlfn.XMATCH(tbl_Clean[[#This Row],[Commute Distance]],{"0-1 Miles","1-2 Miles","2-5 Miles","5-10 Miles","10+ Miles"})</f>
        <v>1</v>
      </c>
      <c r="T289" s="20">
        <f>_xlfn.XMATCH(tbl_Clean[[#This Row],[Education]],{"Partial High School","High School","Partial College","Bachelors","Graduate Degree"})</f>
        <v>3</v>
      </c>
      <c r="U289" s="20">
        <f>IF(tbl_Clean[[#This Row],[Purchased Bike]]="Yes",1,0)</f>
        <v>0</v>
      </c>
    </row>
    <row r="290" spans="1:21" x14ac:dyDescent="0.25">
      <c r="A290" s="20">
        <v>14312</v>
      </c>
      <c r="B290" s="3" t="s">
        <v>111</v>
      </c>
      <c r="C290" s="3" t="s">
        <v>112</v>
      </c>
      <c r="D290" s="19">
        <v>60000</v>
      </c>
      <c r="E290" s="20">
        <v>1</v>
      </c>
      <c r="F290" s="3" t="s">
        <v>21</v>
      </c>
      <c r="G290" s="3" t="s">
        <v>16</v>
      </c>
      <c r="H290" s="3" t="s">
        <v>17</v>
      </c>
      <c r="I290" s="20">
        <v>1</v>
      </c>
      <c r="J290" s="3" t="s">
        <v>26</v>
      </c>
      <c r="K290" s="3" t="s">
        <v>27</v>
      </c>
      <c r="L290" s="20">
        <v>45</v>
      </c>
      <c r="M290" s="3" t="s">
        <v>20</v>
      </c>
      <c r="N290" s="20" t="str" cm="1">
        <f t="array" ref="N290">_xlfn.IFS(tbl_Clean[[#This Row],[Age]]&lt;=30,"25-30",tbl_Clean[[#This Row],[Age]]&lt;=40,"31-40",tbl_Clean[[#This Row],[Age]]&lt;=50,"41-50",tbl_Clean[[#This Row],[Age]]&lt;=60,"51-60",TRUE,"61+")</f>
        <v>41-50</v>
      </c>
      <c r="O290" s="20">
        <f>_xlfn.XMATCH(tbl_Clean[[#This Row],[Age Band]],{"25-30","31-40","41-50","51-60","61+"})</f>
        <v>3</v>
      </c>
      <c r="P290" s="20" t="str" cm="1">
        <f t="array" ref="P290">_xlfn.IFS(tbl_Clean[[#This Row],[Income]]&lt;=30000,"$10k-30k",tbl_Clean[[#This Row],[Income]]&lt;=60000,"$40k-60k",tbl_Clean[[#This Row],[Income]]&lt;=90000,"$70k-90k",TRUE,"$100k+")</f>
        <v>$40k-60k</v>
      </c>
      <c r="Q290" s="20">
        <f>_xlfn.XMATCH(tbl_Clean[[#This Row],[Income Band]],{"$10k-30k","$40k-60k","$70k-90k","$100k+"})</f>
        <v>2</v>
      </c>
      <c r="R290" s="20" t="str">
        <f>IF(tbl_Clean[[#This Row],[Cars]]&lt;=1,"0-1 Cars","2+ Cars")</f>
        <v>0-1 Cars</v>
      </c>
      <c r="S290" s="20">
        <f>_xlfn.XMATCH(tbl_Clean[[#This Row],[Commute Distance]],{"0-1 Miles","1-2 Miles","2-5 Miles","5-10 Miles","10+ Miles"})</f>
        <v>4</v>
      </c>
      <c r="T290" s="20">
        <f>_xlfn.XMATCH(tbl_Clean[[#This Row],[Education]],{"Partial High School","High School","Partial College","Bachelors","Graduate Degree"})</f>
        <v>3</v>
      </c>
      <c r="U290" s="20">
        <f>IF(tbl_Clean[[#This Row],[Purchased Bike]]="Yes",1,0)</f>
        <v>0</v>
      </c>
    </row>
    <row r="291" spans="1:21" x14ac:dyDescent="0.25">
      <c r="A291" s="20">
        <v>29120</v>
      </c>
      <c r="B291" s="3" t="s">
        <v>114</v>
      </c>
      <c r="C291" s="3" t="s">
        <v>112</v>
      </c>
      <c r="D291" s="19">
        <v>100000</v>
      </c>
      <c r="E291" s="20">
        <v>1</v>
      </c>
      <c r="F291" s="3" t="s">
        <v>15</v>
      </c>
      <c r="G291" s="3" t="s">
        <v>31</v>
      </c>
      <c r="H291" s="3" t="s">
        <v>17</v>
      </c>
      <c r="I291" s="20">
        <v>4</v>
      </c>
      <c r="J291" s="3" t="s">
        <v>24</v>
      </c>
      <c r="K291" s="3" t="s">
        <v>27</v>
      </c>
      <c r="L291" s="20">
        <v>48</v>
      </c>
      <c r="M291" s="3" t="s">
        <v>20</v>
      </c>
      <c r="N291" s="20" t="str" cm="1">
        <f t="array" ref="N291">_xlfn.IFS(tbl_Clean[[#This Row],[Age]]&lt;=30,"25-30",tbl_Clean[[#This Row],[Age]]&lt;=40,"31-40",tbl_Clean[[#This Row],[Age]]&lt;=50,"41-50",tbl_Clean[[#This Row],[Age]]&lt;=60,"51-60",TRUE,"61+")</f>
        <v>41-50</v>
      </c>
      <c r="O291" s="20">
        <f>_xlfn.XMATCH(tbl_Clean[[#This Row],[Age Band]],{"25-30","31-40","41-50","51-60","61+"})</f>
        <v>3</v>
      </c>
      <c r="P291" s="20" t="str" cm="1">
        <f t="array" ref="P291">_xlfn.IFS(tbl_Clean[[#This Row],[Income]]&lt;=30000,"$10k-30k",tbl_Clean[[#This Row],[Income]]&lt;=60000,"$40k-60k",tbl_Clean[[#This Row],[Income]]&lt;=90000,"$70k-90k",TRUE,"$100k+")</f>
        <v>$100k+</v>
      </c>
      <c r="Q291" s="20">
        <f>_xlfn.XMATCH(tbl_Clean[[#This Row],[Income Band]],{"$10k-30k","$40k-60k","$70k-90k","$100k+"})</f>
        <v>4</v>
      </c>
      <c r="R291" s="20" t="str">
        <f>IF(tbl_Clean[[#This Row],[Cars]]&lt;=1,"0-1 Cars","2+ Cars")</f>
        <v>2+ Cars</v>
      </c>
      <c r="S291" s="20">
        <f>_xlfn.XMATCH(tbl_Clean[[#This Row],[Commute Distance]],{"0-1 Miles","1-2 Miles","2-5 Miles","5-10 Miles","10+ Miles"})</f>
        <v>3</v>
      </c>
      <c r="T291" s="20">
        <f>_xlfn.XMATCH(tbl_Clean[[#This Row],[Education]],{"Partial High School","High School","Partial College","Bachelors","Graduate Degree"})</f>
        <v>4</v>
      </c>
      <c r="U291" s="20">
        <f>IF(tbl_Clean[[#This Row],[Purchased Bike]]="Yes",1,0)</f>
        <v>0</v>
      </c>
    </row>
    <row r="292" spans="1:21" x14ac:dyDescent="0.25">
      <c r="A292" s="20">
        <v>24187</v>
      </c>
      <c r="B292" s="3" t="s">
        <v>114</v>
      </c>
      <c r="C292" s="3" t="s">
        <v>112</v>
      </c>
      <c r="D292" s="19">
        <v>30000</v>
      </c>
      <c r="E292" s="20">
        <v>3</v>
      </c>
      <c r="F292" s="3" t="s">
        <v>34</v>
      </c>
      <c r="G292" s="3" t="s">
        <v>22</v>
      </c>
      <c r="H292" s="3" t="s">
        <v>20</v>
      </c>
      <c r="I292" s="20">
        <v>0</v>
      </c>
      <c r="J292" s="3" t="s">
        <v>18</v>
      </c>
      <c r="K292" s="3" t="s">
        <v>19</v>
      </c>
      <c r="L292" s="20">
        <v>46</v>
      </c>
      <c r="M292" s="3" t="s">
        <v>17</v>
      </c>
      <c r="N292" s="20" t="str" cm="1">
        <f t="array" ref="N292">_xlfn.IFS(tbl_Clean[[#This Row],[Age]]&lt;=30,"25-30",tbl_Clean[[#This Row],[Age]]&lt;=40,"31-40",tbl_Clean[[#This Row],[Age]]&lt;=50,"41-50",tbl_Clean[[#This Row],[Age]]&lt;=60,"51-60",TRUE,"61+")</f>
        <v>41-50</v>
      </c>
      <c r="O292" s="20">
        <f>_xlfn.XMATCH(tbl_Clean[[#This Row],[Age Band]],{"25-30","31-40","41-50","51-60","61+"})</f>
        <v>3</v>
      </c>
      <c r="P292" s="20" t="str" cm="1">
        <f t="array" ref="P292">_xlfn.IFS(tbl_Clean[[#This Row],[Income]]&lt;=30000,"$10k-30k",tbl_Clean[[#This Row],[Income]]&lt;=60000,"$40k-60k",tbl_Clean[[#This Row],[Income]]&lt;=90000,"$70k-90k",TRUE,"$100k+")</f>
        <v>$10k-30k</v>
      </c>
      <c r="Q292" s="20">
        <f>_xlfn.XMATCH(tbl_Clean[[#This Row],[Income Band]],{"$10k-30k","$40k-60k","$70k-90k","$100k+"})</f>
        <v>1</v>
      </c>
      <c r="R292" s="20" t="str">
        <f>IF(tbl_Clean[[#This Row],[Cars]]&lt;=1,"0-1 Cars","2+ Cars")</f>
        <v>0-1 Cars</v>
      </c>
      <c r="S292" s="20">
        <f>_xlfn.XMATCH(tbl_Clean[[#This Row],[Commute Distance]],{"0-1 Miles","1-2 Miles","2-5 Miles","5-10 Miles","10+ Miles"})</f>
        <v>1</v>
      </c>
      <c r="T292" s="20">
        <f>_xlfn.XMATCH(tbl_Clean[[#This Row],[Education]],{"Partial High School","High School","Partial College","Bachelors","Graduate Degree"})</f>
        <v>5</v>
      </c>
      <c r="U292" s="20">
        <f>IF(tbl_Clean[[#This Row],[Purchased Bike]]="Yes",1,0)</f>
        <v>1</v>
      </c>
    </row>
    <row r="293" spans="1:21" x14ac:dyDescent="0.25">
      <c r="A293" s="20">
        <v>15758</v>
      </c>
      <c r="B293" s="3" t="s">
        <v>111</v>
      </c>
      <c r="C293" s="3" t="s">
        <v>113</v>
      </c>
      <c r="D293" s="19">
        <v>130000</v>
      </c>
      <c r="E293" s="20">
        <v>0</v>
      </c>
      <c r="F293" s="3" t="s">
        <v>34</v>
      </c>
      <c r="G293" s="3" t="s">
        <v>31</v>
      </c>
      <c r="H293" s="3" t="s">
        <v>17</v>
      </c>
      <c r="I293" s="20">
        <v>0</v>
      </c>
      <c r="J293" s="3" t="s">
        <v>26</v>
      </c>
      <c r="K293" s="3" t="s">
        <v>27</v>
      </c>
      <c r="L293" s="20">
        <v>48</v>
      </c>
      <c r="M293" s="3" t="s">
        <v>20</v>
      </c>
      <c r="N293" s="20" t="str" cm="1">
        <f t="array" ref="N293">_xlfn.IFS(tbl_Clean[[#This Row],[Age]]&lt;=30,"25-30",tbl_Clean[[#This Row],[Age]]&lt;=40,"31-40",tbl_Clean[[#This Row],[Age]]&lt;=50,"41-50",tbl_Clean[[#This Row],[Age]]&lt;=60,"51-60",TRUE,"61+")</f>
        <v>41-50</v>
      </c>
      <c r="O293" s="20">
        <f>_xlfn.XMATCH(tbl_Clean[[#This Row],[Age Band]],{"25-30","31-40","41-50","51-60","61+"})</f>
        <v>3</v>
      </c>
      <c r="P293" s="20" t="str" cm="1">
        <f t="array" ref="P293">_xlfn.IFS(tbl_Clean[[#This Row],[Income]]&lt;=30000,"$10k-30k",tbl_Clean[[#This Row],[Income]]&lt;=60000,"$40k-60k",tbl_Clean[[#This Row],[Income]]&lt;=90000,"$70k-90k",TRUE,"$100k+")</f>
        <v>$100k+</v>
      </c>
      <c r="Q293" s="20">
        <f>_xlfn.XMATCH(tbl_Clean[[#This Row],[Income Band]],{"$10k-30k","$40k-60k","$70k-90k","$100k+"})</f>
        <v>4</v>
      </c>
      <c r="R293" s="20" t="str">
        <f>IF(tbl_Clean[[#This Row],[Cars]]&lt;=1,"0-1 Cars","2+ Cars")</f>
        <v>0-1 Cars</v>
      </c>
      <c r="S293" s="20">
        <f>_xlfn.XMATCH(tbl_Clean[[#This Row],[Commute Distance]],{"0-1 Miles","1-2 Miles","2-5 Miles","5-10 Miles","10+ Miles"})</f>
        <v>4</v>
      </c>
      <c r="T293" s="20">
        <f>_xlfn.XMATCH(tbl_Clean[[#This Row],[Education]],{"Partial High School","High School","Partial College","Bachelors","Graduate Degree"})</f>
        <v>5</v>
      </c>
      <c r="U293" s="20">
        <f>IF(tbl_Clean[[#This Row],[Purchased Bike]]="Yes",1,0)</f>
        <v>0</v>
      </c>
    </row>
    <row r="294" spans="1:21" x14ac:dyDescent="0.25">
      <c r="A294" s="20">
        <v>29094</v>
      </c>
      <c r="B294" s="3" t="s">
        <v>111</v>
      </c>
      <c r="C294" s="3" t="s">
        <v>113</v>
      </c>
      <c r="D294" s="19">
        <v>30000</v>
      </c>
      <c r="E294" s="20">
        <v>3</v>
      </c>
      <c r="F294" s="3" t="s">
        <v>30</v>
      </c>
      <c r="G294" s="3" t="s">
        <v>16</v>
      </c>
      <c r="H294" s="3" t="s">
        <v>17</v>
      </c>
      <c r="I294" s="20">
        <v>2</v>
      </c>
      <c r="J294" s="3" t="s">
        <v>26</v>
      </c>
      <c r="K294" s="3" t="s">
        <v>27</v>
      </c>
      <c r="L294" s="20">
        <v>54</v>
      </c>
      <c r="M294" s="3" t="s">
        <v>17</v>
      </c>
      <c r="N294" s="20" t="str" cm="1">
        <f t="array" ref="N294">_xlfn.IFS(tbl_Clean[[#This Row],[Age]]&lt;=30,"25-30",tbl_Clean[[#This Row],[Age]]&lt;=40,"31-40",tbl_Clean[[#This Row],[Age]]&lt;=50,"41-50",tbl_Clean[[#This Row],[Age]]&lt;=60,"51-60",TRUE,"61+")</f>
        <v>51-60</v>
      </c>
      <c r="O294" s="20">
        <f>_xlfn.XMATCH(tbl_Clean[[#This Row],[Age Band]],{"25-30","31-40","41-50","51-60","61+"})</f>
        <v>4</v>
      </c>
      <c r="P294" s="20" t="str" cm="1">
        <f t="array" ref="P294">_xlfn.IFS(tbl_Clean[[#This Row],[Income]]&lt;=30000,"$10k-30k",tbl_Clean[[#This Row],[Income]]&lt;=60000,"$40k-60k",tbl_Clean[[#This Row],[Income]]&lt;=90000,"$70k-90k",TRUE,"$100k+")</f>
        <v>$10k-30k</v>
      </c>
      <c r="Q294" s="20">
        <f>_xlfn.XMATCH(tbl_Clean[[#This Row],[Income Band]],{"$10k-30k","$40k-60k","$70k-90k","$100k+"})</f>
        <v>1</v>
      </c>
      <c r="R294" s="20" t="str">
        <f>IF(tbl_Clean[[#This Row],[Cars]]&lt;=1,"0-1 Cars","2+ Cars")</f>
        <v>2+ Cars</v>
      </c>
      <c r="S294" s="20">
        <f>_xlfn.XMATCH(tbl_Clean[[#This Row],[Commute Distance]],{"0-1 Miles","1-2 Miles","2-5 Miles","5-10 Miles","10+ Miles"})</f>
        <v>4</v>
      </c>
      <c r="T294" s="20">
        <f>_xlfn.XMATCH(tbl_Clean[[#This Row],[Education]],{"Partial High School","High School","Partial College","Bachelors","Graduate Degree"})</f>
        <v>2</v>
      </c>
      <c r="U294" s="20">
        <f>IF(tbl_Clean[[#This Row],[Purchased Bike]]="Yes",1,0)</f>
        <v>1</v>
      </c>
    </row>
    <row r="295" spans="1:21" x14ac:dyDescent="0.25">
      <c r="A295" s="20">
        <v>28319</v>
      </c>
      <c r="B295" s="3" t="s">
        <v>114</v>
      </c>
      <c r="C295" s="3" t="s">
        <v>112</v>
      </c>
      <c r="D295" s="19">
        <v>60000</v>
      </c>
      <c r="E295" s="20">
        <v>1</v>
      </c>
      <c r="F295" s="3" t="s">
        <v>21</v>
      </c>
      <c r="G295" s="3" t="s">
        <v>16</v>
      </c>
      <c r="H295" s="3" t="s">
        <v>20</v>
      </c>
      <c r="I295" s="20">
        <v>1</v>
      </c>
      <c r="J295" s="3" t="s">
        <v>18</v>
      </c>
      <c r="K295" s="3" t="s">
        <v>27</v>
      </c>
      <c r="L295" s="20">
        <v>46</v>
      </c>
      <c r="M295" s="3" t="s">
        <v>17</v>
      </c>
      <c r="N295" s="20" t="str" cm="1">
        <f t="array" ref="N295">_xlfn.IFS(tbl_Clean[[#This Row],[Age]]&lt;=30,"25-30",tbl_Clean[[#This Row],[Age]]&lt;=40,"31-40",tbl_Clean[[#This Row],[Age]]&lt;=50,"41-50",tbl_Clean[[#This Row],[Age]]&lt;=60,"51-60",TRUE,"61+")</f>
        <v>41-50</v>
      </c>
      <c r="O295" s="20">
        <f>_xlfn.XMATCH(tbl_Clean[[#This Row],[Age Band]],{"25-30","31-40","41-50","51-60","61+"})</f>
        <v>3</v>
      </c>
      <c r="P295" s="20" t="str" cm="1">
        <f t="array" ref="P295">_xlfn.IFS(tbl_Clean[[#This Row],[Income]]&lt;=30000,"$10k-30k",tbl_Clean[[#This Row],[Income]]&lt;=60000,"$40k-60k",tbl_Clean[[#This Row],[Income]]&lt;=90000,"$70k-90k",TRUE,"$100k+")</f>
        <v>$40k-60k</v>
      </c>
      <c r="Q295" s="20">
        <f>_xlfn.XMATCH(tbl_Clean[[#This Row],[Income Band]],{"$10k-30k","$40k-60k","$70k-90k","$100k+"})</f>
        <v>2</v>
      </c>
      <c r="R295" s="20" t="str">
        <f>IF(tbl_Clean[[#This Row],[Cars]]&lt;=1,"0-1 Cars","2+ Cars")</f>
        <v>0-1 Cars</v>
      </c>
      <c r="S295" s="20">
        <f>_xlfn.XMATCH(tbl_Clean[[#This Row],[Commute Distance]],{"0-1 Miles","1-2 Miles","2-5 Miles","5-10 Miles","10+ Miles"})</f>
        <v>1</v>
      </c>
      <c r="T295" s="20">
        <f>_xlfn.XMATCH(tbl_Clean[[#This Row],[Education]],{"Partial High School","High School","Partial College","Bachelors","Graduate Degree"})</f>
        <v>3</v>
      </c>
      <c r="U295" s="20">
        <f>IF(tbl_Clean[[#This Row],[Purchased Bike]]="Yes",1,0)</f>
        <v>1</v>
      </c>
    </row>
    <row r="296" spans="1:21" x14ac:dyDescent="0.25">
      <c r="A296" s="20">
        <v>16406</v>
      </c>
      <c r="B296" s="3" t="s">
        <v>111</v>
      </c>
      <c r="C296" s="3" t="s">
        <v>113</v>
      </c>
      <c r="D296" s="19">
        <v>40000</v>
      </c>
      <c r="E296" s="20">
        <v>0</v>
      </c>
      <c r="F296" s="3" t="s">
        <v>15</v>
      </c>
      <c r="G296" s="3" t="s">
        <v>22</v>
      </c>
      <c r="H296" s="3" t="s">
        <v>20</v>
      </c>
      <c r="I296" s="20">
        <v>0</v>
      </c>
      <c r="J296" s="3" t="s">
        <v>18</v>
      </c>
      <c r="K296" s="3" t="s">
        <v>19</v>
      </c>
      <c r="L296" s="20">
        <v>38</v>
      </c>
      <c r="M296" s="3" t="s">
        <v>17</v>
      </c>
      <c r="N296" s="20" t="str" cm="1">
        <f t="array" ref="N296">_xlfn.IFS(tbl_Clean[[#This Row],[Age]]&lt;=30,"25-30",tbl_Clean[[#This Row],[Age]]&lt;=40,"31-40",tbl_Clean[[#This Row],[Age]]&lt;=50,"41-50",tbl_Clean[[#This Row],[Age]]&lt;=60,"51-60",TRUE,"61+")</f>
        <v>31-40</v>
      </c>
      <c r="O296" s="20">
        <f>_xlfn.XMATCH(tbl_Clean[[#This Row],[Age Band]],{"25-30","31-40","41-50","51-60","61+"})</f>
        <v>2</v>
      </c>
      <c r="P296" s="20" t="str" cm="1">
        <f t="array" ref="P296">_xlfn.IFS(tbl_Clean[[#This Row],[Income]]&lt;=30000,"$10k-30k",tbl_Clean[[#This Row],[Income]]&lt;=60000,"$40k-60k",tbl_Clean[[#This Row],[Income]]&lt;=90000,"$70k-90k",TRUE,"$100k+")</f>
        <v>$40k-60k</v>
      </c>
      <c r="Q296" s="20">
        <f>_xlfn.XMATCH(tbl_Clean[[#This Row],[Income Band]],{"$10k-30k","$40k-60k","$70k-90k","$100k+"})</f>
        <v>2</v>
      </c>
      <c r="R296" s="20" t="str">
        <f>IF(tbl_Clean[[#This Row],[Cars]]&lt;=1,"0-1 Cars","2+ Cars")</f>
        <v>0-1 Cars</v>
      </c>
      <c r="S296" s="20">
        <f>_xlfn.XMATCH(tbl_Clean[[#This Row],[Commute Distance]],{"0-1 Miles","1-2 Miles","2-5 Miles","5-10 Miles","10+ Miles"})</f>
        <v>1</v>
      </c>
      <c r="T296" s="20">
        <f>_xlfn.XMATCH(tbl_Clean[[#This Row],[Education]],{"Partial High School","High School","Partial College","Bachelors","Graduate Degree"})</f>
        <v>4</v>
      </c>
      <c r="U296" s="20">
        <f>IF(tbl_Clean[[#This Row],[Purchased Bike]]="Yes",1,0)</f>
        <v>1</v>
      </c>
    </row>
    <row r="297" spans="1:21" x14ac:dyDescent="0.25">
      <c r="A297" s="20">
        <v>20923</v>
      </c>
      <c r="B297" s="3" t="s">
        <v>111</v>
      </c>
      <c r="C297" s="3" t="s">
        <v>112</v>
      </c>
      <c r="D297" s="19">
        <v>40000</v>
      </c>
      <c r="E297" s="20">
        <v>1</v>
      </c>
      <c r="F297" s="3" t="s">
        <v>15</v>
      </c>
      <c r="G297" s="3" t="s">
        <v>16</v>
      </c>
      <c r="H297" s="3" t="s">
        <v>17</v>
      </c>
      <c r="I297" s="20">
        <v>0</v>
      </c>
      <c r="J297" s="3" t="s">
        <v>18</v>
      </c>
      <c r="K297" s="3" t="s">
        <v>19</v>
      </c>
      <c r="L297" s="20">
        <v>42</v>
      </c>
      <c r="M297" s="3" t="s">
        <v>17</v>
      </c>
      <c r="N297" s="20" t="str" cm="1">
        <f t="array" ref="N297">_xlfn.IFS(tbl_Clean[[#This Row],[Age]]&lt;=30,"25-30",tbl_Clean[[#This Row],[Age]]&lt;=40,"31-40",tbl_Clean[[#This Row],[Age]]&lt;=50,"41-50",tbl_Clean[[#This Row],[Age]]&lt;=60,"51-60",TRUE,"61+")</f>
        <v>41-50</v>
      </c>
      <c r="O297" s="20">
        <f>_xlfn.XMATCH(tbl_Clean[[#This Row],[Age Band]],{"25-30","31-40","41-50","51-60","61+"})</f>
        <v>3</v>
      </c>
      <c r="P297" s="20" t="str" cm="1">
        <f t="array" ref="P297">_xlfn.IFS(tbl_Clean[[#This Row],[Income]]&lt;=30000,"$10k-30k",tbl_Clean[[#This Row],[Income]]&lt;=60000,"$40k-60k",tbl_Clean[[#This Row],[Income]]&lt;=90000,"$70k-90k",TRUE,"$100k+")</f>
        <v>$40k-60k</v>
      </c>
      <c r="Q297" s="20">
        <f>_xlfn.XMATCH(tbl_Clean[[#This Row],[Income Band]],{"$10k-30k","$40k-60k","$70k-90k","$100k+"})</f>
        <v>2</v>
      </c>
      <c r="R297" s="20" t="str">
        <f>IF(tbl_Clean[[#This Row],[Cars]]&lt;=1,"0-1 Cars","2+ Cars")</f>
        <v>0-1 Cars</v>
      </c>
      <c r="S297" s="20">
        <f>_xlfn.XMATCH(tbl_Clean[[#This Row],[Commute Distance]],{"0-1 Miles","1-2 Miles","2-5 Miles","5-10 Miles","10+ Miles"})</f>
        <v>1</v>
      </c>
      <c r="T297" s="20">
        <f>_xlfn.XMATCH(tbl_Clean[[#This Row],[Education]],{"Partial High School","High School","Partial College","Bachelors","Graduate Degree"})</f>
        <v>4</v>
      </c>
      <c r="U297" s="20">
        <f>IF(tbl_Clean[[#This Row],[Purchased Bike]]="Yes",1,0)</f>
        <v>1</v>
      </c>
    </row>
    <row r="298" spans="1:21" x14ac:dyDescent="0.25">
      <c r="A298" s="20">
        <v>11378</v>
      </c>
      <c r="B298" s="3" t="s">
        <v>114</v>
      </c>
      <c r="C298" s="3" t="s">
        <v>112</v>
      </c>
      <c r="D298" s="19">
        <v>10000</v>
      </c>
      <c r="E298" s="20">
        <v>1</v>
      </c>
      <c r="F298" s="3" t="s">
        <v>30</v>
      </c>
      <c r="G298" s="3" t="s">
        <v>28</v>
      </c>
      <c r="H298" s="3" t="s">
        <v>20</v>
      </c>
      <c r="I298" s="20">
        <v>1</v>
      </c>
      <c r="J298" s="3" t="s">
        <v>24</v>
      </c>
      <c r="K298" s="3" t="s">
        <v>19</v>
      </c>
      <c r="L298" s="20">
        <v>46</v>
      </c>
      <c r="M298" s="3" t="s">
        <v>17</v>
      </c>
      <c r="N298" s="20" t="str" cm="1">
        <f t="array" ref="N298">_xlfn.IFS(tbl_Clean[[#This Row],[Age]]&lt;=30,"25-30",tbl_Clean[[#This Row],[Age]]&lt;=40,"31-40",tbl_Clean[[#This Row],[Age]]&lt;=50,"41-50",tbl_Clean[[#This Row],[Age]]&lt;=60,"51-60",TRUE,"61+")</f>
        <v>41-50</v>
      </c>
      <c r="O298" s="20">
        <f>_xlfn.XMATCH(tbl_Clean[[#This Row],[Age Band]],{"25-30","31-40","41-50","51-60","61+"})</f>
        <v>3</v>
      </c>
      <c r="P298" s="20" t="str" cm="1">
        <f t="array" ref="P298">_xlfn.IFS(tbl_Clean[[#This Row],[Income]]&lt;=30000,"$10k-30k",tbl_Clean[[#This Row],[Income]]&lt;=60000,"$40k-60k",tbl_Clean[[#This Row],[Income]]&lt;=90000,"$70k-90k",TRUE,"$100k+")</f>
        <v>$10k-30k</v>
      </c>
      <c r="Q298" s="20">
        <f>_xlfn.XMATCH(tbl_Clean[[#This Row],[Income Band]],{"$10k-30k","$40k-60k","$70k-90k","$100k+"})</f>
        <v>1</v>
      </c>
      <c r="R298" s="20" t="str">
        <f>IF(tbl_Clean[[#This Row],[Cars]]&lt;=1,"0-1 Cars","2+ Cars")</f>
        <v>0-1 Cars</v>
      </c>
      <c r="S298" s="20">
        <f>_xlfn.XMATCH(tbl_Clean[[#This Row],[Commute Distance]],{"0-1 Miles","1-2 Miles","2-5 Miles","5-10 Miles","10+ Miles"})</f>
        <v>3</v>
      </c>
      <c r="T298" s="20">
        <f>_xlfn.XMATCH(tbl_Clean[[#This Row],[Education]],{"Partial High School","High School","Partial College","Bachelors","Graduate Degree"})</f>
        <v>2</v>
      </c>
      <c r="U298" s="20">
        <f>IF(tbl_Clean[[#This Row],[Purchased Bike]]="Yes",1,0)</f>
        <v>1</v>
      </c>
    </row>
    <row r="299" spans="1:21" x14ac:dyDescent="0.25">
      <c r="A299" s="20">
        <v>20851</v>
      </c>
      <c r="B299" s="3" t="s">
        <v>114</v>
      </c>
      <c r="C299" s="3" t="s">
        <v>113</v>
      </c>
      <c r="D299" s="19">
        <v>20000</v>
      </c>
      <c r="E299" s="20">
        <v>0</v>
      </c>
      <c r="F299" s="3" t="s">
        <v>21</v>
      </c>
      <c r="G299" s="3" t="s">
        <v>28</v>
      </c>
      <c r="H299" s="3" t="s">
        <v>20</v>
      </c>
      <c r="I299" s="20">
        <v>1</v>
      </c>
      <c r="J299" s="3" t="s">
        <v>24</v>
      </c>
      <c r="K299" s="3" t="s">
        <v>19</v>
      </c>
      <c r="L299" s="20">
        <v>36</v>
      </c>
      <c r="M299" s="3" t="s">
        <v>17</v>
      </c>
      <c r="N299" s="20" t="str" cm="1">
        <f t="array" ref="N299">_xlfn.IFS(tbl_Clean[[#This Row],[Age]]&lt;=30,"25-30",tbl_Clean[[#This Row],[Age]]&lt;=40,"31-40",tbl_Clean[[#This Row],[Age]]&lt;=50,"41-50",tbl_Clean[[#This Row],[Age]]&lt;=60,"51-60",TRUE,"61+")</f>
        <v>31-40</v>
      </c>
      <c r="O299" s="20">
        <f>_xlfn.XMATCH(tbl_Clean[[#This Row],[Age Band]],{"25-30","31-40","41-50","51-60","61+"})</f>
        <v>2</v>
      </c>
      <c r="P299" s="20" t="str" cm="1">
        <f t="array" ref="P299">_xlfn.IFS(tbl_Clean[[#This Row],[Income]]&lt;=30000,"$10k-30k",tbl_Clean[[#This Row],[Income]]&lt;=60000,"$40k-60k",tbl_Clean[[#This Row],[Income]]&lt;=90000,"$70k-90k",TRUE,"$100k+")</f>
        <v>$10k-30k</v>
      </c>
      <c r="Q299" s="20">
        <f>_xlfn.XMATCH(tbl_Clean[[#This Row],[Income Band]],{"$10k-30k","$40k-60k","$70k-90k","$100k+"})</f>
        <v>1</v>
      </c>
      <c r="R299" s="20" t="str">
        <f>IF(tbl_Clean[[#This Row],[Cars]]&lt;=1,"0-1 Cars","2+ Cars")</f>
        <v>0-1 Cars</v>
      </c>
      <c r="S299" s="20">
        <f>_xlfn.XMATCH(tbl_Clean[[#This Row],[Commute Distance]],{"0-1 Miles","1-2 Miles","2-5 Miles","5-10 Miles","10+ Miles"})</f>
        <v>3</v>
      </c>
      <c r="T299" s="20">
        <f>_xlfn.XMATCH(tbl_Clean[[#This Row],[Education]],{"Partial High School","High School","Partial College","Bachelors","Graduate Degree"})</f>
        <v>3</v>
      </c>
      <c r="U299" s="20">
        <f>IF(tbl_Clean[[#This Row],[Purchased Bike]]="Yes",1,0)</f>
        <v>1</v>
      </c>
    </row>
    <row r="300" spans="1:21" x14ac:dyDescent="0.25">
      <c r="A300" s="20">
        <v>21557</v>
      </c>
      <c r="B300" s="3" t="s">
        <v>114</v>
      </c>
      <c r="C300" s="3" t="s">
        <v>112</v>
      </c>
      <c r="D300" s="19">
        <v>110000</v>
      </c>
      <c r="E300" s="20">
        <v>0</v>
      </c>
      <c r="F300" s="3" t="s">
        <v>21</v>
      </c>
      <c r="G300" s="3" t="s">
        <v>31</v>
      </c>
      <c r="H300" s="3" t="s">
        <v>17</v>
      </c>
      <c r="I300" s="20">
        <v>3</v>
      </c>
      <c r="J300" s="3" t="s">
        <v>33</v>
      </c>
      <c r="K300" s="3" t="s">
        <v>27</v>
      </c>
      <c r="L300" s="20">
        <v>32</v>
      </c>
      <c r="M300" s="3" t="s">
        <v>17</v>
      </c>
      <c r="N300" s="20" t="str" cm="1">
        <f t="array" ref="N300">_xlfn.IFS(tbl_Clean[[#This Row],[Age]]&lt;=30,"25-30",tbl_Clean[[#This Row],[Age]]&lt;=40,"31-40",tbl_Clean[[#This Row],[Age]]&lt;=50,"41-50",tbl_Clean[[#This Row],[Age]]&lt;=60,"51-60",TRUE,"61+")</f>
        <v>31-40</v>
      </c>
      <c r="O300" s="20">
        <f>_xlfn.XMATCH(tbl_Clean[[#This Row],[Age Band]],{"25-30","31-40","41-50","51-60","61+"})</f>
        <v>2</v>
      </c>
      <c r="P300" s="20" t="str" cm="1">
        <f t="array" ref="P300">_xlfn.IFS(tbl_Clean[[#This Row],[Income]]&lt;=30000,"$10k-30k",tbl_Clean[[#This Row],[Income]]&lt;=60000,"$40k-60k",tbl_Clean[[#This Row],[Income]]&lt;=90000,"$70k-90k",TRUE,"$100k+")</f>
        <v>$100k+</v>
      </c>
      <c r="Q300" s="20">
        <f>_xlfn.XMATCH(tbl_Clean[[#This Row],[Income Band]],{"$10k-30k","$40k-60k","$70k-90k","$100k+"})</f>
        <v>4</v>
      </c>
      <c r="R300" s="20" t="str">
        <f>IF(tbl_Clean[[#This Row],[Cars]]&lt;=1,"0-1 Cars","2+ Cars")</f>
        <v>2+ Cars</v>
      </c>
      <c r="S300" s="20">
        <f>_xlfn.XMATCH(tbl_Clean[[#This Row],[Commute Distance]],{"0-1 Miles","1-2 Miles","2-5 Miles","5-10 Miles","10+ Miles"})</f>
        <v>5</v>
      </c>
      <c r="T300" s="20">
        <f>_xlfn.XMATCH(tbl_Clean[[#This Row],[Education]],{"Partial High School","High School","Partial College","Bachelors","Graduate Degree"})</f>
        <v>3</v>
      </c>
      <c r="U300" s="20">
        <f>IF(tbl_Clean[[#This Row],[Purchased Bike]]="Yes",1,0)</f>
        <v>1</v>
      </c>
    </row>
    <row r="301" spans="1:21" x14ac:dyDescent="0.25">
      <c r="A301" s="20">
        <v>26663</v>
      </c>
      <c r="B301" s="3" t="s">
        <v>114</v>
      </c>
      <c r="C301" s="3" t="s">
        <v>112</v>
      </c>
      <c r="D301" s="19">
        <v>60000</v>
      </c>
      <c r="E301" s="20">
        <v>2</v>
      </c>
      <c r="F301" s="3" t="s">
        <v>15</v>
      </c>
      <c r="G301" s="3" t="s">
        <v>23</v>
      </c>
      <c r="H301" s="3" t="s">
        <v>20</v>
      </c>
      <c r="I301" s="20">
        <v>1</v>
      </c>
      <c r="J301" s="3" t="s">
        <v>18</v>
      </c>
      <c r="K301" s="3" t="s">
        <v>27</v>
      </c>
      <c r="L301" s="20">
        <v>39</v>
      </c>
      <c r="M301" s="3" t="s">
        <v>17</v>
      </c>
      <c r="N301" s="20" t="str" cm="1">
        <f t="array" ref="N301">_xlfn.IFS(tbl_Clean[[#This Row],[Age]]&lt;=30,"25-30",tbl_Clean[[#This Row],[Age]]&lt;=40,"31-40",tbl_Clean[[#This Row],[Age]]&lt;=50,"41-50",tbl_Clean[[#This Row],[Age]]&lt;=60,"51-60",TRUE,"61+")</f>
        <v>31-40</v>
      </c>
      <c r="O301" s="20">
        <f>_xlfn.XMATCH(tbl_Clean[[#This Row],[Age Band]],{"25-30","31-40","41-50","51-60","61+"})</f>
        <v>2</v>
      </c>
      <c r="P301" s="20" t="str" cm="1">
        <f t="array" ref="P301">_xlfn.IFS(tbl_Clean[[#This Row],[Income]]&lt;=30000,"$10k-30k",tbl_Clean[[#This Row],[Income]]&lt;=60000,"$40k-60k",tbl_Clean[[#This Row],[Income]]&lt;=90000,"$70k-90k",TRUE,"$100k+")</f>
        <v>$40k-60k</v>
      </c>
      <c r="Q301" s="20">
        <f>_xlfn.XMATCH(tbl_Clean[[#This Row],[Income Band]],{"$10k-30k","$40k-60k","$70k-90k","$100k+"})</f>
        <v>2</v>
      </c>
      <c r="R301" s="20" t="str">
        <f>IF(tbl_Clean[[#This Row],[Cars]]&lt;=1,"0-1 Cars","2+ Cars")</f>
        <v>0-1 Cars</v>
      </c>
      <c r="S301" s="20">
        <f>_xlfn.XMATCH(tbl_Clean[[#This Row],[Commute Distance]],{"0-1 Miles","1-2 Miles","2-5 Miles","5-10 Miles","10+ Miles"})</f>
        <v>1</v>
      </c>
      <c r="T301" s="20">
        <f>_xlfn.XMATCH(tbl_Clean[[#This Row],[Education]],{"Partial High School","High School","Partial College","Bachelors","Graduate Degree"})</f>
        <v>4</v>
      </c>
      <c r="U301" s="20">
        <f>IF(tbl_Clean[[#This Row],[Purchased Bike]]="Yes",1,0)</f>
        <v>1</v>
      </c>
    </row>
    <row r="302" spans="1:21" x14ac:dyDescent="0.25">
      <c r="A302" s="20">
        <v>11896</v>
      </c>
      <c r="B302" s="3" t="s">
        <v>111</v>
      </c>
      <c r="C302" s="3" t="s">
        <v>113</v>
      </c>
      <c r="D302" s="19">
        <v>100000</v>
      </c>
      <c r="E302" s="20">
        <v>1</v>
      </c>
      <c r="F302" s="3" t="s">
        <v>34</v>
      </c>
      <c r="G302" s="3" t="s">
        <v>31</v>
      </c>
      <c r="H302" s="3" t="s">
        <v>17</v>
      </c>
      <c r="I302" s="20">
        <v>0</v>
      </c>
      <c r="J302" s="3" t="s">
        <v>24</v>
      </c>
      <c r="K302" s="3" t="s">
        <v>27</v>
      </c>
      <c r="L302" s="20">
        <v>36</v>
      </c>
      <c r="M302" s="3" t="s">
        <v>17</v>
      </c>
      <c r="N302" s="20" t="str" cm="1">
        <f t="array" ref="N302">_xlfn.IFS(tbl_Clean[[#This Row],[Age]]&lt;=30,"25-30",tbl_Clean[[#This Row],[Age]]&lt;=40,"31-40",tbl_Clean[[#This Row],[Age]]&lt;=50,"41-50",tbl_Clean[[#This Row],[Age]]&lt;=60,"51-60",TRUE,"61+")</f>
        <v>31-40</v>
      </c>
      <c r="O302" s="20">
        <f>_xlfn.XMATCH(tbl_Clean[[#This Row],[Age Band]],{"25-30","31-40","41-50","51-60","61+"})</f>
        <v>2</v>
      </c>
      <c r="P302" s="20" t="str" cm="1">
        <f t="array" ref="P302">_xlfn.IFS(tbl_Clean[[#This Row],[Income]]&lt;=30000,"$10k-30k",tbl_Clean[[#This Row],[Income]]&lt;=60000,"$40k-60k",tbl_Clean[[#This Row],[Income]]&lt;=90000,"$70k-90k",TRUE,"$100k+")</f>
        <v>$100k+</v>
      </c>
      <c r="Q302" s="20">
        <f>_xlfn.XMATCH(tbl_Clean[[#This Row],[Income Band]],{"$10k-30k","$40k-60k","$70k-90k","$100k+"})</f>
        <v>4</v>
      </c>
      <c r="R302" s="20" t="str">
        <f>IF(tbl_Clean[[#This Row],[Cars]]&lt;=1,"0-1 Cars","2+ Cars")</f>
        <v>0-1 Cars</v>
      </c>
      <c r="S302" s="20">
        <f>_xlfn.XMATCH(tbl_Clean[[#This Row],[Commute Distance]],{"0-1 Miles","1-2 Miles","2-5 Miles","5-10 Miles","10+ Miles"})</f>
        <v>3</v>
      </c>
      <c r="T302" s="20">
        <f>_xlfn.XMATCH(tbl_Clean[[#This Row],[Education]],{"Partial High School","High School","Partial College","Bachelors","Graduate Degree"})</f>
        <v>5</v>
      </c>
      <c r="U302" s="20">
        <f>IF(tbl_Clean[[#This Row],[Purchased Bike]]="Yes",1,0)</f>
        <v>1</v>
      </c>
    </row>
    <row r="303" spans="1:21" x14ac:dyDescent="0.25">
      <c r="A303" s="20">
        <v>14189</v>
      </c>
      <c r="B303" s="3" t="s">
        <v>111</v>
      </c>
      <c r="C303" s="3" t="s">
        <v>112</v>
      </c>
      <c r="D303" s="19">
        <v>90000</v>
      </c>
      <c r="E303" s="20">
        <v>4</v>
      </c>
      <c r="F303" s="3" t="s">
        <v>30</v>
      </c>
      <c r="G303" s="3" t="s">
        <v>23</v>
      </c>
      <c r="H303" s="3" t="s">
        <v>20</v>
      </c>
      <c r="I303" s="20">
        <v>2</v>
      </c>
      <c r="J303" s="3" t="s">
        <v>24</v>
      </c>
      <c r="K303" s="3" t="s">
        <v>19</v>
      </c>
      <c r="L303" s="20">
        <v>54</v>
      </c>
      <c r="M303" s="3" t="s">
        <v>17</v>
      </c>
      <c r="N303" s="20" t="str" cm="1">
        <f t="array" ref="N303">_xlfn.IFS(tbl_Clean[[#This Row],[Age]]&lt;=30,"25-30",tbl_Clean[[#This Row],[Age]]&lt;=40,"31-40",tbl_Clean[[#This Row],[Age]]&lt;=50,"41-50",tbl_Clean[[#This Row],[Age]]&lt;=60,"51-60",TRUE,"61+")</f>
        <v>51-60</v>
      </c>
      <c r="O303" s="20">
        <f>_xlfn.XMATCH(tbl_Clean[[#This Row],[Age Band]],{"25-30","31-40","41-50","51-60","61+"})</f>
        <v>4</v>
      </c>
      <c r="P303" s="20" t="str" cm="1">
        <f t="array" ref="P303">_xlfn.IFS(tbl_Clean[[#This Row],[Income]]&lt;=30000,"$10k-30k",tbl_Clean[[#This Row],[Income]]&lt;=60000,"$40k-60k",tbl_Clean[[#This Row],[Income]]&lt;=90000,"$70k-90k",TRUE,"$100k+")</f>
        <v>$70k-90k</v>
      </c>
      <c r="Q303" s="20">
        <f>_xlfn.XMATCH(tbl_Clean[[#This Row],[Income Band]],{"$10k-30k","$40k-60k","$70k-90k","$100k+"})</f>
        <v>3</v>
      </c>
      <c r="R303" s="20" t="str">
        <f>IF(tbl_Clean[[#This Row],[Cars]]&lt;=1,"0-1 Cars","2+ Cars")</f>
        <v>2+ Cars</v>
      </c>
      <c r="S303" s="20">
        <f>_xlfn.XMATCH(tbl_Clean[[#This Row],[Commute Distance]],{"0-1 Miles","1-2 Miles","2-5 Miles","5-10 Miles","10+ Miles"})</f>
        <v>3</v>
      </c>
      <c r="T303" s="20">
        <f>_xlfn.XMATCH(tbl_Clean[[#This Row],[Education]],{"Partial High School","High School","Partial College","Bachelors","Graduate Degree"})</f>
        <v>2</v>
      </c>
      <c r="U303" s="20">
        <f>IF(tbl_Clean[[#This Row],[Purchased Bike]]="Yes",1,0)</f>
        <v>1</v>
      </c>
    </row>
    <row r="304" spans="1:21" x14ac:dyDescent="0.25">
      <c r="A304" s="20">
        <v>13136</v>
      </c>
      <c r="B304" s="3" t="s">
        <v>111</v>
      </c>
      <c r="C304" s="3" t="s">
        <v>112</v>
      </c>
      <c r="D304" s="19">
        <v>30000</v>
      </c>
      <c r="E304" s="20">
        <v>2</v>
      </c>
      <c r="F304" s="3" t="s">
        <v>21</v>
      </c>
      <c r="G304" s="3" t="s">
        <v>22</v>
      </c>
      <c r="H304" s="3" t="s">
        <v>20</v>
      </c>
      <c r="I304" s="20">
        <v>2</v>
      </c>
      <c r="J304" s="3" t="s">
        <v>26</v>
      </c>
      <c r="K304" s="3" t="s">
        <v>27</v>
      </c>
      <c r="L304" s="20">
        <v>69</v>
      </c>
      <c r="M304" s="3" t="s">
        <v>20</v>
      </c>
      <c r="N304" s="20" t="str" cm="1">
        <f t="array" ref="N304">_xlfn.IFS(tbl_Clean[[#This Row],[Age]]&lt;=30,"25-30",tbl_Clean[[#This Row],[Age]]&lt;=40,"31-40",tbl_Clean[[#This Row],[Age]]&lt;=50,"41-50",tbl_Clean[[#This Row],[Age]]&lt;=60,"51-60",TRUE,"61+")</f>
        <v>61+</v>
      </c>
      <c r="O304" s="20">
        <f>_xlfn.XMATCH(tbl_Clean[[#This Row],[Age Band]],{"25-30","31-40","41-50","51-60","61+"})</f>
        <v>5</v>
      </c>
      <c r="P304" s="20" t="str" cm="1">
        <f t="array" ref="P304">_xlfn.IFS(tbl_Clean[[#This Row],[Income]]&lt;=30000,"$10k-30k",tbl_Clean[[#This Row],[Income]]&lt;=60000,"$40k-60k",tbl_Clean[[#This Row],[Income]]&lt;=90000,"$70k-90k",TRUE,"$100k+")</f>
        <v>$10k-30k</v>
      </c>
      <c r="Q304" s="20">
        <f>_xlfn.XMATCH(tbl_Clean[[#This Row],[Income Band]],{"$10k-30k","$40k-60k","$70k-90k","$100k+"})</f>
        <v>1</v>
      </c>
      <c r="R304" s="20" t="str">
        <f>IF(tbl_Clean[[#This Row],[Cars]]&lt;=1,"0-1 Cars","2+ Cars")</f>
        <v>2+ Cars</v>
      </c>
      <c r="S304" s="20">
        <f>_xlfn.XMATCH(tbl_Clean[[#This Row],[Commute Distance]],{"0-1 Miles","1-2 Miles","2-5 Miles","5-10 Miles","10+ Miles"})</f>
        <v>4</v>
      </c>
      <c r="T304" s="20">
        <f>_xlfn.XMATCH(tbl_Clean[[#This Row],[Education]],{"Partial High School","High School","Partial College","Bachelors","Graduate Degree"})</f>
        <v>3</v>
      </c>
      <c r="U304" s="20">
        <f>IF(tbl_Clean[[#This Row],[Purchased Bike]]="Yes",1,0)</f>
        <v>0</v>
      </c>
    </row>
    <row r="305" spans="1:21" x14ac:dyDescent="0.25">
      <c r="A305" s="20">
        <v>25906</v>
      </c>
      <c r="B305" s="3" t="s">
        <v>114</v>
      </c>
      <c r="C305" s="3" t="s">
        <v>112</v>
      </c>
      <c r="D305" s="19">
        <v>10000</v>
      </c>
      <c r="E305" s="20">
        <v>5</v>
      </c>
      <c r="F305" s="3" t="s">
        <v>30</v>
      </c>
      <c r="G305" s="3" t="s">
        <v>16</v>
      </c>
      <c r="H305" s="3" t="s">
        <v>20</v>
      </c>
      <c r="I305" s="20">
        <v>2</v>
      </c>
      <c r="J305" s="3" t="s">
        <v>29</v>
      </c>
      <c r="K305" s="3" t="s">
        <v>27</v>
      </c>
      <c r="L305" s="20">
        <v>62</v>
      </c>
      <c r="M305" s="3" t="s">
        <v>20</v>
      </c>
      <c r="N305" s="20" t="str" cm="1">
        <f t="array" ref="N305">_xlfn.IFS(tbl_Clean[[#This Row],[Age]]&lt;=30,"25-30",tbl_Clean[[#This Row],[Age]]&lt;=40,"31-40",tbl_Clean[[#This Row],[Age]]&lt;=50,"41-50",tbl_Clean[[#This Row],[Age]]&lt;=60,"51-60",TRUE,"61+")</f>
        <v>61+</v>
      </c>
      <c r="O305" s="20">
        <f>_xlfn.XMATCH(tbl_Clean[[#This Row],[Age Band]],{"25-30","31-40","41-50","51-60","61+"})</f>
        <v>5</v>
      </c>
      <c r="P305" s="20" t="str" cm="1">
        <f t="array" ref="P305">_xlfn.IFS(tbl_Clean[[#This Row],[Income]]&lt;=30000,"$10k-30k",tbl_Clean[[#This Row],[Income]]&lt;=60000,"$40k-60k",tbl_Clean[[#This Row],[Income]]&lt;=90000,"$70k-90k",TRUE,"$100k+")</f>
        <v>$10k-30k</v>
      </c>
      <c r="Q305" s="20">
        <f>_xlfn.XMATCH(tbl_Clean[[#This Row],[Income Band]],{"$10k-30k","$40k-60k","$70k-90k","$100k+"})</f>
        <v>1</v>
      </c>
      <c r="R305" s="20" t="str">
        <f>IF(tbl_Clean[[#This Row],[Cars]]&lt;=1,"0-1 Cars","2+ Cars")</f>
        <v>2+ Cars</v>
      </c>
      <c r="S305" s="20">
        <f>_xlfn.XMATCH(tbl_Clean[[#This Row],[Commute Distance]],{"0-1 Miles","1-2 Miles","2-5 Miles","5-10 Miles","10+ Miles"})</f>
        <v>2</v>
      </c>
      <c r="T305" s="20">
        <f>_xlfn.XMATCH(tbl_Clean[[#This Row],[Education]],{"Partial High School","High School","Partial College","Bachelors","Graduate Degree"})</f>
        <v>2</v>
      </c>
      <c r="U305" s="20">
        <f>IF(tbl_Clean[[#This Row],[Purchased Bike]]="Yes",1,0)</f>
        <v>0</v>
      </c>
    </row>
    <row r="306" spans="1:21" x14ac:dyDescent="0.25">
      <c r="A306" s="20">
        <v>17926</v>
      </c>
      <c r="B306" s="3" t="s">
        <v>114</v>
      </c>
      <c r="C306" s="3" t="s">
        <v>112</v>
      </c>
      <c r="D306" s="19">
        <v>40000</v>
      </c>
      <c r="E306" s="20">
        <v>0</v>
      </c>
      <c r="F306" s="3" t="s">
        <v>15</v>
      </c>
      <c r="G306" s="3" t="s">
        <v>22</v>
      </c>
      <c r="H306" s="3" t="s">
        <v>20</v>
      </c>
      <c r="I306" s="20">
        <v>0</v>
      </c>
      <c r="J306" s="3" t="s">
        <v>18</v>
      </c>
      <c r="K306" s="3" t="s">
        <v>27</v>
      </c>
      <c r="L306" s="20">
        <v>28</v>
      </c>
      <c r="M306" s="3" t="s">
        <v>17</v>
      </c>
      <c r="N306" s="20" t="str" cm="1">
        <f t="array" ref="N306">_xlfn.IFS(tbl_Clean[[#This Row],[Age]]&lt;=30,"25-30",tbl_Clean[[#This Row],[Age]]&lt;=40,"31-40",tbl_Clean[[#This Row],[Age]]&lt;=50,"41-50",tbl_Clean[[#This Row],[Age]]&lt;=60,"51-60",TRUE,"61+")</f>
        <v>25-30</v>
      </c>
      <c r="O306" s="20">
        <f>_xlfn.XMATCH(tbl_Clean[[#This Row],[Age Band]],{"25-30","31-40","41-50","51-60","61+"})</f>
        <v>1</v>
      </c>
      <c r="P306" s="20" t="str" cm="1">
        <f t="array" ref="P306">_xlfn.IFS(tbl_Clean[[#This Row],[Income]]&lt;=30000,"$10k-30k",tbl_Clean[[#This Row],[Income]]&lt;=60000,"$40k-60k",tbl_Clean[[#This Row],[Income]]&lt;=90000,"$70k-90k",TRUE,"$100k+")</f>
        <v>$40k-60k</v>
      </c>
      <c r="Q306" s="20">
        <f>_xlfn.XMATCH(tbl_Clean[[#This Row],[Income Band]],{"$10k-30k","$40k-60k","$70k-90k","$100k+"})</f>
        <v>2</v>
      </c>
      <c r="R306" s="20" t="str">
        <f>IF(tbl_Clean[[#This Row],[Cars]]&lt;=1,"0-1 Cars","2+ Cars")</f>
        <v>0-1 Cars</v>
      </c>
      <c r="S306" s="20">
        <f>_xlfn.XMATCH(tbl_Clean[[#This Row],[Commute Distance]],{"0-1 Miles","1-2 Miles","2-5 Miles","5-10 Miles","10+ Miles"})</f>
        <v>1</v>
      </c>
      <c r="T306" s="20">
        <f>_xlfn.XMATCH(tbl_Clean[[#This Row],[Education]],{"Partial High School","High School","Partial College","Bachelors","Graduate Degree"})</f>
        <v>4</v>
      </c>
      <c r="U306" s="20">
        <f>IF(tbl_Clean[[#This Row],[Purchased Bike]]="Yes",1,0)</f>
        <v>1</v>
      </c>
    </row>
    <row r="307" spans="1:21" x14ac:dyDescent="0.25">
      <c r="A307" s="20">
        <v>26928</v>
      </c>
      <c r="B307" s="3" t="s">
        <v>114</v>
      </c>
      <c r="C307" s="3" t="s">
        <v>113</v>
      </c>
      <c r="D307" s="19">
        <v>30000</v>
      </c>
      <c r="E307" s="20">
        <v>1</v>
      </c>
      <c r="F307" s="3" t="s">
        <v>15</v>
      </c>
      <c r="G307" s="3" t="s">
        <v>22</v>
      </c>
      <c r="H307" s="3" t="s">
        <v>17</v>
      </c>
      <c r="I307" s="20">
        <v>0</v>
      </c>
      <c r="J307" s="3" t="s">
        <v>18</v>
      </c>
      <c r="K307" s="3" t="s">
        <v>19</v>
      </c>
      <c r="L307" s="20">
        <v>62</v>
      </c>
      <c r="M307" s="3" t="s">
        <v>17</v>
      </c>
      <c r="N307" s="20" t="str" cm="1">
        <f t="array" ref="N307">_xlfn.IFS(tbl_Clean[[#This Row],[Age]]&lt;=30,"25-30",tbl_Clean[[#This Row],[Age]]&lt;=40,"31-40",tbl_Clean[[#This Row],[Age]]&lt;=50,"41-50",tbl_Clean[[#This Row],[Age]]&lt;=60,"51-60",TRUE,"61+")</f>
        <v>61+</v>
      </c>
      <c r="O307" s="20">
        <f>_xlfn.XMATCH(tbl_Clean[[#This Row],[Age Band]],{"25-30","31-40","41-50","51-60","61+"})</f>
        <v>5</v>
      </c>
      <c r="P307" s="20" t="str" cm="1">
        <f t="array" ref="P307">_xlfn.IFS(tbl_Clean[[#This Row],[Income]]&lt;=30000,"$10k-30k",tbl_Clean[[#This Row],[Income]]&lt;=60000,"$40k-60k",tbl_Clean[[#This Row],[Income]]&lt;=90000,"$70k-90k",TRUE,"$100k+")</f>
        <v>$10k-30k</v>
      </c>
      <c r="Q307" s="20">
        <f>_xlfn.XMATCH(tbl_Clean[[#This Row],[Income Band]],{"$10k-30k","$40k-60k","$70k-90k","$100k+"})</f>
        <v>1</v>
      </c>
      <c r="R307" s="20" t="str">
        <f>IF(tbl_Clean[[#This Row],[Cars]]&lt;=1,"0-1 Cars","2+ Cars")</f>
        <v>0-1 Cars</v>
      </c>
      <c r="S307" s="20">
        <f>_xlfn.XMATCH(tbl_Clean[[#This Row],[Commute Distance]],{"0-1 Miles","1-2 Miles","2-5 Miles","5-10 Miles","10+ Miles"})</f>
        <v>1</v>
      </c>
      <c r="T307" s="20">
        <f>_xlfn.XMATCH(tbl_Clean[[#This Row],[Education]],{"Partial High School","High School","Partial College","Bachelors","Graduate Degree"})</f>
        <v>4</v>
      </c>
      <c r="U307" s="20">
        <f>IF(tbl_Clean[[#This Row],[Purchased Bike]]="Yes",1,0)</f>
        <v>1</v>
      </c>
    </row>
    <row r="308" spans="1:21" x14ac:dyDescent="0.25">
      <c r="A308" s="20">
        <v>20897</v>
      </c>
      <c r="B308" s="3" t="s">
        <v>111</v>
      </c>
      <c r="C308" s="3" t="s">
        <v>112</v>
      </c>
      <c r="D308" s="19">
        <v>30000</v>
      </c>
      <c r="E308" s="20">
        <v>1</v>
      </c>
      <c r="F308" s="3" t="s">
        <v>15</v>
      </c>
      <c r="G308" s="3" t="s">
        <v>16</v>
      </c>
      <c r="H308" s="3" t="s">
        <v>17</v>
      </c>
      <c r="I308" s="20">
        <v>2</v>
      </c>
      <c r="J308" s="3" t="s">
        <v>18</v>
      </c>
      <c r="K308" s="3" t="s">
        <v>19</v>
      </c>
      <c r="L308" s="20">
        <v>40</v>
      </c>
      <c r="M308" s="3" t="s">
        <v>20</v>
      </c>
      <c r="N308" s="20" t="str" cm="1">
        <f t="array" ref="N308">_xlfn.IFS(tbl_Clean[[#This Row],[Age]]&lt;=30,"25-30",tbl_Clean[[#This Row],[Age]]&lt;=40,"31-40",tbl_Clean[[#This Row],[Age]]&lt;=50,"41-50",tbl_Clean[[#This Row],[Age]]&lt;=60,"51-60",TRUE,"61+")</f>
        <v>31-40</v>
      </c>
      <c r="O308" s="20">
        <f>_xlfn.XMATCH(tbl_Clean[[#This Row],[Age Band]],{"25-30","31-40","41-50","51-60","61+"})</f>
        <v>2</v>
      </c>
      <c r="P308" s="20" t="str" cm="1">
        <f t="array" ref="P308">_xlfn.IFS(tbl_Clean[[#This Row],[Income]]&lt;=30000,"$10k-30k",tbl_Clean[[#This Row],[Income]]&lt;=60000,"$40k-60k",tbl_Clean[[#This Row],[Income]]&lt;=90000,"$70k-90k",TRUE,"$100k+")</f>
        <v>$10k-30k</v>
      </c>
      <c r="Q308" s="20">
        <f>_xlfn.XMATCH(tbl_Clean[[#This Row],[Income Band]],{"$10k-30k","$40k-60k","$70k-90k","$100k+"})</f>
        <v>1</v>
      </c>
      <c r="R308" s="20" t="str">
        <f>IF(tbl_Clean[[#This Row],[Cars]]&lt;=1,"0-1 Cars","2+ Cars")</f>
        <v>2+ Cars</v>
      </c>
      <c r="S308" s="20">
        <f>_xlfn.XMATCH(tbl_Clean[[#This Row],[Commute Distance]],{"0-1 Miles","1-2 Miles","2-5 Miles","5-10 Miles","10+ Miles"})</f>
        <v>1</v>
      </c>
      <c r="T308" s="20">
        <f>_xlfn.XMATCH(tbl_Clean[[#This Row],[Education]],{"Partial High School","High School","Partial College","Bachelors","Graduate Degree"})</f>
        <v>4</v>
      </c>
      <c r="U308" s="20">
        <f>IF(tbl_Clean[[#This Row],[Purchased Bike]]="Yes",1,0)</f>
        <v>0</v>
      </c>
    </row>
    <row r="309" spans="1:21" x14ac:dyDescent="0.25">
      <c r="A309" s="20">
        <v>28207</v>
      </c>
      <c r="B309" s="3" t="s">
        <v>111</v>
      </c>
      <c r="C309" s="3" t="s">
        <v>113</v>
      </c>
      <c r="D309" s="19">
        <v>80000</v>
      </c>
      <c r="E309" s="20">
        <v>4</v>
      </c>
      <c r="F309" s="3" t="s">
        <v>34</v>
      </c>
      <c r="G309" s="3" t="s">
        <v>31</v>
      </c>
      <c r="H309" s="3" t="s">
        <v>17</v>
      </c>
      <c r="I309" s="20">
        <v>1</v>
      </c>
      <c r="J309" s="3" t="s">
        <v>18</v>
      </c>
      <c r="K309" s="3" t="s">
        <v>27</v>
      </c>
      <c r="L309" s="20">
        <v>36</v>
      </c>
      <c r="M309" s="3" t="s">
        <v>17</v>
      </c>
      <c r="N309" s="20" t="str" cm="1">
        <f t="array" ref="N309">_xlfn.IFS(tbl_Clean[[#This Row],[Age]]&lt;=30,"25-30",tbl_Clean[[#This Row],[Age]]&lt;=40,"31-40",tbl_Clean[[#This Row],[Age]]&lt;=50,"41-50",tbl_Clean[[#This Row],[Age]]&lt;=60,"51-60",TRUE,"61+")</f>
        <v>31-40</v>
      </c>
      <c r="O309" s="20">
        <f>_xlfn.XMATCH(tbl_Clean[[#This Row],[Age Band]],{"25-30","31-40","41-50","51-60","61+"})</f>
        <v>2</v>
      </c>
      <c r="P309" s="20" t="str" cm="1">
        <f t="array" ref="P309">_xlfn.IFS(tbl_Clean[[#This Row],[Income]]&lt;=30000,"$10k-30k",tbl_Clean[[#This Row],[Income]]&lt;=60000,"$40k-60k",tbl_Clean[[#This Row],[Income]]&lt;=90000,"$70k-90k",TRUE,"$100k+")</f>
        <v>$70k-90k</v>
      </c>
      <c r="Q309" s="20">
        <f>_xlfn.XMATCH(tbl_Clean[[#This Row],[Income Band]],{"$10k-30k","$40k-60k","$70k-90k","$100k+"})</f>
        <v>3</v>
      </c>
      <c r="R309" s="20" t="str">
        <f>IF(tbl_Clean[[#This Row],[Cars]]&lt;=1,"0-1 Cars","2+ Cars")</f>
        <v>0-1 Cars</v>
      </c>
      <c r="S309" s="20">
        <f>_xlfn.XMATCH(tbl_Clean[[#This Row],[Commute Distance]],{"0-1 Miles","1-2 Miles","2-5 Miles","5-10 Miles","10+ Miles"})</f>
        <v>1</v>
      </c>
      <c r="T309" s="20">
        <f>_xlfn.XMATCH(tbl_Clean[[#This Row],[Education]],{"Partial High School","High School","Partial College","Bachelors","Graduate Degree"})</f>
        <v>5</v>
      </c>
      <c r="U309" s="20">
        <f>IF(tbl_Clean[[#This Row],[Purchased Bike]]="Yes",1,0)</f>
        <v>1</v>
      </c>
    </row>
    <row r="310" spans="1:21" x14ac:dyDescent="0.25">
      <c r="A310" s="20">
        <v>25923</v>
      </c>
      <c r="B310" s="3" t="s">
        <v>114</v>
      </c>
      <c r="C310" s="3" t="s">
        <v>113</v>
      </c>
      <c r="D310" s="19">
        <v>10000</v>
      </c>
      <c r="E310" s="20">
        <v>2</v>
      </c>
      <c r="F310" s="3" t="s">
        <v>32</v>
      </c>
      <c r="G310" s="3" t="s">
        <v>22</v>
      </c>
      <c r="H310" s="3" t="s">
        <v>17</v>
      </c>
      <c r="I310" s="20">
        <v>2</v>
      </c>
      <c r="J310" s="3" t="s">
        <v>26</v>
      </c>
      <c r="K310" s="3" t="s">
        <v>27</v>
      </c>
      <c r="L310" s="20">
        <v>58</v>
      </c>
      <c r="M310" s="3" t="s">
        <v>20</v>
      </c>
      <c r="N310" s="20" t="str" cm="1">
        <f t="array" ref="N310">_xlfn.IFS(tbl_Clean[[#This Row],[Age]]&lt;=30,"25-30",tbl_Clean[[#This Row],[Age]]&lt;=40,"31-40",tbl_Clean[[#This Row],[Age]]&lt;=50,"41-50",tbl_Clean[[#This Row],[Age]]&lt;=60,"51-60",TRUE,"61+")</f>
        <v>51-60</v>
      </c>
      <c r="O310" s="20">
        <f>_xlfn.XMATCH(tbl_Clean[[#This Row],[Age Band]],{"25-30","31-40","41-50","51-60","61+"})</f>
        <v>4</v>
      </c>
      <c r="P310" s="20" t="str" cm="1">
        <f t="array" ref="P310">_xlfn.IFS(tbl_Clean[[#This Row],[Income]]&lt;=30000,"$10k-30k",tbl_Clean[[#This Row],[Income]]&lt;=60000,"$40k-60k",tbl_Clean[[#This Row],[Income]]&lt;=90000,"$70k-90k",TRUE,"$100k+")</f>
        <v>$10k-30k</v>
      </c>
      <c r="Q310" s="20">
        <f>_xlfn.XMATCH(tbl_Clean[[#This Row],[Income Band]],{"$10k-30k","$40k-60k","$70k-90k","$100k+"})</f>
        <v>1</v>
      </c>
      <c r="R310" s="20" t="str">
        <f>IF(tbl_Clean[[#This Row],[Cars]]&lt;=1,"0-1 Cars","2+ Cars")</f>
        <v>2+ Cars</v>
      </c>
      <c r="S310" s="20">
        <f>_xlfn.XMATCH(tbl_Clean[[#This Row],[Commute Distance]],{"0-1 Miles","1-2 Miles","2-5 Miles","5-10 Miles","10+ Miles"})</f>
        <v>4</v>
      </c>
      <c r="T310" s="20">
        <f>_xlfn.XMATCH(tbl_Clean[[#This Row],[Education]],{"Partial High School","High School","Partial College","Bachelors","Graduate Degree"})</f>
        <v>1</v>
      </c>
      <c r="U310" s="20">
        <f>IF(tbl_Clean[[#This Row],[Purchased Bike]]="Yes",1,0)</f>
        <v>0</v>
      </c>
    </row>
    <row r="311" spans="1:21" x14ac:dyDescent="0.25">
      <c r="A311" s="20">
        <v>11000</v>
      </c>
      <c r="B311" s="3" t="s">
        <v>111</v>
      </c>
      <c r="C311" s="3" t="s">
        <v>113</v>
      </c>
      <c r="D311" s="19">
        <v>90000</v>
      </c>
      <c r="E311" s="20">
        <v>2</v>
      </c>
      <c r="F311" s="3" t="s">
        <v>15</v>
      </c>
      <c r="G311" s="3" t="s">
        <v>23</v>
      </c>
      <c r="H311" s="3" t="s">
        <v>17</v>
      </c>
      <c r="I311" s="20">
        <v>0</v>
      </c>
      <c r="J311" s="3" t="s">
        <v>29</v>
      </c>
      <c r="K311" s="3" t="s">
        <v>27</v>
      </c>
      <c r="L311" s="20">
        <v>40</v>
      </c>
      <c r="M311" s="3" t="s">
        <v>17</v>
      </c>
      <c r="N311" s="20" t="str" cm="1">
        <f t="array" ref="N311">_xlfn.IFS(tbl_Clean[[#This Row],[Age]]&lt;=30,"25-30",tbl_Clean[[#This Row],[Age]]&lt;=40,"31-40",tbl_Clean[[#This Row],[Age]]&lt;=50,"41-50",tbl_Clean[[#This Row],[Age]]&lt;=60,"51-60",TRUE,"61+")</f>
        <v>31-40</v>
      </c>
      <c r="O311" s="20">
        <f>_xlfn.XMATCH(tbl_Clean[[#This Row],[Age Band]],{"25-30","31-40","41-50","51-60","61+"})</f>
        <v>2</v>
      </c>
      <c r="P311" s="20" t="str" cm="1">
        <f t="array" ref="P311">_xlfn.IFS(tbl_Clean[[#This Row],[Income]]&lt;=30000,"$10k-30k",tbl_Clean[[#This Row],[Income]]&lt;=60000,"$40k-60k",tbl_Clean[[#This Row],[Income]]&lt;=90000,"$70k-90k",TRUE,"$100k+")</f>
        <v>$70k-90k</v>
      </c>
      <c r="Q311" s="20">
        <f>_xlfn.XMATCH(tbl_Clean[[#This Row],[Income Band]],{"$10k-30k","$40k-60k","$70k-90k","$100k+"})</f>
        <v>3</v>
      </c>
      <c r="R311" s="20" t="str">
        <f>IF(tbl_Clean[[#This Row],[Cars]]&lt;=1,"0-1 Cars","2+ Cars")</f>
        <v>0-1 Cars</v>
      </c>
      <c r="S311" s="20">
        <f>_xlfn.XMATCH(tbl_Clean[[#This Row],[Commute Distance]],{"0-1 Miles","1-2 Miles","2-5 Miles","5-10 Miles","10+ Miles"})</f>
        <v>2</v>
      </c>
      <c r="T311" s="20">
        <f>_xlfn.XMATCH(tbl_Clean[[#This Row],[Education]],{"Partial High School","High School","Partial College","Bachelors","Graduate Degree"})</f>
        <v>4</v>
      </c>
      <c r="U311" s="20">
        <f>IF(tbl_Clean[[#This Row],[Purchased Bike]]="Yes",1,0)</f>
        <v>1</v>
      </c>
    </row>
    <row r="312" spans="1:21" x14ac:dyDescent="0.25">
      <c r="A312" s="20">
        <v>20974</v>
      </c>
      <c r="B312" s="3" t="s">
        <v>111</v>
      </c>
      <c r="C312" s="3" t="s">
        <v>113</v>
      </c>
      <c r="D312" s="19">
        <v>10000</v>
      </c>
      <c r="E312" s="20">
        <v>2</v>
      </c>
      <c r="F312" s="3" t="s">
        <v>15</v>
      </c>
      <c r="G312" s="3" t="s">
        <v>22</v>
      </c>
      <c r="H312" s="3" t="s">
        <v>17</v>
      </c>
      <c r="I312" s="20">
        <v>1</v>
      </c>
      <c r="J312" s="3" t="s">
        <v>18</v>
      </c>
      <c r="K312" s="3" t="s">
        <v>19</v>
      </c>
      <c r="L312" s="20">
        <v>66</v>
      </c>
      <c r="M312" s="3" t="s">
        <v>20</v>
      </c>
      <c r="N312" s="20" t="str" cm="1">
        <f t="array" ref="N312">_xlfn.IFS(tbl_Clean[[#This Row],[Age]]&lt;=30,"25-30",tbl_Clean[[#This Row],[Age]]&lt;=40,"31-40",tbl_Clean[[#This Row],[Age]]&lt;=50,"41-50",tbl_Clean[[#This Row],[Age]]&lt;=60,"51-60",TRUE,"61+")</f>
        <v>61+</v>
      </c>
      <c r="O312" s="20">
        <f>_xlfn.XMATCH(tbl_Clean[[#This Row],[Age Band]],{"25-30","31-40","41-50","51-60","61+"})</f>
        <v>5</v>
      </c>
      <c r="P312" s="20" t="str" cm="1">
        <f t="array" ref="P312">_xlfn.IFS(tbl_Clean[[#This Row],[Income]]&lt;=30000,"$10k-30k",tbl_Clean[[#This Row],[Income]]&lt;=60000,"$40k-60k",tbl_Clean[[#This Row],[Income]]&lt;=90000,"$70k-90k",TRUE,"$100k+")</f>
        <v>$10k-30k</v>
      </c>
      <c r="Q312" s="20">
        <f>_xlfn.XMATCH(tbl_Clean[[#This Row],[Income Band]],{"$10k-30k","$40k-60k","$70k-90k","$100k+"})</f>
        <v>1</v>
      </c>
      <c r="R312" s="20" t="str">
        <f>IF(tbl_Clean[[#This Row],[Cars]]&lt;=1,"0-1 Cars","2+ Cars")</f>
        <v>0-1 Cars</v>
      </c>
      <c r="S312" s="20">
        <f>_xlfn.XMATCH(tbl_Clean[[#This Row],[Commute Distance]],{"0-1 Miles","1-2 Miles","2-5 Miles","5-10 Miles","10+ Miles"})</f>
        <v>1</v>
      </c>
      <c r="T312" s="20">
        <f>_xlfn.XMATCH(tbl_Clean[[#This Row],[Education]],{"Partial High School","High School","Partial College","Bachelors","Graduate Degree"})</f>
        <v>4</v>
      </c>
      <c r="U312" s="20">
        <f>IF(tbl_Clean[[#This Row],[Purchased Bike]]="Yes",1,0)</f>
        <v>0</v>
      </c>
    </row>
    <row r="313" spans="1:21" x14ac:dyDescent="0.25">
      <c r="A313" s="20">
        <v>28758</v>
      </c>
      <c r="B313" s="3" t="s">
        <v>111</v>
      </c>
      <c r="C313" s="3" t="s">
        <v>113</v>
      </c>
      <c r="D313" s="19">
        <v>40000</v>
      </c>
      <c r="E313" s="20">
        <v>2</v>
      </c>
      <c r="F313" s="3" t="s">
        <v>21</v>
      </c>
      <c r="G313" s="3" t="s">
        <v>22</v>
      </c>
      <c r="H313" s="3" t="s">
        <v>17</v>
      </c>
      <c r="I313" s="20">
        <v>1</v>
      </c>
      <c r="J313" s="3" t="s">
        <v>29</v>
      </c>
      <c r="K313" s="3" t="s">
        <v>19</v>
      </c>
      <c r="L313" s="20">
        <v>35</v>
      </c>
      <c r="M313" s="3" t="s">
        <v>17</v>
      </c>
      <c r="N313" s="20" t="str" cm="1">
        <f t="array" ref="N313">_xlfn.IFS(tbl_Clean[[#This Row],[Age]]&lt;=30,"25-30",tbl_Clean[[#This Row],[Age]]&lt;=40,"31-40",tbl_Clean[[#This Row],[Age]]&lt;=50,"41-50",tbl_Clean[[#This Row],[Age]]&lt;=60,"51-60",TRUE,"61+")</f>
        <v>31-40</v>
      </c>
      <c r="O313" s="20">
        <f>_xlfn.XMATCH(tbl_Clean[[#This Row],[Age Band]],{"25-30","31-40","41-50","51-60","61+"})</f>
        <v>2</v>
      </c>
      <c r="P313" s="20" t="str" cm="1">
        <f t="array" ref="P313">_xlfn.IFS(tbl_Clean[[#This Row],[Income]]&lt;=30000,"$10k-30k",tbl_Clean[[#This Row],[Income]]&lt;=60000,"$40k-60k",tbl_Clean[[#This Row],[Income]]&lt;=90000,"$70k-90k",TRUE,"$100k+")</f>
        <v>$40k-60k</v>
      </c>
      <c r="Q313" s="20">
        <f>_xlfn.XMATCH(tbl_Clean[[#This Row],[Income Band]],{"$10k-30k","$40k-60k","$70k-90k","$100k+"})</f>
        <v>2</v>
      </c>
      <c r="R313" s="20" t="str">
        <f>IF(tbl_Clean[[#This Row],[Cars]]&lt;=1,"0-1 Cars","2+ Cars")</f>
        <v>0-1 Cars</v>
      </c>
      <c r="S313" s="20">
        <f>_xlfn.XMATCH(tbl_Clean[[#This Row],[Commute Distance]],{"0-1 Miles","1-2 Miles","2-5 Miles","5-10 Miles","10+ Miles"})</f>
        <v>2</v>
      </c>
      <c r="T313" s="20">
        <f>_xlfn.XMATCH(tbl_Clean[[#This Row],[Education]],{"Partial High School","High School","Partial College","Bachelors","Graduate Degree"})</f>
        <v>3</v>
      </c>
      <c r="U313" s="20">
        <f>IF(tbl_Clean[[#This Row],[Purchased Bike]]="Yes",1,0)</f>
        <v>1</v>
      </c>
    </row>
    <row r="314" spans="1:21" x14ac:dyDescent="0.25">
      <c r="A314" s="20">
        <v>11381</v>
      </c>
      <c r="B314" s="3" t="s">
        <v>111</v>
      </c>
      <c r="C314" s="3" t="s">
        <v>112</v>
      </c>
      <c r="D314" s="19">
        <v>20000</v>
      </c>
      <c r="E314" s="20">
        <v>2</v>
      </c>
      <c r="F314" s="3" t="s">
        <v>21</v>
      </c>
      <c r="G314" s="3" t="s">
        <v>28</v>
      </c>
      <c r="H314" s="3" t="s">
        <v>17</v>
      </c>
      <c r="I314" s="20">
        <v>1</v>
      </c>
      <c r="J314" s="3" t="s">
        <v>24</v>
      </c>
      <c r="K314" s="3" t="s">
        <v>19</v>
      </c>
      <c r="L314" s="20">
        <v>47</v>
      </c>
      <c r="M314" s="3" t="s">
        <v>17</v>
      </c>
      <c r="N314" s="20" t="str" cm="1">
        <f t="array" ref="N314">_xlfn.IFS(tbl_Clean[[#This Row],[Age]]&lt;=30,"25-30",tbl_Clean[[#This Row],[Age]]&lt;=40,"31-40",tbl_Clean[[#This Row],[Age]]&lt;=50,"41-50",tbl_Clean[[#This Row],[Age]]&lt;=60,"51-60",TRUE,"61+")</f>
        <v>41-50</v>
      </c>
      <c r="O314" s="20">
        <f>_xlfn.XMATCH(tbl_Clean[[#This Row],[Age Band]],{"25-30","31-40","41-50","51-60","61+"})</f>
        <v>3</v>
      </c>
      <c r="P314" s="20" t="str" cm="1">
        <f t="array" ref="P314">_xlfn.IFS(tbl_Clean[[#This Row],[Income]]&lt;=30000,"$10k-30k",tbl_Clean[[#This Row],[Income]]&lt;=60000,"$40k-60k",tbl_Clean[[#This Row],[Income]]&lt;=90000,"$70k-90k",TRUE,"$100k+")</f>
        <v>$10k-30k</v>
      </c>
      <c r="Q314" s="20">
        <f>_xlfn.XMATCH(tbl_Clean[[#This Row],[Income Band]],{"$10k-30k","$40k-60k","$70k-90k","$100k+"})</f>
        <v>1</v>
      </c>
      <c r="R314" s="20" t="str">
        <f>IF(tbl_Clean[[#This Row],[Cars]]&lt;=1,"0-1 Cars","2+ Cars")</f>
        <v>0-1 Cars</v>
      </c>
      <c r="S314" s="20">
        <f>_xlfn.XMATCH(tbl_Clean[[#This Row],[Commute Distance]],{"0-1 Miles","1-2 Miles","2-5 Miles","5-10 Miles","10+ Miles"})</f>
        <v>3</v>
      </c>
      <c r="T314" s="20">
        <f>_xlfn.XMATCH(tbl_Clean[[#This Row],[Education]],{"Partial High School","High School","Partial College","Bachelors","Graduate Degree"})</f>
        <v>3</v>
      </c>
      <c r="U314" s="20">
        <f>IF(tbl_Clean[[#This Row],[Purchased Bike]]="Yes",1,0)</f>
        <v>1</v>
      </c>
    </row>
    <row r="315" spans="1:21" x14ac:dyDescent="0.25">
      <c r="A315" s="20">
        <v>17522</v>
      </c>
      <c r="B315" s="3" t="s">
        <v>111</v>
      </c>
      <c r="C315" s="3" t="s">
        <v>113</v>
      </c>
      <c r="D315" s="19">
        <v>120000</v>
      </c>
      <c r="E315" s="20">
        <v>4</v>
      </c>
      <c r="F315" s="3" t="s">
        <v>15</v>
      </c>
      <c r="G315" s="3" t="s">
        <v>31</v>
      </c>
      <c r="H315" s="3" t="s">
        <v>17</v>
      </c>
      <c r="I315" s="20">
        <v>1</v>
      </c>
      <c r="J315" s="3" t="s">
        <v>24</v>
      </c>
      <c r="K315" s="3" t="s">
        <v>27</v>
      </c>
      <c r="L315" s="20">
        <v>47</v>
      </c>
      <c r="M315" s="3" t="s">
        <v>20</v>
      </c>
      <c r="N315" s="20" t="str" cm="1">
        <f t="array" ref="N315">_xlfn.IFS(tbl_Clean[[#This Row],[Age]]&lt;=30,"25-30",tbl_Clean[[#This Row],[Age]]&lt;=40,"31-40",tbl_Clean[[#This Row],[Age]]&lt;=50,"41-50",tbl_Clean[[#This Row],[Age]]&lt;=60,"51-60",TRUE,"61+")</f>
        <v>41-50</v>
      </c>
      <c r="O315" s="20">
        <f>_xlfn.XMATCH(tbl_Clean[[#This Row],[Age Band]],{"25-30","31-40","41-50","51-60","61+"})</f>
        <v>3</v>
      </c>
      <c r="P315" s="20" t="str" cm="1">
        <f t="array" ref="P315">_xlfn.IFS(tbl_Clean[[#This Row],[Income]]&lt;=30000,"$10k-30k",tbl_Clean[[#This Row],[Income]]&lt;=60000,"$40k-60k",tbl_Clean[[#This Row],[Income]]&lt;=90000,"$70k-90k",TRUE,"$100k+")</f>
        <v>$100k+</v>
      </c>
      <c r="Q315" s="20">
        <f>_xlfn.XMATCH(tbl_Clean[[#This Row],[Income Band]],{"$10k-30k","$40k-60k","$70k-90k","$100k+"})</f>
        <v>4</v>
      </c>
      <c r="R315" s="20" t="str">
        <f>IF(tbl_Clean[[#This Row],[Cars]]&lt;=1,"0-1 Cars","2+ Cars")</f>
        <v>0-1 Cars</v>
      </c>
      <c r="S315" s="20">
        <f>_xlfn.XMATCH(tbl_Clean[[#This Row],[Commute Distance]],{"0-1 Miles","1-2 Miles","2-5 Miles","5-10 Miles","10+ Miles"})</f>
        <v>3</v>
      </c>
      <c r="T315" s="20">
        <f>_xlfn.XMATCH(tbl_Clean[[#This Row],[Education]],{"Partial High School","High School","Partial College","Bachelors","Graduate Degree"})</f>
        <v>4</v>
      </c>
      <c r="U315" s="20">
        <f>IF(tbl_Clean[[#This Row],[Purchased Bike]]="Yes",1,0)</f>
        <v>0</v>
      </c>
    </row>
    <row r="316" spans="1:21" x14ac:dyDescent="0.25">
      <c r="A316" s="20">
        <v>21207</v>
      </c>
      <c r="B316" s="3" t="s">
        <v>111</v>
      </c>
      <c r="C316" s="3" t="s">
        <v>113</v>
      </c>
      <c r="D316" s="19">
        <v>60000</v>
      </c>
      <c r="E316" s="20">
        <v>1</v>
      </c>
      <c r="F316" s="3" t="s">
        <v>21</v>
      </c>
      <c r="G316" s="3" t="s">
        <v>16</v>
      </c>
      <c r="H316" s="3" t="s">
        <v>17</v>
      </c>
      <c r="I316" s="20">
        <v>1</v>
      </c>
      <c r="J316" s="3" t="s">
        <v>26</v>
      </c>
      <c r="K316" s="3" t="s">
        <v>27</v>
      </c>
      <c r="L316" s="20">
        <v>46</v>
      </c>
      <c r="M316" s="3" t="s">
        <v>20</v>
      </c>
      <c r="N316" s="20" t="str" cm="1">
        <f t="array" ref="N316">_xlfn.IFS(tbl_Clean[[#This Row],[Age]]&lt;=30,"25-30",tbl_Clean[[#This Row],[Age]]&lt;=40,"31-40",tbl_Clean[[#This Row],[Age]]&lt;=50,"41-50",tbl_Clean[[#This Row],[Age]]&lt;=60,"51-60",TRUE,"61+")</f>
        <v>41-50</v>
      </c>
      <c r="O316" s="20">
        <f>_xlfn.XMATCH(tbl_Clean[[#This Row],[Age Band]],{"25-30","31-40","41-50","51-60","61+"})</f>
        <v>3</v>
      </c>
      <c r="P316" s="20" t="str" cm="1">
        <f t="array" ref="P316">_xlfn.IFS(tbl_Clean[[#This Row],[Income]]&lt;=30000,"$10k-30k",tbl_Clean[[#This Row],[Income]]&lt;=60000,"$40k-60k",tbl_Clean[[#This Row],[Income]]&lt;=90000,"$70k-90k",TRUE,"$100k+")</f>
        <v>$40k-60k</v>
      </c>
      <c r="Q316" s="20">
        <f>_xlfn.XMATCH(tbl_Clean[[#This Row],[Income Band]],{"$10k-30k","$40k-60k","$70k-90k","$100k+"})</f>
        <v>2</v>
      </c>
      <c r="R316" s="20" t="str">
        <f>IF(tbl_Clean[[#This Row],[Cars]]&lt;=1,"0-1 Cars","2+ Cars")</f>
        <v>0-1 Cars</v>
      </c>
      <c r="S316" s="20">
        <f>_xlfn.XMATCH(tbl_Clean[[#This Row],[Commute Distance]],{"0-1 Miles","1-2 Miles","2-5 Miles","5-10 Miles","10+ Miles"})</f>
        <v>4</v>
      </c>
      <c r="T316" s="20">
        <f>_xlfn.XMATCH(tbl_Clean[[#This Row],[Education]],{"Partial High School","High School","Partial College","Bachelors","Graduate Degree"})</f>
        <v>3</v>
      </c>
      <c r="U316" s="20">
        <f>IF(tbl_Clean[[#This Row],[Purchased Bike]]="Yes",1,0)</f>
        <v>0</v>
      </c>
    </row>
    <row r="317" spans="1:21" x14ac:dyDescent="0.25">
      <c r="A317" s="20">
        <v>28102</v>
      </c>
      <c r="B317" s="3" t="s">
        <v>111</v>
      </c>
      <c r="C317" s="3" t="s">
        <v>113</v>
      </c>
      <c r="D317" s="19">
        <v>20000</v>
      </c>
      <c r="E317" s="20">
        <v>4</v>
      </c>
      <c r="F317" s="3" t="s">
        <v>30</v>
      </c>
      <c r="G317" s="3" t="s">
        <v>16</v>
      </c>
      <c r="H317" s="3" t="s">
        <v>17</v>
      </c>
      <c r="I317" s="20">
        <v>2</v>
      </c>
      <c r="J317" s="3" t="s">
        <v>26</v>
      </c>
      <c r="K317" s="3" t="s">
        <v>27</v>
      </c>
      <c r="L317" s="20">
        <v>58</v>
      </c>
      <c r="M317" s="3" t="s">
        <v>17</v>
      </c>
      <c r="N317" s="20" t="str" cm="1">
        <f t="array" ref="N317">_xlfn.IFS(tbl_Clean[[#This Row],[Age]]&lt;=30,"25-30",tbl_Clean[[#This Row],[Age]]&lt;=40,"31-40",tbl_Clean[[#This Row],[Age]]&lt;=50,"41-50",tbl_Clean[[#This Row],[Age]]&lt;=60,"51-60",TRUE,"61+")</f>
        <v>51-60</v>
      </c>
      <c r="O317" s="20">
        <f>_xlfn.XMATCH(tbl_Clean[[#This Row],[Age Band]],{"25-30","31-40","41-50","51-60","61+"})</f>
        <v>4</v>
      </c>
      <c r="P317" s="20" t="str" cm="1">
        <f t="array" ref="P317">_xlfn.IFS(tbl_Clean[[#This Row],[Income]]&lt;=30000,"$10k-30k",tbl_Clean[[#This Row],[Income]]&lt;=60000,"$40k-60k",tbl_Clean[[#This Row],[Income]]&lt;=90000,"$70k-90k",TRUE,"$100k+")</f>
        <v>$10k-30k</v>
      </c>
      <c r="Q317" s="20">
        <f>_xlfn.XMATCH(tbl_Clean[[#This Row],[Income Band]],{"$10k-30k","$40k-60k","$70k-90k","$100k+"})</f>
        <v>1</v>
      </c>
      <c r="R317" s="20" t="str">
        <f>IF(tbl_Clean[[#This Row],[Cars]]&lt;=1,"0-1 Cars","2+ Cars")</f>
        <v>2+ Cars</v>
      </c>
      <c r="S317" s="20">
        <f>_xlfn.XMATCH(tbl_Clean[[#This Row],[Commute Distance]],{"0-1 Miles","1-2 Miles","2-5 Miles","5-10 Miles","10+ Miles"})</f>
        <v>4</v>
      </c>
      <c r="T317" s="20">
        <f>_xlfn.XMATCH(tbl_Clean[[#This Row],[Education]],{"Partial High School","High School","Partial College","Bachelors","Graduate Degree"})</f>
        <v>2</v>
      </c>
      <c r="U317" s="20">
        <f>IF(tbl_Clean[[#This Row],[Purchased Bike]]="Yes",1,0)</f>
        <v>1</v>
      </c>
    </row>
    <row r="318" spans="1:21" x14ac:dyDescent="0.25">
      <c r="A318" s="20">
        <v>23105</v>
      </c>
      <c r="B318" s="3" t="s">
        <v>114</v>
      </c>
      <c r="C318" s="3" t="s">
        <v>113</v>
      </c>
      <c r="D318" s="19">
        <v>40000</v>
      </c>
      <c r="E318" s="20">
        <v>3</v>
      </c>
      <c r="F318" s="3" t="s">
        <v>32</v>
      </c>
      <c r="G318" s="3" t="s">
        <v>22</v>
      </c>
      <c r="H318" s="3" t="s">
        <v>20</v>
      </c>
      <c r="I318" s="20">
        <v>2</v>
      </c>
      <c r="J318" s="3" t="s">
        <v>26</v>
      </c>
      <c r="K318" s="3" t="s">
        <v>27</v>
      </c>
      <c r="L318" s="20">
        <v>52</v>
      </c>
      <c r="M318" s="3" t="s">
        <v>17</v>
      </c>
      <c r="N318" s="20" t="str" cm="1">
        <f t="array" ref="N318">_xlfn.IFS(tbl_Clean[[#This Row],[Age]]&lt;=30,"25-30",tbl_Clean[[#This Row],[Age]]&lt;=40,"31-40",tbl_Clean[[#This Row],[Age]]&lt;=50,"41-50",tbl_Clean[[#This Row],[Age]]&lt;=60,"51-60",TRUE,"61+")</f>
        <v>51-60</v>
      </c>
      <c r="O318" s="20">
        <f>_xlfn.XMATCH(tbl_Clean[[#This Row],[Age Band]],{"25-30","31-40","41-50","51-60","61+"})</f>
        <v>4</v>
      </c>
      <c r="P318" s="20" t="str" cm="1">
        <f t="array" ref="P318">_xlfn.IFS(tbl_Clean[[#This Row],[Income]]&lt;=30000,"$10k-30k",tbl_Clean[[#This Row],[Income]]&lt;=60000,"$40k-60k",tbl_Clean[[#This Row],[Income]]&lt;=90000,"$70k-90k",TRUE,"$100k+")</f>
        <v>$40k-60k</v>
      </c>
      <c r="Q318" s="20">
        <f>_xlfn.XMATCH(tbl_Clean[[#This Row],[Income Band]],{"$10k-30k","$40k-60k","$70k-90k","$100k+"})</f>
        <v>2</v>
      </c>
      <c r="R318" s="20" t="str">
        <f>IF(tbl_Clean[[#This Row],[Cars]]&lt;=1,"0-1 Cars","2+ Cars")</f>
        <v>2+ Cars</v>
      </c>
      <c r="S318" s="20">
        <f>_xlfn.XMATCH(tbl_Clean[[#This Row],[Commute Distance]],{"0-1 Miles","1-2 Miles","2-5 Miles","5-10 Miles","10+ Miles"})</f>
        <v>4</v>
      </c>
      <c r="T318" s="20">
        <f>_xlfn.XMATCH(tbl_Clean[[#This Row],[Education]],{"Partial High School","High School","Partial College","Bachelors","Graduate Degree"})</f>
        <v>1</v>
      </c>
      <c r="U318" s="20">
        <f>IF(tbl_Clean[[#This Row],[Purchased Bike]]="Yes",1,0)</f>
        <v>1</v>
      </c>
    </row>
    <row r="319" spans="1:21" x14ac:dyDescent="0.25">
      <c r="A319" s="20">
        <v>18740</v>
      </c>
      <c r="B319" s="3" t="s">
        <v>111</v>
      </c>
      <c r="C319" s="3" t="s">
        <v>113</v>
      </c>
      <c r="D319" s="19">
        <v>80000</v>
      </c>
      <c r="E319" s="20">
        <v>5</v>
      </c>
      <c r="F319" s="3" t="s">
        <v>15</v>
      </c>
      <c r="G319" s="3" t="s">
        <v>23</v>
      </c>
      <c r="H319" s="3" t="s">
        <v>20</v>
      </c>
      <c r="I319" s="20">
        <v>1</v>
      </c>
      <c r="J319" s="3" t="s">
        <v>18</v>
      </c>
      <c r="K319" s="3" t="s">
        <v>27</v>
      </c>
      <c r="L319" s="20">
        <v>47</v>
      </c>
      <c r="M319" s="3" t="s">
        <v>17</v>
      </c>
      <c r="N319" s="20" t="str" cm="1">
        <f t="array" ref="N319">_xlfn.IFS(tbl_Clean[[#This Row],[Age]]&lt;=30,"25-30",tbl_Clean[[#This Row],[Age]]&lt;=40,"31-40",tbl_Clean[[#This Row],[Age]]&lt;=50,"41-50",tbl_Clean[[#This Row],[Age]]&lt;=60,"51-60",TRUE,"61+")</f>
        <v>41-50</v>
      </c>
      <c r="O319" s="20">
        <f>_xlfn.XMATCH(tbl_Clean[[#This Row],[Age Band]],{"25-30","31-40","41-50","51-60","61+"})</f>
        <v>3</v>
      </c>
      <c r="P319" s="20" t="str" cm="1">
        <f t="array" ref="P319">_xlfn.IFS(tbl_Clean[[#This Row],[Income]]&lt;=30000,"$10k-30k",tbl_Clean[[#This Row],[Income]]&lt;=60000,"$40k-60k",tbl_Clean[[#This Row],[Income]]&lt;=90000,"$70k-90k",TRUE,"$100k+")</f>
        <v>$70k-90k</v>
      </c>
      <c r="Q319" s="20">
        <f>_xlfn.XMATCH(tbl_Clean[[#This Row],[Income Band]],{"$10k-30k","$40k-60k","$70k-90k","$100k+"})</f>
        <v>3</v>
      </c>
      <c r="R319" s="20" t="str">
        <f>IF(tbl_Clean[[#This Row],[Cars]]&lt;=1,"0-1 Cars","2+ Cars")</f>
        <v>0-1 Cars</v>
      </c>
      <c r="S319" s="20">
        <f>_xlfn.XMATCH(tbl_Clean[[#This Row],[Commute Distance]],{"0-1 Miles","1-2 Miles","2-5 Miles","5-10 Miles","10+ Miles"})</f>
        <v>1</v>
      </c>
      <c r="T319" s="20">
        <f>_xlfn.XMATCH(tbl_Clean[[#This Row],[Education]],{"Partial High School","High School","Partial College","Bachelors","Graduate Degree"})</f>
        <v>4</v>
      </c>
      <c r="U319" s="20">
        <f>IF(tbl_Clean[[#This Row],[Purchased Bike]]="Yes",1,0)</f>
        <v>1</v>
      </c>
    </row>
    <row r="320" spans="1:21" x14ac:dyDescent="0.25">
      <c r="A320" s="20">
        <v>21213</v>
      </c>
      <c r="B320" s="3" t="s">
        <v>114</v>
      </c>
      <c r="C320" s="3" t="s">
        <v>113</v>
      </c>
      <c r="D320" s="19">
        <v>70000</v>
      </c>
      <c r="E320" s="20">
        <v>0</v>
      </c>
      <c r="F320" s="3" t="s">
        <v>15</v>
      </c>
      <c r="G320" s="3" t="s">
        <v>23</v>
      </c>
      <c r="H320" s="3" t="s">
        <v>20</v>
      </c>
      <c r="I320" s="20">
        <v>1</v>
      </c>
      <c r="J320" s="3" t="s">
        <v>26</v>
      </c>
      <c r="K320" s="3" t="s">
        <v>27</v>
      </c>
      <c r="L320" s="20">
        <v>41</v>
      </c>
      <c r="M320" s="3" t="s">
        <v>20</v>
      </c>
      <c r="N320" s="20" t="str" cm="1">
        <f t="array" ref="N320">_xlfn.IFS(tbl_Clean[[#This Row],[Age]]&lt;=30,"25-30",tbl_Clean[[#This Row],[Age]]&lt;=40,"31-40",tbl_Clean[[#This Row],[Age]]&lt;=50,"41-50",tbl_Clean[[#This Row],[Age]]&lt;=60,"51-60",TRUE,"61+")</f>
        <v>41-50</v>
      </c>
      <c r="O320" s="20">
        <f>_xlfn.XMATCH(tbl_Clean[[#This Row],[Age Band]],{"25-30","31-40","41-50","51-60","61+"})</f>
        <v>3</v>
      </c>
      <c r="P320" s="20" t="str" cm="1">
        <f t="array" ref="P320">_xlfn.IFS(tbl_Clean[[#This Row],[Income]]&lt;=30000,"$10k-30k",tbl_Clean[[#This Row],[Income]]&lt;=60000,"$40k-60k",tbl_Clean[[#This Row],[Income]]&lt;=90000,"$70k-90k",TRUE,"$100k+")</f>
        <v>$70k-90k</v>
      </c>
      <c r="Q320" s="20">
        <f>_xlfn.XMATCH(tbl_Clean[[#This Row],[Income Band]],{"$10k-30k","$40k-60k","$70k-90k","$100k+"})</f>
        <v>3</v>
      </c>
      <c r="R320" s="20" t="str">
        <f>IF(tbl_Clean[[#This Row],[Cars]]&lt;=1,"0-1 Cars","2+ Cars")</f>
        <v>0-1 Cars</v>
      </c>
      <c r="S320" s="20">
        <f>_xlfn.XMATCH(tbl_Clean[[#This Row],[Commute Distance]],{"0-1 Miles","1-2 Miles","2-5 Miles","5-10 Miles","10+ Miles"})</f>
        <v>4</v>
      </c>
      <c r="T320" s="20">
        <f>_xlfn.XMATCH(tbl_Clean[[#This Row],[Education]],{"Partial High School","High School","Partial College","Bachelors","Graduate Degree"})</f>
        <v>4</v>
      </c>
      <c r="U320" s="20">
        <f>IF(tbl_Clean[[#This Row],[Purchased Bike]]="Yes",1,0)</f>
        <v>0</v>
      </c>
    </row>
    <row r="321" spans="1:21" x14ac:dyDescent="0.25">
      <c r="A321" s="20">
        <v>17352</v>
      </c>
      <c r="B321" s="3" t="s">
        <v>111</v>
      </c>
      <c r="C321" s="3" t="s">
        <v>113</v>
      </c>
      <c r="D321" s="19">
        <v>50000</v>
      </c>
      <c r="E321" s="20">
        <v>2</v>
      </c>
      <c r="F321" s="3" t="s">
        <v>34</v>
      </c>
      <c r="G321" s="3" t="s">
        <v>31</v>
      </c>
      <c r="H321" s="3" t="s">
        <v>17</v>
      </c>
      <c r="I321" s="20">
        <v>1</v>
      </c>
      <c r="J321" s="3" t="s">
        <v>26</v>
      </c>
      <c r="K321" s="3" t="s">
        <v>27</v>
      </c>
      <c r="L321" s="20">
        <v>64</v>
      </c>
      <c r="M321" s="3" t="s">
        <v>17</v>
      </c>
      <c r="N321" s="20" t="str" cm="1">
        <f t="array" ref="N321">_xlfn.IFS(tbl_Clean[[#This Row],[Age]]&lt;=30,"25-30",tbl_Clean[[#This Row],[Age]]&lt;=40,"31-40",tbl_Clean[[#This Row],[Age]]&lt;=50,"41-50",tbl_Clean[[#This Row],[Age]]&lt;=60,"51-60",TRUE,"61+")</f>
        <v>61+</v>
      </c>
      <c r="O321" s="20">
        <f>_xlfn.XMATCH(tbl_Clean[[#This Row],[Age Band]],{"25-30","31-40","41-50","51-60","61+"})</f>
        <v>5</v>
      </c>
      <c r="P321" s="20" t="str" cm="1">
        <f t="array" ref="P321">_xlfn.IFS(tbl_Clean[[#This Row],[Income]]&lt;=30000,"$10k-30k",tbl_Clean[[#This Row],[Income]]&lt;=60000,"$40k-60k",tbl_Clean[[#This Row],[Income]]&lt;=90000,"$70k-90k",TRUE,"$100k+")</f>
        <v>$40k-60k</v>
      </c>
      <c r="Q321" s="20">
        <f>_xlfn.XMATCH(tbl_Clean[[#This Row],[Income Band]],{"$10k-30k","$40k-60k","$70k-90k","$100k+"})</f>
        <v>2</v>
      </c>
      <c r="R321" s="20" t="str">
        <f>IF(tbl_Clean[[#This Row],[Cars]]&lt;=1,"0-1 Cars","2+ Cars")</f>
        <v>0-1 Cars</v>
      </c>
      <c r="S321" s="20">
        <f>_xlfn.XMATCH(tbl_Clean[[#This Row],[Commute Distance]],{"0-1 Miles","1-2 Miles","2-5 Miles","5-10 Miles","10+ Miles"})</f>
        <v>4</v>
      </c>
      <c r="T321" s="20">
        <f>_xlfn.XMATCH(tbl_Clean[[#This Row],[Education]],{"Partial High School","High School","Partial College","Bachelors","Graduate Degree"})</f>
        <v>5</v>
      </c>
      <c r="U321" s="20">
        <f>IF(tbl_Clean[[#This Row],[Purchased Bike]]="Yes",1,0)</f>
        <v>1</v>
      </c>
    </row>
    <row r="322" spans="1:21" x14ac:dyDescent="0.25">
      <c r="A322" s="20">
        <v>14154</v>
      </c>
      <c r="B322" s="3" t="s">
        <v>111</v>
      </c>
      <c r="C322" s="3" t="s">
        <v>113</v>
      </c>
      <c r="D322" s="19">
        <v>30000</v>
      </c>
      <c r="E322" s="20">
        <v>0</v>
      </c>
      <c r="F322" s="3" t="s">
        <v>15</v>
      </c>
      <c r="G322" s="3" t="s">
        <v>22</v>
      </c>
      <c r="H322" s="3" t="s">
        <v>17</v>
      </c>
      <c r="I322" s="20">
        <v>0</v>
      </c>
      <c r="J322" s="3" t="s">
        <v>18</v>
      </c>
      <c r="K322" s="3" t="s">
        <v>19</v>
      </c>
      <c r="L322" s="20">
        <v>35</v>
      </c>
      <c r="M322" s="3" t="s">
        <v>17</v>
      </c>
      <c r="N322" s="20" t="str" cm="1">
        <f t="array" ref="N322">_xlfn.IFS(tbl_Clean[[#This Row],[Age]]&lt;=30,"25-30",tbl_Clean[[#This Row],[Age]]&lt;=40,"31-40",tbl_Clean[[#This Row],[Age]]&lt;=50,"41-50",tbl_Clean[[#This Row],[Age]]&lt;=60,"51-60",TRUE,"61+")</f>
        <v>31-40</v>
      </c>
      <c r="O322" s="20">
        <f>_xlfn.XMATCH(tbl_Clean[[#This Row],[Age Band]],{"25-30","31-40","41-50","51-60","61+"})</f>
        <v>2</v>
      </c>
      <c r="P322" s="20" t="str" cm="1">
        <f t="array" ref="P322">_xlfn.IFS(tbl_Clean[[#This Row],[Income]]&lt;=30000,"$10k-30k",tbl_Clean[[#This Row],[Income]]&lt;=60000,"$40k-60k",tbl_Clean[[#This Row],[Income]]&lt;=90000,"$70k-90k",TRUE,"$100k+")</f>
        <v>$10k-30k</v>
      </c>
      <c r="Q322" s="20">
        <f>_xlfn.XMATCH(tbl_Clean[[#This Row],[Income Band]],{"$10k-30k","$40k-60k","$70k-90k","$100k+"})</f>
        <v>1</v>
      </c>
      <c r="R322" s="20" t="str">
        <f>IF(tbl_Clean[[#This Row],[Cars]]&lt;=1,"0-1 Cars","2+ Cars")</f>
        <v>0-1 Cars</v>
      </c>
      <c r="S322" s="20">
        <f>_xlfn.XMATCH(tbl_Clean[[#This Row],[Commute Distance]],{"0-1 Miles","1-2 Miles","2-5 Miles","5-10 Miles","10+ Miles"})</f>
        <v>1</v>
      </c>
      <c r="T322" s="20">
        <f>_xlfn.XMATCH(tbl_Clean[[#This Row],[Education]],{"Partial High School","High School","Partial College","Bachelors","Graduate Degree"})</f>
        <v>4</v>
      </c>
      <c r="U322" s="20">
        <f>IF(tbl_Clean[[#This Row],[Purchased Bike]]="Yes",1,0)</f>
        <v>1</v>
      </c>
    </row>
    <row r="323" spans="1:21" x14ac:dyDescent="0.25">
      <c r="A323" s="20">
        <v>19066</v>
      </c>
      <c r="B323" s="3" t="s">
        <v>111</v>
      </c>
      <c r="C323" s="3" t="s">
        <v>113</v>
      </c>
      <c r="D323" s="19">
        <v>130000</v>
      </c>
      <c r="E323" s="20">
        <v>4</v>
      </c>
      <c r="F323" s="3" t="s">
        <v>21</v>
      </c>
      <c r="G323" s="3" t="s">
        <v>23</v>
      </c>
      <c r="H323" s="3" t="s">
        <v>20</v>
      </c>
      <c r="I323" s="20">
        <v>3</v>
      </c>
      <c r="J323" s="3" t="s">
        <v>33</v>
      </c>
      <c r="K323" s="3" t="s">
        <v>19</v>
      </c>
      <c r="L323" s="20">
        <v>54</v>
      </c>
      <c r="M323" s="3" t="s">
        <v>20</v>
      </c>
      <c r="N323" s="20" t="str" cm="1">
        <f t="array" ref="N323">_xlfn.IFS(tbl_Clean[[#This Row],[Age]]&lt;=30,"25-30",tbl_Clean[[#This Row],[Age]]&lt;=40,"31-40",tbl_Clean[[#This Row],[Age]]&lt;=50,"41-50",tbl_Clean[[#This Row],[Age]]&lt;=60,"51-60",TRUE,"61+")</f>
        <v>51-60</v>
      </c>
      <c r="O323" s="20">
        <f>_xlfn.XMATCH(tbl_Clean[[#This Row],[Age Band]],{"25-30","31-40","41-50","51-60","61+"})</f>
        <v>4</v>
      </c>
      <c r="P323" s="20" t="str" cm="1">
        <f t="array" ref="P323">_xlfn.IFS(tbl_Clean[[#This Row],[Income]]&lt;=30000,"$10k-30k",tbl_Clean[[#This Row],[Income]]&lt;=60000,"$40k-60k",tbl_Clean[[#This Row],[Income]]&lt;=90000,"$70k-90k",TRUE,"$100k+")</f>
        <v>$100k+</v>
      </c>
      <c r="Q323" s="20">
        <f>_xlfn.XMATCH(tbl_Clean[[#This Row],[Income Band]],{"$10k-30k","$40k-60k","$70k-90k","$100k+"})</f>
        <v>4</v>
      </c>
      <c r="R323" s="20" t="str">
        <f>IF(tbl_Clean[[#This Row],[Cars]]&lt;=1,"0-1 Cars","2+ Cars")</f>
        <v>2+ Cars</v>
      </c>
      <c r="S323" s="20">
        <f>_xlfn.XMATCH(tbl_Clean[[#This Row],[Commute Distance]],{"0-1 Miles","1-2 Miles","2-5 Miles","5-10 Miles","10+ Miles"})</f>
        <v>5</v>
      </c>
      <c r="T323" s="20">
        <f>_xlfn.XMATCH(tbl_Clean[[#This Row],[Education]],{"Partial High School","High School","Partial College","Bachelors","Graduate Degree"})</f>
        <v>3</v>
      </c>
      <c r="U323" s="20">
        <f>IF(tbl_Clean[[#This Row],[Purchased Bike]]="Yes",1,0)</f>
        <v>0</v>
      </c>
    </row>
    <row r="324" spans="1:21" x14ac:dyDescent="0.25">
      <c r="A324" s="20">
        <v>11386</v>
      </c>
      <c r="B324" s="3" t="s">
        <v>111</v>
      </c>
      <c r="C324" s="3" t="s">
        <v>112</v>
      </c>
      <c r="D324" s="19">
        <v>30000</v>
      </c>
      <c r="E324" s="20">
        <v>3</v>
      </c>
      <c r="F324" s="3" t="s">
        <v>15</v>
      </c>
      <c r="G324" s="3" t="s">
        <v>22</v>
      </c>
      <c r="H324" s="3" t="s">
        <v>17</v>
      </c>
      <c r="I324" s="20">
        <v>0</v>
      </c>
      <c r="J324" s="3" t="s">
        <v>18</v>
      </c>
      <c r="K324" s="3" t="s">
        <v>19</v>
      </c>
      <c r="L324" s="20">
        <v>45</v>
      </c>
      <c r="M324" s="3" t="s">
        <v>20</v>
      </c>
      <c r="N324" s="20" t="str" cm="1">
        <f t="array" ref="N324">_xlfn.IFS(tbl_Clean[[#This Row],[Age]]&lt;=30,"25-30",tbl_Clean[[#This Row],[Age]]&lt;=40,"31-40",tbl_Clean[[#This Row],[Age]]&lt;=50,"41-50",tbl_Clean[[#This Row],[Age]]&lt;=60,"51-60",TRUE,"61+")</f>
        <v>41-50</v>
      </c>
      <c r="O324" s="20">
        <f>_xlfn.XMATCH(tbl_Clean[[#This Row],[Age Band]],{"25-30","31-40","41-50","51-60","61+"})</f>
        <v>3</v>
      </c>
      <c r="P324" s="20" t="str" cm="1">
        <f t="array" ref="P324">_xlfn.IFS(tbl_Clean[[#This Row],[Income]]&lt;=30000,"$10k-30k",tbl_Clean[[#This Row],[Income]]&lt;=60000,"$40k-60k",tbl_Clean[[#This Row],[Income]]&lt;=90000,"$70k-90k",TRUE,"$100k+")</f>
        <v>$10k-30k</v>
      </c>
      <c r="Q324" s="20">
        <f>_xlfn.XMATCH(tbl_Clean[[#This Row],[Income Band]],{"$10k-30k","$40k-60k","$70k-90k","$100k+"})</f>
        <v>1</v>
      </c>
      <c r="R324" s="20" t="str">
        <f>IF(tbl_Clean[[#This Row],[Cars]]&lt;=1,"0-1 Cars","2+ Cars")</f>
        <v>0-1 Cars</v>
      </c>
      <c r="S324" s="20">
        <f>_xlfn.XMATCH(tbl_Clean[[#This Row],[Commute Distance]],{"0-1 Miles","1-2 Miles","2-5 Miles","5-10 Miles","10+ Miles"})</f>
        <v>1</v>
      </c>
      <c r="T324" s="20">
        <f>_xlfn.XMATCH(tbl_Clean[[#This Row],[Education]],{"Partial High School","High School","Partial College","Bachelors","Graduate Degree"})</f>
        <v>4</v>
      </c>
      <c r="U324" s="20">
        <f>IF(tbl_Clean[[#This Row],[Purchased Bike]]="Yes",1,0)</f>
        <v>0</v>
      </c>
    </row>
    <row r="325" spans="1:21" x14ac:dyDescent="0.25">
      <c r="A325" s="20">
        <v>20228</v>
      </c>
      <c r="B325" s="3" t="s">
        <v>111</v>
      </c>
      <c r="C325" s="3" t="s">
        <v>113</v>
      </c>
      <c r="D325" s="19">
        <v>100000</v>
      </c>
      <c r="E325" s="20">
        <v>0</v>
      </c>
      <c r="F325" s="3" t="s">
        <v>34</v>
      </c>
      <c r="G325" s="3" t="s">
        <v>31</v>
      </c>
      <c r="H325" s="3" t="s">
        <v>17</v>
      </c>
      <c r="I325" s="20">
        <v>0</v>
      </c>
      <c r="J325" s="3" t="s">
        <v>24</v>
      </c>
      <c r="K325" s="3" t="s">
        <v>27</v>
      </c>
      <c r="L325" s="20">
        <v>40</v>
      </c>
      <c r="M325" s="3" t="s">
        <v>17</v>
      </c>
      <c r="N325" s="20" t="str" cm="1">
        <f t="array" ref="N325">_xlfn.IFS(tbl_Clean[[#This Row],[Age]]&lt;=30,"25-30",tbl_Clean[[#This Row],[Age]]&lt;=40,"31-40",tbl_Clean[[#This Row],[Age]]&lt;=50,"41-50",tbl_Clean[[#This Row],[Age]]&lt;=60,"51-60",TRUE,"61+")</f>
        <v>31-40</v>
      </c>
      <c r="O325" s="20">
        <f>_xlfn.XMATCH(tbl_Clean[[#This Row],[Age Band]],{"25-30","31-40","41-50","51-60","61+"})</f>
        <v>2</v>
      </c>
      <c r="P325" s="20" t="str" cm="1">
        <f t="array" ref="P325">_xlfn.IFS(tbl_Clean[[#This Row],[Income]]&lt;=30000,"$10k-30k",tbl_Clean[[#This Row],[Income]]&lt;=60000,"$40k-60k",tbl_Clean[[#This Row],[Income]]&lt;=90000,"$70k-90k",TRUE,"$100k+")</f>
        <v>$100k+</v>
      </c>
      <c r="Q325" s="20">
        <f>_xlfn.XMATCH(tbl_Clean[[#This Row],[Income Band]],{"$10k-30k","$40k-60k","$70k-90k","$100k+"})</f>
        <v>4</v>
      </c>
      <c r="R325" s="20" t="str">
        <f>IF(tbl_Clean[[#This Row],[Cars]]&lt;=1,"0-1 Cars","2+ Cars")</f>
        <v>0-1 Cars</v>
      </c>
      <c r="S325" s="20">
        <f>_xlfn.XMATCH(tbl_Clean[[#This Row],[Commute Distance]],{"0-1 Miles","1-2 Miles","2-5 Miles","5-10 Miles","10+ Miles"})</f>
        <v>3</v>
      </c>
      <c r="T325" s="20">
        <f>_xlfn.XMATCH(tbl_Clean[[#This Row],[Education]],{"Partial High School","High School","Partial College","Bachelors","Graduate Degree"})</f>
        <v>5</v>
      </c>
      <c r="U325" s="20">
        <f>IF(tbl_Clean[[#This Row],[Purchased Bike]]="Yes",1,0)</f>
        <v>1</v>
      </c>
    </row>
    <row r="326" spans="1:21" x14ac:dyDescent="0.25">
      <c r="A326" s="20">
        <v>16675</v>
      </c>
      <c r="B326" s="3" t="s">
        <v>114</v>
      </c>
      <c r="C326" s="3" t="s">
        <v>112</v>
      </c>
      <c r="D326" s="19">
        <v>160000</v>
      </c>
      <c r="E326" s="20">
        <v>0</v>
      </c>
      <c r="F326" s="3" t="s">
        <v>34</v>
      </c>
      <c r="G326" s="3" t="s">
        <v>31</v>
      </c>
      <c r="H326" s="3" t="s">
        <v>20</v>
      </c>
      <c r="I326" s="20">
        <v>3</v>
      </c>
      <c r="J326" s="3" t="s">
        <v>18</v>
      </c>
      <c r="K326" s="3" t="s">
        <v>27</v>
      </c>
      <c r="L326" s="20">
        <v>47</v>
      </c>
      <c r="M326" s="3" t="s">
        <v>17</v>
      </c>
      <c r="N326" s="20" t="str" cm="1">
        <f t="array" ref="N326">_xlfn.IFS(tbl_Clean[[#This Row],[Age]]&lt;=30,"25-30",tbl_Clean[[#This Row],[Age]]&lt;=40,"31-40",tbl_Clean[[#This Row],[Age]]&lt;=50,"41-50",tbl_Clean[[#This Row],[Age]]&lt;=60,"51-60",TRUE,"61+")</f>
        <v>41-50</v>
      </c>
      <c r="O326" s="20">
        <f>_xlfn.XMATCH(tbl_Clean[[#This Row],[Age Band]],{"25-30","31-40","41-50","51-60","61+"})</f>
        <v>3</v>
      </c>
      <c r="P326" s="20" t="str" cm="1">
        <f t="array" ref="P326">_xlfn.IFS(tbl_Clean[[#This Row],[Income]]&lt;=30000,"$10k-30k",tbl_Clean[[#This Row],[Income]]&lt;=60000,"$40k-60k",tbl_Clean[[#This Row],[Income]]&lt;=90000,"$70k-90k",TRUE,"$100k+")</f>
        <v>$100k+</v>
      </c>
      <c r="Q326" s="20">
        <f>_xlfn.XMATCH(tbl_Clean[[#This Row],[Income Band]],{"$10k-30k","$40k-60k","$70k-90k","$100k+"})</f>
        <v>4</v>
      </c>
      <c r="R326" s="20" t="str">
        <f>IF(tbl_Clean[[#This Row],[Cars]]&lt;=1,"0-1 Cars","2+ Cars")</f>
        <v>2+ Cars</v>
      </c>
      <c r="S326" s="20">
        <f>_xlfn.XMATCH(tbl_Clean[[#This Row],[Commute Distance]],{"0-1 Miles","1-2 Miles","2-5 Miles","5-10 Miles","10+ Miles"})</f>
        <v>1</v>
      </c>
      <c r="T326" s="20">
        <f>_xlfn.XMATCH(tbl_Clean[[#This Row],[Education]],{"Partial High School","High School","Partial College","Bachelors","Graduate Degree"})</f>
        <v>5</v>
      </c>
      <c r="U326" s="20">
        <f>IF(tbl_Clean[[#This Row],[Purchased Bike]]="Yes",1,0)</f>
        <v>1</v>
      </c>
    </row>
    <row r="327" spans="1:21" x14ac:dyDescent="0.25">
      <c r="A327" s="20">
        <v>16410</v>
      </c>
      <c r="B327" s="3" t="s">
        <v>114</v>
      </c>
      <c r="C327" s="3" t="s">
        <v>112</v>
      </c>
      <c r="D327" s="19">
        <v>10000</v>
      </c>
      <c r="E327" s="20">
        <v>4</v>
      </c>
      <c r="F327" s="3" t="s">
        <v>32</v>
      </c>
      <c r="G327" s="3" t="s">
        <v>28</v>
      </c>
      <c r="H327" s="3" t="s">
        <v>17</v>
      </c>
      <c r="I327" s="20">
        <v>2</v>
      </c>
      <c r="J327" s="3" t="s">
        <v>18</v>
      </c>
      <c r="K327" s="3" t="s">
        <v>19</v>
      </c>
      <c r="L327" s="20">
        <v>41</v>
      </c>
      <c r="M327" s="3" t="s">
        <v>17</v>
      </c>
      <c r="N327" s="20" t="str" cm="1">
        <f t="array" ref="N327">_xlfn.IFS(tbl_Clean[[#This Row],[Age]]&lt;=30,"25-30",tbl_Clean[[#This Row],[Age]]&lt;=40,"31-40",tbl_Clean[[#This Row],[Age]]&lt;=50,"41-50",tbl_Clean[[#This Row],[Age]]&lt;=60,"51-60",TRUE,"61+")</f>
        <v>41-50</v>
      </c>
      <c r="O327" s="20">
        <f>_xlfn.XMATCH(tbl_Clean[[#This Row],[Age Band]],{"25-30","31-40","41-50","51-60","61+"})</f>
        <v>3</v>
      </c>
      <c r="P327" s="20" t="str" cm="1">
        <f t="array" ref="P327">_xlfn.IFS(tbl_Clean[[#This Row],[Income]]&lt;=30000,"$10k-30k",tbl_Clean[[#This Row],[Income]]&lt;=60000,"$40k-60k",tbl_Clean[[#This Row],[Income]]&lt;=90000,"$70k-90k",TRUE,"$100k+")</f>
        <v>$10k-30k</v>
      </c>
      <c r="Q327" s="20">
        <f>_xlfn.XMATCH(tbl_Clean[[#This Row],[Income Band]],{"$10k-30k","$40k-60k","$70k-90k","$100k+"})</f>
        <v>1</v>
      </c>
      <c r="R327" s="20" t="str">
        <f>IF(tbl_Clean[[#This Row],[Cars]]&lt;=1,"0-1 Cars","2+ Cars")</f>
        <v>2+ Cars</v>
      </c>
      <c r="S327" s="20">
        <f>_xlfn.XMATCH(tbl_Clean[[#This Row],[Commute Distance]],{"0-1 Miles","1-2 Miles","2-5 Miles","5-10 Miles","10+ Miles"})</f>
        <v>1</v>
      </c>
      <c r="T327" s="20">
        <f>_xlfn.XMATCH(tbl_Clean[[#This Row],[Education]],{"Partial High School","High School","Partial College","Bachelors","Graduate Degree"})</f>
        <v>1</v>
      </c>
      <c r="U327" s="20">
        <f>IF(tbl_Clean[[#This Row],[Purchased Bike]]="Yes",1,0)</f>
        <v>1</v>
      </c>
    </row>
    <row r="328" spans="1:21" x14ac:dyDescent="0.25">
      <c r="A328" s="20">
        <v>27760</v>
      </c>
      <c r="B328" s="3" t="s">
        <v>114</v>
      </c>
      <c r="C328" s="3" t="s">
        <v>112</v>
      </c>
      <c r="D328" s="19">
        <v>40000</v>
      </c>
      <c r="E328" s="20">
        <v>0</v>
      </c>
      <c r="F328" s="3" t="s">
        <v>34</v>
      </c>
      <c r="G328" s="3" t="s">
        <v>22</v>
      </c>
      <c r="H328" s="3" t="s">
        <v>20</v>
      </c>
      <c r="I328" s="20">
        <v>0</v>
      </c>
      <c r="J328" s="3" t="s">
        <v>18</v>
      </c>
      <c r="K328" s="3" t="s">
        <v>19</v>
      </c>
      <c r="L328" s="20">
        <v>37</v>
      </c>
      <c r="M328" s="3" t="s">
        <v>17</v>
      </c>
      <c r="N328" s="20" t="str" cm="1">
        <f t="array" ref="N328">_xlfn.IFS(tbl_Clean[[#This Row],[Age]]&lt;=30,"25-30",tbl_Clean[[#This Row],[Age]]&lt;=40,"31-40",tbl_Clean[[#This Row],[Age]]&lt;=50,"41-50",tbl_Clean[[#This Row],[Age]]&lt;=60,"51-60",TRUE,"61+")</f>
        <v>31-40</v>
      </c>
      <c r="O328" s="20">
        <f>_xlfn.XMATCH(tbl_Clean[[#This Row],[Age Band]],{"25-30","31-40","41-50","51-60","61+"})</f>
        <v>2</v>
      </c>
      <c r="P328" s="20" t="str" cm="1">
        <f t="array" ref="P328">_xlfn.IFS(tbl_Clean[[#This Row],[Income]]&lt;=30000,"$10k-30k",tbl_Clean[[#This Row],[Income]]&lt;=60000,"$40k-60k",tbl_Clean[[#This Row],[Income]]&lt;=90000,"$70k-90k",TRUE,"$100k+")</f>
        <v>$40k-60k</v>
      </c>
      <c r="Q328" s="20">
        <f>_xlfn.XMATCH(tbl_Clean[[#This Row],[Income Band]],{"$10k-30k","$40k-60k","$70k-90k","$100k+"})</f>
        <v>2</v>
      </c>
      <c r="R328" s="20" t="str">
        <f>IF(tbl_Clean[[#This Row],[Cars]]&lt;=1,"0-1 Cars","2+ Cars")</f>
        <v>0-1 Cars</v>
      </c>
      <c r="S328" s="20">
        <f>_xlfn.XMATCH(tbl_Clean[[#This Row],[Commute Distance]],{"0-1 Miles","1-2 Miles","2-5 Miles","5-10 Miles","10+ Miles"})</f>
        <v>1</v>
      </c>
      <c r="T328" s="20">
        <f>_xlfn.XMATCH(tbl_Clean[[#This Row],[Education]],{"Partial High School","High School","Partial College","Bachelors","Graduate Degree"})</f>
        <v>5</v>
      </c>
      <c r="U328" s="20">
        <f>IF(tbl_Clean[[#This Row],[Purchased Bike]]="Yes",1,0)</f>
        <v>1</v>
      </c>
    </row>
    <row r="329" spans="1:21" x14ac:dyDescent="0.25">
      <c r="A329" s="20">
        <v>22930</v>
      </c>
      <c r="B329" s="3" t="s">
        <v>111</v>
      </c>
      <c r="C329" s="3" t="s">
        <v>113</v>
      </c>
      <c r="D329" s="19">
        <v>90000</v>
      </c>
      <c r="E329" s="20">
        <v>4</v>
      </c>
      <c r="F329" s="3" t="s">
        <v>15</v>
      </c>
      <c r="G329" s="3" t="s">
        <v>23</v>
      </c>
      <c r="H329" s="3" t="s">
        <v>17</v>
      </c>
      <c r="I329" s="20">
        <v>0</v>
      </c>
      <c r="J329" s="3" t="s">
        <v>29</v>
      </c>
      <c r="K329" s="3" t="s">
        <v>27</v>
      </c>
      <c r="L329" s="20">
        <v>38</v>
      </c>
      <c r="M329" s="3" t="s">
        <v>17</v>
      </c>
      <c r="N329" s="20" t="str" cm="1">
        <f t="array" ref="N329">_xlfn.IFS(tbl_Clean[[#This Row],[Age]]&lt;=30,"25-30",tbl_Clean[[#This Row],[Age]]&lt;=40,"31-40",tbl_Clean[[#This Row],[Age]]&lt;=50,"41-50",tbl_Clean[[#This Row],[Age]]&lt;=60,"51-60",TRUE,"61+")</f>
        <v>31-40</v>
      </c>
      <c r="O329" s="20">
        <f>_xlfn.XMATCH(tbl_Clean[[#This Row],[Age Band]],{"25-30","31-40","41-50","51-60","61+"})</f>
        <v>2</v>
      </c>
      <c r="P329" s="20" t="str" cm="1">
        <f t="array" ref="P329">_xlfn.IFS(tbl_Clean[[#This Row],[Income]]&lt;=30000,"$10k-30k",tbl_Clean[[#This Row],[Income]]&lt;=60000,"$40k-60k",tbl_Clean[[#This Row],[Income]]&lt;=90000,"$70k-90k",TRUE,"$100k+")</f>
        <v>$70k-90k</v>
      </c>
      <c r="Q329" s="20">
        <f>_xlfn.XMATCH(tbl_Clean[[#This Row],[Income Band]],{"$10k-30k","$40k-60k","$70k-90k","$100k+"})</f>
        <v>3</v>
      </c>
      <c r="R329" s="20" t="str">
        <f>IF(tbl_Clean[[#This Row],[Cars]]&lt;=1,"0-1 Cars","2+ Cars")</f>
        <v>0-1 Cars</v>
      </c>
      <c r="S329" s="20">
        <f>_xlfn.XMATCH(tbl_Clean[[#This Row],[Commute Distance]],{"0-1 Miles","1-2 Miles","2-5 Miles","5-10 Miles","10+ Miles"})</f>
        <v>2</v>
      </c>
      <c r="T329" s="20">
        <f>_xlfn.XMATCH(tbl_Clean[[#This Row],[Education]],{"Partial High School","High School","Partial College","Bachelors","Graduate Degree"})</f>
        <v>4</v>
      </c>
      <c r="U329" s="20">
        <f>IF(tbl_Clean[[#This Row],[Purchased Bike]]="Yes",1,0)</f>
        <v>1</v>
      </c>
    </row>
    <row r="330" spans="1:21" x14ac:dyDescent="0.25">
      <c r="A330" s="20">
        <v>23780</v>
      </c>
      <c r="B330" s="3" t="s">
        <v>114</v>
      </c>
      <c r="C330" s="3" t="s">
        <v>113</v>
      </c>
      <c r="D330" s="19">
        <v>40000</v>
      </c>
      <c r="E330" s="20">
        <v>2</v>
      </c>
      <c r="F330" s="3" t="s">
        <v>21</v>
      </c>
      <c r="G330" s="3" t="s">
        <v>22</v>
      </c>
      <c r="H330" s="3" t="s">
        <v>20</v>
      </c>
      <c r="I330" s="20">
        <v>2</v>
      </c>
      <c r="J330" s="3" t="s">
        <v>18</v>
      </c>
      <c r="K330" s="3" t="s">
        <v>19</v>
      </c>
      <c r="L330" s="20">
        <v>36</v>
      </c>
      <c r="M330" s="3" t="s">
        <v>17</v>
      </c>
      <c r="N330" s="20" t="str" cm="1">
        <f t="array" ref="N330">_xlfn.IFS(tbl_Clean[[#This Row],[Age]]&lt;=30,"25-30",tbl_Clean[[#This Row],[Age]]&lt;=40,"31-40",tbl_Clean[[#This Row],[Age]]&lt;=50,"41-50",tbl_Clean[[#This Row],[Age]]&lt;=60,"51-60",TRUE,"61+")</f>
        <v>31-40</v>
      </c>
      <c r="O330" s="20">
        <f>_xlfn.XMATCH(tbl_Clean[[#This Row],[Age Band]],{"25-30","31-40","41-50","51-60","61+"})</f>
        <v>2</v>
      </c>
      <c r="P330" s="20" t="str" cm="1">
        <f t="array" ref="P330">_xlfn.IFS(tbl_Clean[[#This Row],[Income]]&lt;=30000,"$10k-30k",tbl_Clean[[#This Row],[Income]]&lt;=60000,"$40k-60k",tbl_Clean[[#This Row],[Income]]&lt;=90000,"$70k-90k",TRUE,"$100k+")</f>
        <v>$40k-60k</v>
      </c>
      <c r="Q330" s="20">
        <f>_xlfn.XMATCH(tbl_Clean[[#This Row],[Income Band]],{"$10k-30k","$40k-60k","$70k-90k","$100k+"})</f>
        <v>2</v>
      </c>
      <c r="R330" s="20" t="str">
        <f>IF(tbl_Clean[[#This Row],[Cars]]&lt;=1,"0-1 Cars","2+ Cars")</f>
        <v>2+ Cars</v>
      </c>
      <c r="S330" s="20">
        <f>_xlfn.XMATCH(tbl_Clean[[#This Row],[Commute Distance]],{"0-1 Miles","1-2 Miles","2-5 Miles","5-10 Miles","10+ Miles"})</f>
        <v>1</v>
      </c>
      <c r="T330" s="20">
        <f>_xlfn.XMATCH(tbl_Clean[[#This Row],[Education]],{"Partial High School","High School","Partial College","Bachelors","Graduate Degree"})</f>
        <v>3</v>
      </c>
      <c r="U330" s="20">
        <f>IF(tbl_Clean[[#This Row],[Purchased Bike]]="Yes",1,0)</f>
        <v>1</v>
      </c>
    </row>
    <row r="331" spans="1:21" x14ac:dyDescent="0.25">
      <c r="A331" s="20">
        <v>20994</v>
      </c>
      <c r="B331" s="3" t="s">
        <v>111</v>
      </c>
      <c r="C331" s="3" t="s">
        <v>112</v>
      </c>
      <c r="D331" s="19">
        <v>20000</v>
      </c>
      <c r="E331" s="20">
        <v>0</v>
      </c>
      <c r="F331" s="3" t="s">
        <v>15</v>
      </c>
      <c r="G331" s="3" t="s">
        <v>22</v>
      </c>
      <c r="H331" s="3" t="s">
        <v>20</v>
      </c>
      <c r="I331" s="20">
        <v>0</v>
      </c>
      <c r="J331" s="3" t="s">
        <v>18</v>
      </c>
      <c r="K331" s="3" t="s">
        <v>27</v>
      </c>
      <c r="L331" s="20">
        <v>26</v>
      </c>
      <c r="M331" s="3" t="s">
        <v>17</v>
      </c>
      <c r="N331" s="20" t="str" cm="1">
        <f t="array" ref="N331">_xlfn.IFS(tbl_Clean[[#This Row],[Age]]&lt;=30,"25-30",tbl_Clean[[#This Row],[Age]]&lt;=40,"31-40",tbl_Clean[[#This Row],[Age]]&lt;=50,"41-50",tbl_Clean[[#This Row],[Age]]&lt;=60,"51-60",TRUE,"61+")</f>
        <v>25-30</v>
      </c>
      <c r="O331" s="20">
        <f>_xlfn.XMATCH(tbl_Clean[[#This Row],[Age Band]],{"25-30","31-40","41-50","51-60","61+"})</f>
        <v>1</v>
      </c>
      <c r="P331" s="20" t="str" cm="1">
        <f t="array" ref="P331">_xlfn.IFS(tbl_Clean[[#This Row],[Income]]&lt;=30000,"$10k-30k",tbl_Clean[[#This Row],[Income]]&lt;=60000,"$40k-60k",tbl_Clean[[#This Row],[Income]]&lt;=90000,"$70k-90k",TRUE,"$100k+")</f>
        <v>$10k-30k</v>
      </c>
      <c r="Q331" s="20">
        <f>_xlfn.XMATCH(tbl_Clean[[#This Row],[Income Band]],{"$10k-30k","$40k-60k","$70k-90k","$100k+"})</f>
        <v>1</v>
      </c>
      <c r="R331" s="20" t="str">
        <f>IF(tbl_Clean[[#This Row],[Cars]]&lt;=1,"0-1 Cars","2+ Cars")</f>
        <v>0-1 Cars</v>
      </c>
      <c r="S331" s="20">
        <f>_xlfn.XMATCH(tbl_Clean[[#This Row],[Commute Distance]],{"0-1 Miles","1-2 Miles","2-5 Miles","5-10 Miles","10+ Miles"})</f>
        <v>1</v>
      </c>
      <c r="T331" s="20">
        <f>_xlfn.XMATCH(tbl_Clean[[#This Row],[Education]],{"Partial High School","High School","Partial College","Bachelors","Graduate Degree"})</f>
        <v>4</v>
      </c>
      <c r="U331" s="20">
        <f>IF(tbl_Clean[[#This Row],[Purchased Bike]]="Yes",1,0)</f>
        <v>1</v>
      </c>
    </row>
    <row r="332" spans="1:21" x14ac:dyDescent="0.25">
      <c r="A332" s="20">
        <v>28379</v>
      </c>
      <c r="B332" s="3" t="s">
        <v>111</v>
      </c>
      <c r="C332" s="3" t="s">
        <v>113</v>
      </c>
      <c r="D332" s="19">
        <v>30000</v>
      </c>
      <c r="E332" s="20">
        <v>1</v>
      </c>
      <c r="F332" s="3" t="s">
        <v>15</v>
      </c>
      <c r="G332" s="3" t="s">
        <v>16</v>
      </c>
      <c r="H332" s="3" t="s">
        <v>17</v>
      </c>
      <c r="I332" s="20">
        <v>2</v>
      </c>
      <c r="J332" s="3" t="s">
        <v>18</v>
      </c>
      <c r="K332" s="3" t="s">
        <v>19</v>
      </c>
      <c r="L332" s="20">
        <v>40</v>
      </c>
      <c r="M332" s="3" t="s">
        <v>20</v>
      </c>
      <c r="N332" s="20" t="str" cm="1">
        <f t="array" ref="N332">_xlfn.IFS(tbl_Clean[[#This Row],[Age]]&lt;=30,"25-30",tbl_Clean[[#This Row],[Age]]&lt;=40,"31-40",tbl_Clean[[#This Row],[Age]]&lt;=50,"41-50",tbl_Clean[[#This Row],[Age]]&lt;=60,"51-60",TRUE,"61+")</f>
        <v>31-40</v>
      </c>
      <c r="O332" s="20">
        <f>_xlfn.XMATCH(tbl_Clean[[#This Row],[Age Band]],{"25-30","31-40","41-50","51-60","61+"})</f>
        <v>2</v>
      </c>
      <c r="P332" s="20" t="str" cm="1">
        <f t="array" ref="P332">_xlfn.IFS(tbl_Clean[[#This Row],[Income]]&lt;=30000,"$10k-30k",tbl_Clean[[#This Row],[Income]]&lt;=60000,"$40k-60k",tbl_Clean[[#This Row],[Income]]&lt;=90000,"$70k-90k",TRUE,"$100k+")</f>
        <v>$10k-30k</v>
      </c>
      <c r="Q332" s="20">
        <f>_xlfn.XMATCH(tbl_Clean[[#This Row],[Income Band]],{"$10k-30k","$40k-60k","$70k-90k","$100k+"})</f>
        <v>1</v>
      </c>
      <c r="R332" s="20" t="str">
        <f>IF(tbl_Clean[[#This Row],[Cars]]&lt;=1,"0-1 Cars","2+ Cars")</f>
        <v>2+ Cars</v>
      </c>
      <c r="S332" s="20">
        <f>_xlfn.XMATCH(tbl_Clean[[#This Row],[Commute Distance]],{"0-1 Miles","1-2 Miles","2-5 Miles","5-10 Miles","10+ Miles"})</f>
        <v>1</v>
      </c>
      <c r="T332" s="20">
        <f>_xlfn.XMATCH(tbl_Clean[[#This Row],[Education]],{"Partial High School","High School","Partial College","Bachelors","Graduate Degree"})</f>
        <v>4</v>
      </c>
      <c r="U332" s="20">
        <f>IF(tbl_Clean[[#This Row],[Purchased Bike]]="Yes",1,0)</f>
        <v>0</v>
      </c>
    </row>
    <row r="333" spans="1:21" x14ac:dyDescent="0.25">
      <c r="A333" s="20">
        <v>14865</v>
      </c>
      <c r="B333" s="3" t="s">
        <v>114</v>
      </c>
      <c r="C333" s="3" t="s">
        <v>113</v>
      </c>
      <c r="D333" s="19">
        <v>40000</v>
      </c>
      <c r="E333" s="20">
        <v>2</v>
      </c>
      <c r="F333" s="3" t="s">
        <v>21</v>
      </c>
      <c r="G333" s="3" t="s">
        <v>22</v>
      </c>
      <c r="H333" s="3" t="s">
        <v>17</v>
      </c>
      <c r="I333" s="20">
        <v>2</v>
      </c>
      <c r="J333" s="3" t="s">
        <v>29</v>
      </c>
      <c r="K333" s="3" t="s">
        <v>19</v>
      </c>
      <c r="L333" s="20">
        <v>36</v>
      </c>
      <c r="M333" s="3" t="s">
        <v>20</v>
      </c>
      <c r="N333" s="20" t="str" cm="1">
        <f t="array" ref="N333">_xlfn.IFS(tbl_Clean[[#This Row],[Age]]&lt;=30,"25-30",tbl_Clean[[#This Row],[Age]]&lt;=40,"31-40",tbl_Clean[[#This Row],[Age]]&lt;=50,"41-50",tbl_Clean[[#This Row],[Age]]&lt;=60,"51-60",TRUE,"61+")</f>
        <v>31-40</v>
      </c>
      <c r="O333" s="20">
        <f>_xlfn.XMATCH(tbl_Clean[[#This Row],[Age Band]],{"25-30","31-40","41-50","51-60","61+"})</f>
        <v>2</v>
      </c>
      <c r="P333" s="20" t="str" cm="1">
        <f t="array" ref="P333">_xlfn.IFS(tbl_Clean[[#This Row],[Income]]&lt;=30000,"$10k-30k",tbl_Clean[[#This Row],[Income]]&lt;=60000,"$40k-60k",tbl_Clean[[#This Row],[Income]]&lt;=90000,"$70k-90k",TRUE,"$100k+")</f>
        <v>$40k-60k</v>
      </c>
      <c r="Q333" s="20">
        <f>_xlfn.XMATCH(tbl_Clean[[#This Row],[Income Band]],{"$10k-30k","$40k-60k","$70k-90k","$100k+"})</f>
        <v>2</v>
      </c>
      <c r="R333" s="20" t="str">
        <f>IF(tbl_Clean[[#This Row],[Cars]]&lt;=1,"0-1 Cars","2+ Cars")</f>
        <v>2+ Cars</v>
      </c>
      <c r="S333" s="20">
        <f>_xlfn.XMATCH(tbl_Clean[[#This Row],[Commute Distance]],{"0-1 Miles","1-2 Miles","2-5 Miles","5-10 Miles","10+ Miles"})</f>
        <v>2</v>
      </c>
      <c r="T333" s="20">
        <f>_xlfn.XMATCH(tbl_Clean[[#This Row],[Education]],{"Partial High School","High School","Partial College","Bachelors","Graduate Degree"})</f>
        <v>3</v>
      </c>
      <c r="U333" s="20">
        <f>IF(tbl_Clean[[#This Row],[Purchased Bike]]="Yes",1,0)</f>
        <v>0</v>
      </c>
    </row>
    <row r="334" spans="1:21" x14ac:dyDescent="0.25">
      <c r="A334" s="20">
        <v>12663</v>
      </c>
      <c r="B334" s="3" t="s">
        <v>111</v>
      </c>
      <c r="C334" s="3" t="s">
        <v>112</v>
      </c>
      <c r="D334" s="19">
        <v>90000</v>
      </c>
      <c r="E334" s="20">
        <v>5</v>
      </c>
      <c r="F334" s="3" t="s">
        <v>32</v>
      </c>
      <c r="G334" s="3" t="s">
        <v>16</v>
      </c>
      <c r="H334" s="3" t="s">
        <v>17</v>
      </c>
      <c r="I334" s="20">
        <v>2</v>
      </c>
      <c r="J334" s="3" t="s">
        <v>33</v>
      </c>
      <c r="K334" s="3" t="s">
        <v>19</v>
      </c>
      <c r="L334" s="20">
        <v>59</v>
      </c>
      <c r="M334" s="3" t="s">
        <v>20</v>
      </c>
      <c r="N334" s="20" t="str" cm="1">
        <f t="array" ref="N334">_xlfn.IFS(tbl_Clean[[#This Row],[Age]]&lt;=30,"25-30",tbl_Clean[[#This Row],[Age]]&lt;=40,"31-40",tbl_Clean[[#This Row],[Age]]&lt;=50,"41-50",tbl_Clean[[#This Row],[Age]]&lt;=60,"51-60",TRUE,"61+")</f>
        <v>51-60</v>
      </c>
      <c r="O334" s="20">
        <f>_xlfn.XMATCH(tbl_Clean[[#This Row],[Age Band]],{"25-30","31-40","41-50","51-60","61+"})</f>
        <v>4</v>
      </c>
      <c r="P334" s="20" t="str" cm="1">
        <f t="array" ref="P334">_xlfn.IFS(tbl_Clean[[#This Row],[Income]]&lt;=30000,"$10k-30k",tbl_Clean[[#This Row],[Income]]&lt;=60000,"$40k-60k",tbl_Clean[[#This Row],[Income]]&lt;=90000,"$70k-90k",TRUE,"$100k+")</f>
        <v>$70k-90k</v>
      </c>
      <c r="Q334" s="20">
        <f>_xlfn.XMATCH(tbl_Clean[[#This Row],[Income Band]],{"$10k-30k","$40k-60k","$70k-90k","$100k+"})</f>
        <v>3</v>
      </c>
      <c r="R334" s="20" t="str">
        <f>IF(tbl_Clean[[#This Row],[Cars]]&lt;=1,"0-1 Cars","2+ Cars")</f>
        <v>2+ Cars</v>
      </c>
      <c r="S334" s="20">
        <f>_xlfn.XMATCH(tbl_Clean[[#This Row],[Commute Distance]],{"0-1 Miles","1-2 Miles","2-5 Miles","5-10 Miles","10+ Miles"})</f>
        <v>5</v>
      </c>
      <c r="T334" s="20">
        <f>_xlfn.XMATCH(tbl_Clean[[#This Row],[Education]],{"Partial High School","High School","Partial College","Bachelors","Graduate Degree"})</f>
        <v>1</v>
      </c>
      <c r="U334" s="20">
        <f>IF(tbl_Clean[[#This Row],[Purchased Bike]]="Yes",1,0)</f>
        <v>0</v>
      </c>
    </row>
    <row r="335" spans="1:21" x14ac:dyDescent="0.25">
      <c r="A335" s="20">
        <v>24898</v>
      </c>
      <c r="B335" s="3" t="s">
        <v>114</v>
      </c>
      <c r="C335" s="3" t="s">
        <v>112</v>
      </c>
      <c r="D335" s="19">
        <v>80000</v>
      </c>
      <c r="E335" s="20">
        <v>0</v>
      </c>
      <c r="F335" s="3" t="s">
        <v>15</v>
      </c>
      <c r="G335" s="3" t="s">
        <v>23</v>
      </c>
      <c r="H335" s="3" t="s">
        <v>17</v>
      </c>
      <c r="I335" s="20">
        <v>3</v>
      </c>
      <c r="J335" s="3" t="s">
        <v>33</v>
      </c>
      <c r="K335" s="3" t="s">
        <v>27</v>
      </c>
      <c r="L335" s="20">
        <v>32</v>
      </c>
      <c r="M335" s="3" t="s">
        <v>20</v>
      </c>
      <c r="N335" s="20" t="str" cm="1">
        <f t="array" ref="N335">_xlfn.IFS(tbl_Clean[[#This Row],[Age]]&lt;=30,"25-30",tbl_Clean[[#This Row],[Age]]&lt;=40,"31-40",tbl_Clean[[#This Row],[Age]]&lt;=50,"41-50",tbl_Clean[[#This Row],[Age]]&lt;=60,"51-60",TRUE,"61+")</f>
        <v>31-40</v>
      </c>
      <c r="O335" s="20">
        <f>_xlfn.XMATCH(tbl_Clean[[#This Row],[Age Band]],{"25-30","31-40","41-50","51-60","61+"})</f>
        <v>2</v>
      </c>
      <c r="P335" s="20" t="str" cm="1">
        <f t="array" ref="P335">_xlfn.IFS(tbl_Clean[[#This Row],[Income]]&lt;=30000,"$10k-30k",tbl_Clean[[#This Row],[Income]]&lt;=60000,"$40k-60k",tbl_Clean[[#This Row],[Income]]&lt;=90000,"$70k-90k",TRUE,"$100k+")</f>
        <v>$70k-90k</v>
      </c>
      <c r="Q335" s="20">
        <f>_xlfn.XMATCH(tbl_Clean[[#This Row],[Income Band]],{"$10k-30k","$40k-60k","$70k-90k","$100k+"})</f>
        <v>3</v>
      </c>
      <c r="R335" s="20" t="str">
        <f>IF(tbl_Clean[[#This Row],[Cars]]&lt;=1,"0-1 Cars","2+ Cars")</f>
        <v>2+ Cars</v>
      </c>
      <c r="S335" s="20">
        <f>_xlfn.XMATCH(tbl_Clean[[#This Row],[Commute Distance]],{"0-1 Miles","1-2 Miles","2-5 Miles","5-10 Miles","10+ Miles"})</f>
        <v>5</v>
      </c>
      <c r="T335" s="20">
        <f>_xlfn.XMATCH(tbl_Clean[[#This Row],[Education]],{"Partial High School","High School","Partial College","Bachelors","Graduate Degree"})</f>
        <v>4</v>
      </c>
      <c r="U335" s="20">
        <f>IF(tbl_Clean[[#This Row],[Purchased Bike]]="Yes",1,0)</f>
        <v>0</v>
      </c>
    </row>
    <row r="336" spans="1:21" x14ac:dyDescent="0.25">
      <c r="A336" s="20">
        <v>19508</v>
      </c>
      <c r="B336" s="3" t="s">
        <v>111</v>
      </c>
      <c r="C336" s="3" t="s">
        <v>113</v>
      </c>
      <c r="D336" s="19">
        <v>10000</v>
      </c>
      <c r="E336" s="20">
        <v>0</v>
      </c>
      <c r="F336" s="3" t="s">
        <v>32</v>
      </c>
      <c r="G336" s="3" t="s">
        <v>28</v>
      </c>
      <c r="H336" s="3" t="s">
        <v>20</v>
      </c>
      <c r="I336" s="20">
        <v>2</v>
      </c>
      <c r="J336" s="3" t="s">
        <v>18</v>
      </c>
      <c r="K336" s="3" t="s">
        <v>19</v>
      </c>
      <c r="L336" s="20">
        <v>30</v>
      </c>
      <c r="M336" s="3" t="s">
        <v>20</v>
      </c>
      <c r="N336" s="20" t="str" cm="1">
        <f t="array" ref="N336">_xlfn.IFS(tbl_Clean[[#This Row],[Age]]&lt;=30,"25-30",tbl_Clean[[#This Row],[Age]]&lt;=40,"31-40",tbl_Clean[[#This Row],[Age]]&lt;=50,"41-50",tbl_Clean[[#This Row],[Age]]&lt;=60,"51-60",TRUE,"61+")</f>
        <v>25-30</v>
      </c>
      <c r="O336" s="20">
        <f>_xlfn.XMATCH(tbl_Clean[[#This Row],[Age Band]],{"25-30","31-40","41-50","51-60","61+"})</f>
        <v>1</v>
      </c>
      <c r="P336" s="20" t="str" cm="1">
        <f t="array" ref="P336">_xlfn.IFS(tbl_Clean[[#This Row],[Income]]&lt;=30000,"$10k-30k",tbl_Clean[[#This Row],[Income]]&lt;=60000,"$40k-60k",tbl_Clean[[#This Row],[Income]]&lt;=90000,"$70k-90k",TRUE,"$100k+")</f>
        <v>$10k-30k</v>
      </c>
      <c r="Q336" s="20">
        <f>_xlfn.XMATCH(tbl_Clean[[#This Row],[Income Band]],{"$10k-30k","$40k-60k","$70k-90k","$100k+"})</f>
        <v>1</v>
      </c>
      <c r="R336" s="20" t="str">
        <f>IF(tbl_Clean[[#This Row],[Cars]]&lt;=1,"0-1 Cars","2+ Cars")</f>
        <v>2+ Cars</v>
      </c>
      <c r="S336" s="20">
        <f>_xlfn.XMATCH(tbl_Clean[[#This Row],[Commute Distance]],{"0-1 Miles","1-2 Miles","2-5 Miles","5-10 Miles","10+ Miles"})</f>
        <v>1</v>
      </c>
      <c r="T336" s="20">
        <f>_xlfn.XMATCH(tbl_Clean[[#This Row],[Education]],{"Partial High School","High School","Partial College","Bachelors","Graduate Degree"})</f>
        <v>1</v>
      </c>
      <c r="U336" s="20">
        <f>IF(tbl_Clean[[#This Row],[Purchased Bike]]="Yes",1,0)</f>
        <v>0</v>
      </c>
    </row>
    <row r="337" spans="1:21" x14ac:dyDescent="0.25">
      <c r="A337" s="20">
        <v>11489</v>
      </c>
      <c r="B337" s="3" t="s">
        <v>114</v>
      </c>
      <c r="C337" s="3" t="s">
        <v>112</v>
      </c>
      <c r="D337" s="19">
        <v>20000</v>
      </c>
      <c r="E337" s="20">
        <v>0</v>
      </c>
      <c r="F337" s="3" t="s">
        <v>32</v>
      </c>
      <c r="G337" s="3" t="s">
        <v>28</v>
      </c>
      <c r="H337" s="3" t="s">
        <v>20</v>
      </c>
      <c r="I337" s="20">
        <v>2</v>
      </c>
      <c r="J337" s="3" t="s">
        <v>29</v>
      </c>
      <c r="K337" s="3" t="s">
        <v>19</v>
      </c>
      <c r="L337" s="20">
        <v>35</v>
      </c>
      <c r="M337" s="3" t="s">
        <v>17</v>
      </c>
      <c r="N337" s="20" t="str" cm="1">
        <f t="array" ref="N337">_xlfn.IFS(tbl_Clean[[#This Row],[Age]]&lt;=30,"25-30",tbl_Clean[[#This Row],[Age]]&lt;=40,"31-40",tbl_Clean[[#This Row],[Age]]&lt;=50,"41-50",tbl_Clean[[#This Row],[Age]]&lt;=60,"51-60",TRUE,"61+")</f>
        <v>31-40</v>
      </c>
      <c r="O337" s="20">
        <f>_xlfn.XMATCH(tbl_Clean[[#This Row],[Age Band]],{"25-30","31-40","41-50","51-60","61+"})</f>
        <v>2</v>
      </c>
      <c r="P337" s="20" t="str" cm="1">
        <f t="array" ref="P337">_xlfn.IFS(tbl_Clean[[#This Row],[Income]]&lt;=30000,"$10k-30k",tbl_Clean[[#This Row],[Income]]&lt;=60000,"$40k-60k",tbl_Clean[[#This Row],[Income]]&lt;=90000,"$70k-90k",TRUE,"$100k+")</f>
        <v>$10k-30k</v>
      </c>
      <c r="Q337" s="20">
        <f>_xlfn.XMATCH(tbl_Clean[[#This Row],[Income Band]],{"$10k-30k","$40k-60k","$70k-90k","$100k+"})</f>
        <v>1</v>
      </c>
      <c r="R337" s="20" t="str">
        <f>IF(tbl_Clean[[#This Row],[Cars]]&lt;=1,"0-1 Cars","2+ Cars")</f>
        <v>2+ Cars</v>
      </c>
      <c r="S337" s="20">
        <f>_xlfn.XMATCH(tbl_Clean[[#This Row],[Commute Distance]],{"0-1 Miles","1-2 Miles","2-5 Miles","5-10 Miles","10+ Miles"})</f>
        <v>2</v>
      </c>
      <c r="T337" s="20">
        <f>_xlfn.XMATCH(tbl_Clean[[#This Row],[Education]],{"Partial High School","High School","Partial College","Bachelors","Graduate Degree"})</f>
        <v>1</v>
      </c>
      <c r="U337" s="20">
        <f>IF(tbl_Clean[[#This Row],[Purchased Bike]]="Yes",1,0)</f>
        <v>1</v>
      </c>
    </row>
    <row r="338" spans="1:21" x14ac:dyDescent="0.25">
      <c r="A338" s="20">
        <v>18160</v>
      </c>
      <c r="B338" s="3" t="s">
        <v>111</v>
      </c>
      <c r="C338" s="3" t="s">
        <v>113</v>
      </c>
      <c r="D338" s="19">
        <v>130000</v>
      </c>
      <c r="E338" s="20">
        <v>3</v>
      </c>
      <c r="F338" s="3" t="s">
        <v>30</v>
      </c>
      <c r="G338" s="3" t="s">
        <v>23</v>
      </c>
      <c r="H338" s="3" t="s">
        <v>17</v>
      </c>
      <c r="I338" s="20">
        <v>4</v>
      </c>
      <c r="J338" s="3" t="s">
        <v>26</v>
      </c>
      <c r="K338" s="3" t="s">
        <v>19</v>
      </c>
      <c r="L338" s="20">
        <v>51</v>
      </c>
      <c r="M338" s="3" t="s">
        <v>17</v>
      </c>
      <c r="N338" s="20" t="str" cm="1">
        <f t="array" ref="N338">_xlfn.IFS(tbl_Clean[[#This Row],[Age]]&lt;=30,"25-30",tbl_Clean[[#This Row],[Age]]&lt;=40,"31-40",tbl_Clean[[#This Row],[Age]]&lt;=50,"41-50",tbl_Clean[[#This Row],[Age]]&lt;=60,"51-60",TRUE,"61+")</f>
        <v>51-60</v>
      </c>
      <c r="O338" s="20">
        <f>_xlfn.XMATCH(tbl_Clean[[#This Row],[Age Band]],{"25-30","31-40","41-50","51-60","61+"})</f>
        <v>4</v>
      </c>
      <c r="P338" s="20" t="str" cm="1">
        <f t="array" ref="P338">_xlfn.IFS(tbl_Clean[[#This Row],[Income]]&lt;=30000,"$10k-30k",tbl_Clean[[#This Row],[Income]]&lt;=60000,"$40k-60k",tbl_Clean[[#This Row],[Income]]&lt;=90000,"$70k-90k",TRUE,"$100k+")</f>
        <v>$100k+</v>
      </c>
      <c r="Q338" s="20">
        <f>_xlfn.XMATCH(tbl_Clean[[#This Row],[Income Band]],{"$10k-30k","$40k-60k","$70k-90k","$100k+"})</f>
        <v>4</v>
      </c>
      <c r="R338" s="20" t="str">
        <f>IF(tbl_Clean[[#This Row],[Cars]]&lt;=1,"0-1 Cars","2+ Cars")</f>
        <v>2+ Cars</v>
      </c>
      <c r="S338" s="20">
        <f>_xlfn.XMATCH(tbl_Clean[[#This Row],[Commute Distance]],{"0-1 Miles","1-2 Miles","2-5 Miles","5-10 Miles","10+ Miles"})</f>
        <v>4</v>
      </c>
      <c r="T338" s="20">
        <f>_xlfn.XMATCH(tbl_Clean[[#This Row],[Education]],{"Partial High School","High School","Partial College","Bachelors","Graduate Degree"})</f>
        <v>2</v>
      </c>
      <c r="U338" s="20">
        <f>IF(tbl_Clean[[#This Row],[Purchased Bike]]="Yes",1,0)</f>
        <v>1</v>
      </c>
    </row>
    <row r="339" spans="1:21" x14ac:dyDescent="0.25">
      <c r="A339" s="20">
        <v>25241</v>
      </c>
      <c r="B339" s="3" t="s">
        <v>111</v>
      </c>
      <c r="C339" s="3" t="s">
        <v>113</v>
      </c>
      <c r="D339" s="19">
        <v>90000</v>
      </c>
      <c r="E339" s="20">
        <v>2</v>
      </c>
      <c r="F339" s="3" t="s">
        <v>15</v>
      </c>
      <c r="G339" s="3" t="s">
        <v>23</v>
      </c>
      <c r="H339" s="3" t="s">
        <v>17</v>
      </c>
      <c r="I339" s="20">
        <v>1</v>
      </c>
      <c r="J339" s="3" t="s">
        <v>26</v>
      </c>
      <c r="K339" s="3" t="s">
        <v>27</v>
      </c>
      <c r="L339" s="20">
        <v>47</v>
      </c>
      <c r="M339" s="3" t="s">
        <v>20</v>
      </c>
      <c r="N339" s="20" t="str" cm="1">
        <f t="array" ref="N339">_xlfn.IFS(tbl_Clean[[#This Row],[Age]]&lt;=30,"25-30",tbl_Clean[[#This Row],[Age]]&lt;=40,"31-40",tbl_Clean[[#This Row],[Age]]&lt;=50,"41-50",tbl_Clean[[#This Row],[Age]]&lt;=60,"51-60",TRUE,"61+")</f>
        <v>41-50</v>
      </c>
      <c r="O339" s="20">
        <f>_xlfn.XMATCH(tbl_Clean[[#This Row],[Age Band]],{"25-30","31-40","41-50","51-60","61+"})</f>
        <v>3</v>
      </c>
      <c r="P339" s="20" t="str" cm="1">
        <f t="array" ref="P339">_xlfn.IFS(tbl_Clean[[#This Row],[Income]]&lt;=30000,"$10k-30k",tbl_Clean[[#This Row],[Income]]&lt;=60000,"$40k-60k",tbl_Clean[[#This Row],[Income]]&lt;=90000,"$70k-90k",TRUE,"$100k+")</f>
        <v>$70k-90k</v>
      </c>
      <c r="Q339" s="20">
        <f>_xlfn.XMATCH(tbl_Clean[[#This Row],[Income Band]],{"$10k-30k","$40k-60k","$70k-90k","$100k+"})</f>
        <v>3</v>
      </c>
      <c r="R339" s="20" t="str">
        <f>IF(tbl_Clean[[#This Row],[Cars]]&lt;=1,"0-1 Cars","2+ Cars")</f>
        <v>0-1 Cars</v>
      </c>
      <c r="S339" s="20">
        <f>_xlfn.XMATCH(tbl_Clean[[#This Row],[Commute Distance]],{"0-1 Miles","1-2 Miles","2-5 Miles","5-10 Miles","10+ Miles"})</f>
        <v>4</v>
      </c>
      <c r="T339" s="20">
        <f>_xlfn.XMATCH(tbl_Clean[[#This Row],[Education]],{"Partial High School","High School","Partial College","Bachelors","Graduate Degree"})</f>
        <v>4</v>
      </c>
      <c r="U339" s="20">
        <f>IF(tbl_Clean[[#This Row],[Purchased Bike]]="Yes",1,0)</f>
        <v>0</v>
      </c>
    </row>
    <row r="340" spans="1:21" x14ac:dyDescent="0.25">
      <c r="A340" s="20">
        <v>24369</v>
      </c>
      <c r="B340" s="3" t="s">
        <v>111</v>
      </c>
      <c r="C340" s="3" t="s">
        <v>113</v>
      </c>
      <c r="D340" s="19">
        <v>80000</v>
      </c>
      <c r="E340" s="20">
        <v>5</v>
      </c>
      <c r="F340" s="3" t="s">
        <v>34</v>
      </c>
      <c r="G340" s="3" t="s">
        <v>31</v>
      </c>
      <c r="H340" s="3" t="s">
        <v>20</v>
      </c>
      <c r="I340" s="20">
        <v>2</v>
      </c>
      <c r="J340" s="3" t="s">
        <v>18</v>
      </c>
      <c r="K340" s="3" t="s">
        <v>27</v>
      </c>
      <c r="L340" s="20">
        <v>39</v>
      </c>
      <c r="M340" s="3" t="s">
        <v>20</v>
      </c>
      <c r="N340" s="20" t="str" cm="1">
        <f t="array" ref="N340">_xlfn.IFS(tbl_Clean[[#This Row],[Age]]&lt;=30,"25-30",tbl_Clean[[#This Row],[Age]]&lt;=40,"31-40",tbl_Clean[[#This Row],[Age]]&lt;=50,"41-50",tbl_Clean[[#This Row],[Age]]&lt;=60,"51-60",TRUE,"61+")</f>
        <v>31-40</v>
      </c>
      <c r="O340" s="20">
        <f>_xlfn.XMATCH(tbl_Clean[[#This Row],[Age Band]],{"25-30","31-40","41-50","51-60","61+"})</f>
        <v>2</v>
      </c>
      <c r="P340" s="20" t="str" cm="1">
        <f t="array" ref="P340">_xlfn.IFS(tbl_Clean[[#This Row],[Income]]&lt;=30000,"$10k-30k",tbl_Clean[[#This Row],[Income]]&lt;=60000,"$40k-60k",tbl_Clean[[#This Row],[Income]]&lt;=90000,"$70k-90k",TRUE,"$100k+")</f>
        <v>$70k-90k</v>
      </c>
      <c r="Q340" s="20">
        <f>_xlfn.XMATCH(tbl_Clean[[#This Row],[Income Band]],{"$10k-30k","$40k-60k","$70k-90k","$100k+"})</f>
        <v>3</v>
      </c>
      <c r="R340" s="20" t="str">
        <f>IF(tbl_Clean[[#This Row],[Cars]]&lt;=1,"0-1 Cars","2+ Cars")</f>
        <v>2+ Cars</v>
      </c>
      <c r="S340" s="20">
        <f>_xlfn.XMATCH(tbl_Clean[[#This Row],[Commute Distance]],{"0-1 Miles","1-2 Miles","2-5 Miles","5-10 Miles","10+ Miles"})</f>
        <v>1</v>
      </c>
      <c r="T340" s="20">
        <f>_xlfn.XMATCH(tbl_Clean[[#This Row],[Education]],{"Partial High School","High School","Partial College","Bachelors","Graduate Degree"})</f>
        <v>5</v>
      </c>
      <c r="U340" s="20">
        <f>IF(tbl_Clean[[#This Row],[Purchased Bike]]="Yes",1,0)</f>
        <v>0</v>
      </c>
    </row>
    <row r="341" spans="1:21" x14ac:dyDescent="0.25">
      <c r="A341" s="20">
        <v>27165</v>
      </c>
      <c r="B341" s="3" t="s">
        <v>114</v>
      </c>
      <c r="C341" s="3" t="s">
        <v>113</v>
      </c>
      <c r="D341" s="19">
        <v>20000</v>
      </c>
      <c r="E341" s="20">
        <v>0</v>
      </c>
      <c r="F341" s="3" t="s">
        <v>32</v>
      </c>
      <c r="G341" s="3" t="s">
        <v>28</v>
      </c>
      <c r="H341" s="3" t="s">
        <v>20</v>
      </c>
      <c r="I341" s="20">
        <v>2</v>
      </c>
      <c r="J341" s="3" t="s">
        <v>18</v>
      </c>
      <c r="K341" s="3" t="s">
        <v>19</v>
      </c>
      <c r="L341" s="20">
        <v>34</v>
      </c>
      <c r="M341" s="3" t="s">
        <v>20</v>
      </c>
      <c r="N341" s="20" t="str" cm="1">
        <f t="array" ref="N341">_xlfn.IFS(tbl_Clean[[#This Row],[Age]]&lt;=30,"25-30",tbl_Clean[[#This Row],[Age]]&lt;=40,"31-40",tbl_Clean[[#This Row],[Age]]&lt;=50,"41-50",tbl_Clean[[#This Row],[Age]]&lt;=60,"51-60",TRUE,"61+")</f>
        <v>31-40</v>
      </c>
      <c r="O341" s="20">
        <f>_xlfn.XMATCH(tbl_Clean[[#This Row],[Age Band]],{"25-30","31-40","41-50","51-60","61+"})</f>
        <v>2</v>
      </c>
      <c r="P341" s="20" t="str" cm="1">
        <f t="array" ref="P341">_xlfn.IFS(tbl_Clean[[#This Row],[Income]]&lt;=30000,"$10k-30k",tbl_Clean[[#This Row],[Income]]&lt;=60000,"$40k-60k",tbl_Clean[[#This Row],[Income]]&lt;=90000,"$70k-90k",TRUE,"$100k+")</f>
        <v>$10k-30k</v>
      </c>
      <c r="Q341" s="20">
        <f>_xlfn.XMATCH(tbl_Clean[[#This Row],[Income Band]],{"$10k-30k","$40k-60k","$70k-90k","$100k+"})</f>
        <v>1</v>
      </c>
      <c r="R341" s="20" t="str">
        <f>IF(tbl_Clean[[#This Row],[Cars]]&lt;=1,"0-1 Cars","2+ Cars")</f>
        <v>2+ Cars</v>
      </c>
      <c r="S341" s="20">
        <f>_xlfn.XMATCH(tbl_Clean[[#This Row],[Commute Distance]],{"0-1 Miles","1-2 Miles","2-5 Miles","5-10 Miles","10+ Miles"})</f>
        <v>1</v>
      </c>
      <c r="T341" s="20">
        <f>_xlfn.XMATCH(tbl_Clean[[#This Row],[Education]],{"Partial High School","High School","Partial College","Bachelors","Graduate Degree"})</f>
        <v>1</v>
      </c>
      <c r="U341" s="20">
        <f>IF(tbl_Clean[[#This Row],[Purchased Bike]]="Yes",1,0)</f>
        <v>0</v>
      </c>
    </row>
    <row r="342" spans="1:21" x14ac:dyDescent="0.25">
      <c r="A342" s="20">
        <v>29424</v>
      </c>
      <c r="B342" s="3" t="s">
        <v>111</v>
      </c>
      <c r="C342" s="3" t="s">
        <v>113</v>
      </c>
      <c r="D342" s="19">
        <v>10000</v>
      </c>
      <c r="E342" s="20">
        <v>0</v>
      </c>
      <c r="F342" s="3" t="s">
        <v>32</v>
      </c>
      <c r="G342" s="3" t="s">
        <v>28</v>
      </c>
      <c r="H342" s="3" t="s">
        <v>17</v>
      </c>
      <c r="I342" s="20">
        <v>2</v>
      </c>
      <c r="J342" s="3" t="s">
        <v>18</v>
      </c>
      <c r="K342" s="3" t="s">
        <v>19</v>
      </c>
      <c r="L342" s="20">
        <v>32</v>
      </c>
      <c r="M342" s="3" t="s">
        <v>20</v>
      </c>
      <c r="N342" s="20" t="str" cm="1">
        <f t="array" ref="N342">_xlfn.IFS(tbl_Clean[[#This Row],[Age]]&lt;=30,"25-30",tbl_Clean[[#This Row],[Age]]&lt;=40,"31-40",tbl_Clean[[#This Row],[Age]]&lt;=50,"41-50",tbl_Clean[[#This Row],[Age]]&lt;=60,"51-60",TRUE,"61+")</f>
        <v>31-40</v>
      </c>
      <c r="O342" s="20">
        <f>_xlfn.XMATCH(tbl_Clean[[#This Row],[Age Band]],{"25-30","31-40","41-50","51-60","61+"})</f>
        <v>2</v>
      </c>
      <c r="P342" s="20" t="str" cm="1">
        <f t="array" ref="P342">_xlfn.IFS(tbl_Clean[[#This Row],[Income]]&lt;=30000,"$10k-30k",tbl_Clean[[#This Row],[Income]]&lt;=60000,"$40k-60k",tbl_Clean[[#This Row],[Income]]&lt;=90000,"$70k-90k",TRUE,"$100k+")</f>
        <v>$10k-30k</v>
      </c>
      <c r="Q342" s="20">
        <f>_xlfn.XMATCH(tbl_Clean[[#This Row],[Income Band]],{"$10k-30k","$40k-60k","$70k-90k","$100k+"})</f>
        <v>1</v>
      </c>
      <c r="R342" s="20" t="str">
        <f>IF(tbl_Clean[[#This Row],[Cars]]&lt;=1,"0-1 Cars","2+ Cars")</f>
        <v>2+ Cars</v>
      </c>
      <c r="S342" s="20">
        <f>_xlfn.XMATCH(tbl_Clean[[#This Row],[Commute Distance]],{"0-1 Miles","1-2 Miles","2-5 Miles","5-10 Miles","10+ Miles"})</f>
        <v>1</v>
      </c>
      <c r="T342" s="20">
        <f>_xlfn.XMATCH(tbl_Clean[[#This Row],[Education]],{"Partial High School","High School","Partial College","Bachelors","Graduate Degree"})</f>
        <v>1</v>
      </c>
      <c r="U342" s="20">
        <f>IF(tbl_Clean[[#This Row],[Purchased Bike]]="Yes",1,0)</f>
        <v>0</v>
      </c>
    </row>
    <row r="343" spans="1:21" x14ac:dyDescent="0.25">
      <c r="A343" s="20">
        <v>15926</v>
      </c>
      <c r="B343" s="3" t="s">
        <v>114</v>
      </c>
      <c r="C343" s="3" t="s">
        <v>112</v>
      </c>
      <c r="D343" s="19">
        <v>120000</v>
      </c>
      <c r="E343" s="20">
        <v>3</v>
      </c>
      <c r="F343" s="3" t="s">
        <v>30</v>
      </c>
      <c r="G343" s="3" t="s">
        <v>23</v>
      </c>
      <c r="H343" s="3" t="s">
        <v>17</v>
      </c>
      <c r="I343" s="20">
        <v>4</v>
      </c>
      <c r="J343" s="3" t="s">
        <v>26</v>
      </c>
      <c r="K343" s="3" t="s">
        <v>19</v>
      </c>
      <c r="L343" s="20">
        <v>50</v>
      </c>
      <c r="M343" s="3" t="s">
        <v>17</v>
      </c>
      <c r="N343" s="20" t="str" cm="1">
        <f t="array" ref="N343">_xlfn.IFS(tbl_Clean[[#This Row],[Age]]&lt;=30,"25-30",tbl_Clean[[#This Row],[Age]]&lt;=40,"31-40",tbl_Clean[[#This Row],[Age]]&lt;=50,"41-50",tbl_Clean[[#This Row],[Age]]&lt;=60,"51-60",TRUE,"61+")</f>
        <v>41-50</v>
      </c>
      <c r="O343" s="20">
        <f>_xlfn.XMATCH(tbl_Clean[[#This Row],[Age Band]],{"25-30","31-40","41-50","51-60","61+"})</f>
        <v>3</v>
      </c>
      <c r="P343" s="20" t="str" cm="1">
        <f t="array" ref="P343">_xlfn.IFS(tbl_Clean[[#This Row],[Income]]&lt;=30000,"$10k-30k",tbl_Clean[[#This Row],[Income]]&lt;=60000,"$40k-60k",tbl_Clean[[#This Row],[Income]]&lt;=90000,"$70k-90k",TRUE,"$100k+")</f>
        <v>$100k+</v>
      </c>
      <c r="Q343" s="20">
        <f>_xlfn.XMATCH(tbl_Clean[[#This Row],[Income Band]],{"$10k-30k","$40k-60k","$70k-90k","$100k+"})</f>
        <v>4</v>
      </c>
      <c r="R343" s="20" t="str">
        <f>IF(tbl_Clean[[#This Row],[Cars]]&lt;=1,"0-1 Cars","2+ Cars")</f>
        <v>2+ Cars</v>
      </c>
      <c r="S343" s="20">
        <f>_xlfn.XMATCH(tbl_Clean[[#This Row],[Commute Distance]],{"0-1 Miles","1-2 Miles","2-5 Miles","5-10 Miles","10+ Miles"})</f>
        <v>4</v>
      </c>
      <c r="T343" s="20">
        <f>_xlfn.XMATCH(tbl_Clean[[#This Row],[Education]],{"Partial High School","High School","Partial College","Bachelors","Graduate Degree"})</f>
        <v>2</v>
      </c>
      <c r="U343" s="20">
        <f>IF(tbl_Clean[[#This Row],[Purchased Bike]]="Yes",1,0)</f>
        <v>1</v>
      </c>
    </row>
    <row r="344" spans="1:21" x14ac:dyDescent="0.25">
      <c r="A344" s="20">
        <v>14554</v>
      </c>
      <c r="B344" s="3" t="s">
        <v>111</v>
      </c>
      <c r="C344" s="3" t="s">
        <v>113</v>
      </c>
      <c r="D344" s="19">
        <v>20000</v>
      </c>
      <c r="E344" s="20">
        <v>1</v>
      </c>
      <c r="F344" s="3" t="s">
        <v>15</v>
      </c>
      <c r="G344" s="3" t="s">
        <v>22</v>
      </c>
      <c r="H344" s="3" t="s">
        <v>17</v>
      </c>
      <c r="I344" s="20">
        <v>0</v>
      </c>
      <c r="J344" s="3" t="s">
        <v>18</v>
      </c>
      <c r="K344" s="3" t="s">
        <v>19</v>
      </c>
      <c r="L344" s="20">
        <v>66</v>
      </c>
      <c r="M344" s="3" t="s">
        <v>20</v>
      </c>
      <c r="N344" s="20" t="str" cm="1">
        <f t="array" ref="N344">_xlfn.IFS(tbl_Clean[[#This Row],[Age]]&lt;=30,"25-30",tbl_Clean[[#This Row],[Age]]&lt;=40,"31-40",tbl_Clean[[#This Row],[Age]]&lt;=50,"41-50",tbl_Clean[[#This Row],[Age]]&lt;=60,"51-60",TRUE,"61+")</f>
        <v>61+</v>
      </c>
      <c r="O344" s="20">
        <f>_xlfn.XMATCH(tbl_Clean[[#This Row],[Age Band]],{"25-30","31-40","41-50","51-60","61+"})</f>
        <v>5</v>
      </c>
      <c r="P344" s="20" t="str" cm="1">
        <f t="array" ref="P344">_xlfn.IFS(tbl_Clean[[#This Row],[Income]]&lt;=30000,"$10k-30k",tbl_Clean[[#This Row],[Income]]&lt;=60000,"$40k-60k",tbl_Clean[[#This Row],[Income]]&lt;=90000,"$70k-90k",TRUE,"$100k+")</f>
        <v>$10k-30k</v>
      </c>
      <c r="Q344" s="20">
        <f>_xlfn.XMATCH(tbl_Clean[[#This Row],[Income Band]],{"$10k-30k","$40k-60k","$70k-90k","$100k+"})</f>
        <v>1</v>
      </c>
      <c r="R344" s="20" t="str">
        <f>IF(tbl_Clean[[#This Row],[Cars]]&lt;=1,"0-1 Cars","2+ Cars")</f>
        <v>0-1 Cars</v>
      </c>
      <c r="S344" s="20">
        <f>_xlfn.XMATCH(tbl_Clean[[#This Row],[Commute Distance]],{"0-1 Miles","1-2 Miles","2-5 Miles","5-10 Miles","10+ Miles"})</f>
        <v>1</v>
      </c>
      <c r="T344" s="20">
        <f>_xlfn.XMATCH(tbl_Clean[[#This Row],[Education]],{"Partial High School","High School","Partial College","Bachelors","Graduate Degree"})</f>
        <v>4</v>
      </c>
      <c r="U344" s="20">
        <f>IF(tbl_Clean[[#This Row],[Purchased Bike]]="Yes",1,0)</f>
        <v>0</v>
      </c>
    </row>
    <row r="345" spans="1:21" x14ac:dyDescent="0.25">
      <c r="A345" s="20">
        <v>16468</v>
      </c>
      <c r="B345" s="3" t="s">
        <v>114</v>
      </c>
      <c r="C345" s="3" t="s">
        <v>113</v>
      </c>
      <c r="D345" s="19">
        <v>30000</v>
      </c>
      <c r="E345" s="20">
        <v>0</v>
      </c>
      <c r="F345" s="3" t="s">
        <v>21</v>
      </c>
      <c r="G345" s="3" t="s">
        <v>22</v>
      </c>
      <c r="H345" s="3" t="s">
        <v>17</v>
      </c>
      <c r="I345" s="20">
        <v>1</v>
      </c>
      <c r="J345" s="3" t="s">
        <v>24</v>
      </c>
      <c r="K345" s="3" t="s">
        <v>19</v>
      </c>
      <c r="L345" s="20">
        <v>30</v>
      </c>
      <c r="M345" s="3" t="s">
        <v>20</v>
      </c>
      <c r="N345" s="20" t="str" cm="1">
        <f t="array" ref="N345">_xlfn.IFS(tbl_Clean[[#This Row],[Age]]&lt;=30,"25-30",tbl_Clean[[#This Row],[Age]]&lt;=40,"31-40",tbl_Clean[[#This Row],[Age]]&lt;=50,"41-50",tbl_Clean[[#This Row],[Age]]&lt;=60,"51-60",TRUE,"61+")</f>
        <v>25-30</v>
      </c>
      <c r="O345" s="20">
        <f>_xlfn.XMATCH(tbl_Clean[[#This Row],[Age Band]],{"25-30","31-40","41-50","51-60","61+"})</f>
        <v>1</v>
      </c>
      <c r="P345" s="20" t="str" cm="1">
        <f t="array" ref="P345">_xlfn.IFS(tbl_Clean[[#This Row],[Income]]&lt;=30000,"$10k-30k",tbl_Clean[[#This Row],[Income]]&lt;=60000,"$40k-60k",tbl_Clean[[#This Row],[Income]]&lt;=90000,"$70k-90k",TRUE,"$100k+")</f>
        <v>$10k-30k</v>
      </c>
      <c r="Q345" s="20">
        <f>_xlfn.XMATCH(tbl_Clean[[#This Row],[Income Band]],{"$10k-30k","$40k-60k","$70k-90k","$100k+"})</f>
        <v>1</v>
      </c>
      <c r="R345" s="20" t="str">
        <f>IF(tbl_Clean[[#This Row],[Cars]]&lt;=1,"0-1 Cars","2+ Cars")</f>
        <v>0-1 Cars</v>
      </c>
      <c r="S345" s="20">
        <f>_xlfn.XMATCH(tbl_Clean[[#This Row],[Commute Distance]],{"0-1 Miles","1-2 Miles","2-5 Miles","5-10 Miles","10+ Miles"})</f>
        <v>3</v>
      </c>
      <c r="T345" s="20">
        <f>_xlfn.XMATCH(tbl_Clean[[#This Row],[Education]],{"Partial High School","High School","Partial College","Bachelors","Graduate Degree"})</f>
        <v>3</v>
      </c>
      <c r="U345" s="20">
        <f>IF(tbl_Clean[[#This Row],[Purchased Bike]]="Yes",1,0)</f>
        <v>0</v>
      </c>
    </row>
    <row r="346" spans="1:21" x14ac:dyDescent="0.25">
      <c r="A346" s="20">
        <v>19174</v>
      </c>
      <c r="B346" s="3" t="s">
        <v>114</v>
      </c>
      <c r="C346" s="3" t="s">
        <v>112</v>
      </c>
      <c r="D346" s="19">
        <v>30000</v>
      </c>
      <c r="E346" s="20">
        <v>0</v>
      </c>
      <c r="F346" s="3" t="s">
        <v>30</v>
      </c>
      <c r="G346" s="3" t="s">
        <v>28</v>
      </c>
      <c r="H346" s="3" t="s">
        <v>20</v>
      </c>
      <c r="I346" s="20">
        <v>1</v>
      </c>
      <c r="J346" s="3" t="s">
        <v>24</v>
      </c>
      <c r="K346" s="3" t="s">
        <v>19</v>
      </c>
      <c r="L346" s="20">
        <v>32</v>
      </c>
      <c r="M346" s="3" t="s">
        <v>17</v>
      </c>
      <c r="N346" s="20" t="str" cm="1">
        <f t="array" ref="N346">_xlfn.IFS(tbl_Clean[[#This Row],[Age]]&lt;=30,"25-30",tbl_Clean[[#This Row],[Age]]&lt;=40,"31-40",tbl_Clean[[#This Row],[Age]]&lt;=50,"41-50",tbl_Clean[[#This Row],[Age]]&lt;=60,"51-60",TRUE,"61+")</f>
        <v>31-40</v>
      </c>
      <c r="O346" s="20">
        <f>_xlfn.XMATCH(tbl_Clean[[#This Row],[Age Band]],{"25-30","31-40","41-50","51-60","61+"})</f>
        <v>2</v>
      </c>
      <c r="P346" s="20" t="str" cm="1">
        <f t="array" ref="P346">_xlfn.IFS(tbl_Clean[[#This Row],[Income]]&lt;=30000,"$10k-30k",tbl_Clean[[#This Row],[Income]]&lt;=60000,"$40k-60k",tbl_Clean[[#This Row],[Income]]&lt;=90000,"$70k-90k",TRUE,"$100k+")</f>
        <v>$10k-30k</v>
      </c>
      <c r="Q346" s="20">
        <f>_xlfn.XMATCH(tbl_Clean[[#This Row],[Income Band]],{"$10k-30k","$40k-60k","$70k-90k","$100k+"})</f>
        <v>1</v>
      </c>
      <c r="R346" s="20" t="str">
        <f>IF(tbl_Clean[[#This Row],[Cars]]&lt;=1,"0-1 Cars","2+ Cars")</f>
        <v>0-1 Cars</v>
      </c>
      <c r="S346" s="20">
        <f>_xlfn.XMATCH(tbl_Clean[[#This Row],[Commute Distance]],{"0-1 Miles","1-2 Miles","2-5 Miles","5-10 Miles","10+ Miles"})</f>
        <v>3</v>
      </c>
      <c r="T346" s="20">
        <f>_xlfn.XMATCH(tbl_Clean[[#This Row],[Education]],{"Partial High School","High School","Partial College","Bachelors","Graduate Degree"})</f>
        <v>2</v>
      </c>
      <c r="U346" s="20">
        <f>IF(tbl_Clean[[#This Row],[Purchased Bike]]="Yes",1,0)</f>
        <v>1</v>
      </c>
    </row>
    <row r="347" spans="1:21" x14ac:dyDescent="0.25">
      <c r="A347" s="20">
        <v>19183</v>
      </c>
      <c r="B347" s="3" t="s">
        <v>114</v>
      </c>
      <c r="C347" s="3" t="s">
        <v>113</v>
      </c>
      <c r="D347" s="19">
        <v>10000</v>
      </c>
      <c r="E347" s="20">
        <v>0</v>
      </c>
      <c r="F347" s="3" t="s">
        <v>32</v>
      </c>
      <c r="G347" s="3" t="s">
        <v>28</v>
      </c>
      <c r="H347" s="3" t="s">
        <v>17</v>
      </c>
      <c r="I347" s="20">
        <v>2</v>
      </c>
      <c r="J347" s="3" t="s">
        <v>29</v>
      </c>
      <c r="K347" s="3" t="s">
        <v>19</v>
      </c>
      <c r="L347" s="20">
        <v>35</v>
      </c>
      <c r="M347" s="3" t="s">
        <v>20</v>
      </c>
      <c r="N347" s="20" t="str" cm="1">
        <f t="array" ref="N347">_xlfn.IFS(tbl_Clean[[#This Row],[Age]]&lt;=30,"25-30",tbl_Clean[[#This Row],[Age]]&lt;=40,"31-40",tbl_Clean[[#This Row],[Age]]&lt;=50,"41-50",tbl_Clean[[#This Row],[Age]]&lt;=60,"51-60",TRUE,"61+")</f>
        <v>31-40</v>
      </c>
      <c r="O347" s="20">
        <f>_xlfn.XMATCH(tbl_Clean[[#This Row],[Age Band]],{"25-30","31-40","41-50","51-60","61+"})</f>
        <v>2</v>
      </c>
      <c r="P347" s="20" t="str" cm="1">
        <f t="array" ref="P347">_xlfn.IFS(tbl_Clean[[#This Row],[Income]]&lt;=30000,"$10k-30k",tbl_Clean[[#This Row],[Income]]&lt;=60000,"$40k-60k",tbl_Clean[[#This Row],[Income]]&lt;=90000,"$70k-90k",TRUE,"$100k+")</f>
        <v>$10k-30k</v>
      </c>
      <c r="Q347" s="20">
        <f>_xlfn.XMATCH(tbl_Clean[[#This Row],[Income Band]],{"$10k-30k","$40k-60k","$70k-90k","$100k+"})</f>
        <v>1</v>
      </c>
      <c r="R347" s="20" t="str">
        <f>IF(tbl_Clean[[#This Row],[Cars]]&lt;=1,"0-1 Cars","2+ Cars")</f>
        <v>2+ Cars</v>
      </c>
      <c r="S347" s="20">
        <f>_xlfn.XMATCH(tbl_Clean[[#This Row],[Commute Distance]],{"0-1 Miles","1-2 Miles","2-5 Miles","5-10 Miles","10+ Miles"})</f>
        <v>2</v>
      </c>
      <c r="T347" s="20">
        <f>_xlfn.XMATCH(tbl_Clean[[#This Row],[Education]],{"Partial High School","High School","Partial College","Bachelors","Graduate Degree"})</f>
        <v>1</v>
      </c>
      <c r="U347" s="20">
        <f>IF(tbl_Clean[[#This Row],[Purchased Bike]]="Yes",1,0)</f>
        <v>0</v>
      </c>
    </row>
    <row r="348" spans="1:21" x14ac:dyDescent="0.25">
      <c r="A348" s="20">
        <v>13683</v>
      </c>
      <c r="B348" s="3" t="s">
        <v>114</v>
      </c>
      <c r="C348" s="3" t="s">
        <v>112</v>
      </c>
      <c r="D348" s="19">
        <v>30000</v>
      </c>
      <c r="E348" s="20">
        <v>0</v>
      </c>
      <c r="F348" s="3" t="s">
        <v>30</v>
      </c>
      <c r="G348" s="3" t="s">
        <v>28</v>
      </c>
      <c r="H348" s="3" t="s">
        <v>20</v>
      </c>
      <c r="I348" s="20">
        <v>1</v>
      </c>
      <c r="J348" s="3" t="s">
        <v>24</v>
      </c>
      <c r="K348" s="3" t="s">
        <v>19</v>
      </c>
      <c r="L348" s="20">
        <v>32</v>
      </c>
      <c r="M348" s="3" t="s">
        <v>20</v>
      </c>
      <c r="N348" s="20" t="str" cm="1">
        <f t="array" ref="N348">_xlfn.IFS(tbl_Clean[[#This Row],[Age]]&lt;=30,"25-30",tbl_Clean[[#This Row],[Age]]&lt;=40,"31-40",tbl_Clean[[#This Row],[Age]]&lt;=50,"41-50",tbl_Clean[[#This Row],[Age]]&lt;=60,"51-60",TRUE,"61+")</f>
        <v>31-40</v>
      </c>
      <c r="O348" s="20">
        <f>_xlfn.XMATCH(tbl_Clean[[#This Row],[Age Band]],{"25-30","31-40","41-50","51-60","61+"})</f>
        <v>2</v>
      </c>
      <c r="P348" s="20" t="str" cm="1">
        <f t="array" ref="P348">_xlfn.IFS(tbl_Clean[[#This Row],[Income]]&lt;=30000,"$10k-30k",tbl_Clean[[#This Row],[Income]]&lt;=60000,"$40k-60k",tbl_Clean[[#This Row],[Income]]&lt;=90000,"$70k-90k",TRUE,"$100k+")</f>
        <v>$10k-30k</v>
      </c>
      <c r="Q348" s="20">
        <f>_xlfn.XMATCH(tbl_Clean[[#This Row],[Income Band]],{"$10k-30k","$40k-60k","$70k-90k","$100k+"})</f>
        <v>1</v>
      </c>
      <c r="R348" s="20" t="str">
        <f>IF(tbl_Clean[[#This Row],[Cars]]&lt;=1,"0-1 Cars","2+ Cars")</f>
        <v>0-1 Cars</v>
      </c>
      <c r="S348" s="20">
        <f>_xlfn.XMATCH(tbl_Clean[[#This Row],[Commute Distance]],{"0-1 Miles","1-2 Miles","2-5 Miles","5-10 Miles","10+ Miles"})</f>
        <v>3</v>
      </c>
      <c r="T348" s="20">
        <f>_xlfn.XMATCH(tbl_Clean[[#This Row],[Education]],{"Partial High School","High School","Partial College","Bachelors","Graduate Degree"})</f>
        <v>2</v>
      </c>
      <c r="U348" s="20">
        <f>IF(tbl_Clean[[#This Row],[Purchased Bike]]="Yes",1,0)</f>
        <v>0</v>
      </c>
    </row>
    <row r="349" spans="1:21" x14ac:dyDescent="0.25">
      <c r="A349" s="20">
        <v>17848</v>
      </c>
      <c r="B349" s="3" t="s">
        <v>114</v>
      </c>
      <c r="C349" s="3" t="s">
        <v>113</v>
      </c>
      <c r="D349" s="19">
        <v>30000</v>
      </c>
      <c r="E349" s="20">
        <v>0</v>
      </c>
      <c r="F349" s="3" t="s">
        <v>21</v>
      </c>
      <c r="G349" s="3" t="s">
        <v>22</v>
      </c>
      <c r="H349" s="3" t="s">
        <v>20</v>
      </c>
      <c r="I349" s="20">
        <v>1</v>
      </c>
      <c r="J349" s="3" t="s">
        <v>24</v>
      </c>
      <c r="K349" s="3" t="s">
        <v>19</v>
      </c>
      <c r="L349" s="20">
        <v>31</v>
      </c>
      <c r="M349" s="3" t="s">
        <v>17</v>
      </c>
      <c r="N349" s="20" t="str" cm="1">
        <f t="array" ref="N349">_xlfn.IFS(tbl_Clean[[#This Row],[Age]]&lt;=30,"25-30",tbl_Clean[[#This Row],[Age]]&lt;=40,"31-40",tbl_Clean[[#This Row],[Age]]&lt;=50,"41-50",tbl_Clean[[#This Row],[Age]]&lt;=60,"51-60",TRUE,"61+")</f>
        <v>31-40</v>
      </c>
      <c r="O349" s="20">
        <f>_xlfn.XMATCH(tbl_Clean[[#This Row],[Age Band]],{"25-30","31-40","41-50","51-60","61+"})</f>
        <v>2</v>
      </c>
      <c r="P349" s="20" t="str" cm="1">
        <f t="array" ref="P349">_xlfn.IFS(tbl_Clean[[#This Row],[Income]]&lt;=30000,"$10k-30k",tbl_Clean[[#This Row],[Income]]&lt;=60000,"$40k-60k",tbl_Clean[[#This Row],[Income]]&lt;=90000,"$70k-90k",TRUE,"$100k+")</f>
        <v>$10k-30k</v>
      </c>
      <c r="Q349" s="20">
        <f>_xlfn.XMATCH(tbl_Clean[[#This Row],[Income Band]],{"$10k-30k","$40k-60k","$70k-90k","$100k+"})</f>
        <v>1</v>
      </c>
      <c r="R349" s="20" t="str">
        <f>IF(tbl_Clean[[#This Row],[Cars]]&lt;=1,"0-1 Cars","2+ Cars")</f>
        <v>0-1 Cars</v>
      </c>
      <c r="S349" s="20">
        <f>_xlfn.XMATCH(tbl_Clean[[#This Row],[Commute Distance]],{"0-1 Miles","1-2 Miles","2-5 Miles","5-10 Miles","10+ Miles"})</f>
        <v>3</v>
      </c>
      <c r="T349" s="20">
        <f>_xlfn.XMATCH(tbl_Clean[[#This Row],[Education]],{"Partial High School","High School","Partial College","Bachelors","Graduate Degree"})</f>
        <v>3</v>
      </c>
      <c r="U349" s="20">
        <f>IF(tbl_Clean[[#This Row],[Purchased Bike]]="Yes",1,0)</f>
        <v>1</v>
      </c>
    </row>
    <row r="350" spans="1:21" x14ac:dyDescent="0.25">
      <c r="A350" s="20">
        <v>17894</v>
      </c>
      <c r="B350" s="3" t="s">
        <v>111</v>
      </c>
      <c r="C350" s="3" t="s">
        <v>112</v>
      </c>
      <c r="D350" s="19">
        <v>20000</v>
      </c>
      <c r="E350" s="20">
        <v>1</v>
      </c>
      <c r="F350" s="3" t="s">
        <v>15</v>
      </c>
      <c r="G350" s="3" t="s">
        <v>22</v>
      </c>
      <c r="H350" s="3" t="s">
        <v>17</v>
      </c>
      <c r="I350" s="20">
        <v>0</v>
      </c>
      <c r="J350" s="3" t="s">
        <v>18</v>
      </c>
      <c r="K350" s="3" t="s">
        <v>19</v>
      </c>
      <c r="L350" s="20">
        <v>50</v>
      </c>
      <c r="M350" s="3" t="s">
        <v>17</v>
      </c>
      <c r="N350" s="20" t="str" cm="1">
        <f t="array" ref="N350">_xlfn.IFS(tbl_Clean[[#This Row],[Age]]&lt;=30,"25-30",tbl_Clean[[#This Row],[Age]]&lt;=40,"31-40",tbl_Clean[[#This Row],[Age]]&lt;=50,"41-50",tbl_Clean[[#This Row],[Age]]&lt;=60,"51-60",TRUE,"61+")</f>
        <v>41-50</v>
      </c>
      <c r="O350" s="20">
        <f>_xlfn.XMATCH(tbl_Clean[[#This Row],[Age Band]],{"25-30","31-40","41-50","51-60","61+"})</f>
        <v>3</v>
      </c>
      <c r="P350" s="20" t="str" cm="1">
        <f t="array" ref="P350">_xlfn.IFS(tbl_Clean[[#This Row],[Income]]&lt;=30000,"$10k-30k",tbl_Clean[[#This Row],[Income]]&lt;=60000,"$40k-60k",tbl_Clean[[#This Row],[Income]]&lt;=90000,"$70k-90k",TRUE,"$100k+")</f>
        <v>$10k-30k</v>
      </c>
      <c r="Q350" s="20">
        <f>_xlfn.XMATCH(tbl_Clean[[#This Row],[Income Band]],{"$10k-30k","$40k-60k","$70k-90k","$100k+"})</f>
        <v>1</v>
      </c>
      <c r="R350" s="20" t="str">
        <f>IF(tbl_Clean[[#This Row],[Cars]]&lt;=1,"0-1 Cars","2+ Cars")</f>
        <v>0-1 Cars</v>
      </c>
      <c r="S350" s="20">
        <f>_xlfn.XMATCH(tbl_Clean[[#This Row],[Commute Distance]],{"0-1 Miles","1-2 Miles","2-5 Miles","5-10 Miles","10+ Miles"})</f>
        <v>1</v>
      </c>
      <c r="T350" s="20">
        <f>_xlfn.XMATCH(tbl_Clean[[#This Row],[Education]],{"Partial High School","High School","Partial College","Bachelors","Graduate Degree"})</f>
        <v>4</v>
      </c>
      <c r="U350" s="20">
        <f>IF(tbl_Clean[[#This Row],[Purchased Bike]]="Yes",1,0)</f>
        <v>1</v>
      </c>
    </row>
    <row r="351" spans="1:21" x14ac:dyDescent="0.25">
      <c r="A351" s="20">
        <v>25651</v>
      </c>
      <c r="B351" s="3" t="s">
        <v>111</v>
      </c>
      <c r="C351" s="3" t="s">
        <v>113</v>
      </c>
      <c r="D351" s="19">
        <v>40000</v>
      </c>
      <c r="E351" s="20">
        <v>1</v>
      </c>
      <c r="F351" s="3" t="s">
        <v>15</v>
      </c>
      <c r="G351" s="3" t="s">
        <v>16</v>
      </c>
      <c r="H351" s="3" t="s">
        <v>20</v>
      </c>
      <c r="I351" s="20">
        <v>0</v>
      </c>
      <c r="J351" s="3" t="s">
        <v>18</v>
      </c>
      <c r="K351" s="3" t="s">
        <v>19</v>
      </c>
      <c r="L351" s="20">
        <v>43</v>
      </c>
      <c r="M351" s="3" t="s">
        <v>17</v>
      </c>
      <c r="N351" s="20" t="str" cm="1">
        <f t="array" ref="N351">_xlfn.IFS(tbl_Clean[[#This Row],[Age]]&lt;=30,"25-30",tbl_Clean[[#This Row],[Age]]&lt;=40,"31-40",tbl_Clean[[#This Row],[Age]]&lt;=50,"41-50",tbl_Clean[[#This Row],[Age]]&lt;=60,"51-60",TRUE,"61+")</f>
        <v>41-50</v>
      </c>
      <c r="O351" s="20">
        <f>_xlfn.XMATCH(tbl_Clean[[#This Row],[Age Band]],{"25-30","31-40","41-50","51-60","61+"})</f>
        <v>3</v>
      </c>
      <c r="P351" s="20" t="str" cm="1">
        <f t="array" ref="P351">_xlfn.IFS(tbl_Clean[[#This Row],[Income]]&lt;=30000,"$10k-30k",tbl_Clean[[#This Row],[Income]]&lt;=60000,"$40k-60k",tbl_Clean[[#This Row],[Income]]&lt;=90000,"$70k-90k",TRUE,"$100k+")</f>
        <v>$40k-60k</v>
      </c>
      <c r="Q351" s="20">
        <f>_xlfn.XMATCH(tbl_Clean[[#This Row],[Income Band]],{"$10k-30k","$40k-60k","$70k-90k","$100k+"})</f>
        <v>2</v>
      </c>
      <c r="R351" s="20" t="str">
        <f>IF(tbl_Clean[[#This Row],[Cars]]&lt;=1,"0-1 Cars","2+ Cars")</f>
        <v>0-1 Cars</v>
      </c>
      <c r="S351" s="20">
        <f>_xlfn.XMATCH(tbl_Clean[[#This Row],[Commute Distance]],{"0-1 Miles","1-2 Miles","2-5 Miles","5-10 Miles","10+ Miles"})</f>
        <v>1</v>
      </c>
      <c r="T351" s="20">
        <f>_xlfn.XMATCH(tbl_Clean[[#This Row],[Education]],{"Partial High School","High School","Partial College","Bachelors","Graduate Degree"})</f>
        <v>4</v>
      </c>
      <c r="U351" s="20">
        <f>IF(tbl_Clean[[#This Row],[Purchased Bike]]="Yes",1,0)</f>
        <v>1</v>
      </c>
    </row>
    <row r="352" spans="1:21" x14ac:dyDescent="0.25">
      <c r="A352" s="20">
        <v>22936</v>
      </c>
      <c r="B352" s="3" t="s">
        <v>114</v>
      </c>
      <c r="C352" s="3" t="s">
        <v>112</v>
      </c>
      <c r="D352" s="19">
        <v>60000</v>
      </c>
      <c r="E352" s="20">
        <v>1</v>
      </c>
      <c r="F352" s="3" t="s">
        <v>21</v>
      </c>
      <c r="G352" s="3" t="s">
        <v>16</v>
      </c>
      <c r="H352" s="3" t="s">
        <v>20</v>
      </c>
      <c r="I352" s="20">
        <v>1</v>
      </c>
      <c r="J352" s="3" t="s">
        <v>18</v>
      </c>
      <c r="K352" s="3" t="s">
        <v>27</v>
      </c>
      <c r="L352" s="20">
        <v>45</v>
      </c>
      <c r="M352" s="3" t="s">
        <v>17</v>
      </c>
      <c r="N352" s="20" t="str" cm="1">
        <f t="array" ref="N352">_xlfn.IFS(tbl_Clean[[#This Row],[Age]]&lt;=30,"25-30",tbl_Clean[[#This Row],[Age]]&lt;=40,"31-40",tbl_Clean[[#This Row],[Age]]&lt;=50,"41-50",tbl_Clean[[#This Row],[Age]]&lt;=60,"51-60",TRUE,"61+")</f>
        <v>41-50</v>
      </c>
      <c r="O352" s="20">
        <f>_xlfn.XMATCH(tbl_Clean[[#This Row],[Age Band]],{"25-30","31-40","41-50","51-60","61+"})</f>
        <v>3</v>
      </c>
      <c r="P352" s="20" t="str" cm="1">
        <f t="array" ref="P352">_xlfn.IFS(tbl_Clean[[#This Row],[Income]]&lt;=30000,"$10k-30k",tbl_Clean[[#This Row],[Income]]&lt;=60000,"$40k-60k",tbl_Clean[[#This Row],[Income]]&lt;=90000,"$70k-90k",TRUE,"$100k+")</f>
        <v>$40k-60k</v>
      </c>
      <c r="Q352" s="20">
        <f>_xlfn.XMATCH(tbl_Clean[[#This Row],[Income Band]],{"$10k-30k","$40k-60k","$70k-90k","$100k+"})</f>
        <v>2</v>
      </c>
      <c r="R352" s="20" t="str">
        <f>IF(tbl_Clean[[#This Row],[Cars]]&lt;=1,"0-1 Cars","2+ Cars")</f>
        <v>0-1 Cars</v>
      </c>
      <c r="S352" s="20">
        <f>_xlfn.XMATCH(tbl_Clean[[#This Row],[Commute Distance]],{"0-1 Miles","1-2 Miles","2-5 Miles","5-10 Miles","10+ Miles"})</f>
        <v>1</v>
      </c>
      <c r="T352" s="20">
        <f>_xlfn.XMATCH(tbl_Clean[[#This Row],[Education]],{"Partial High School","High School","Partial College","Bachelors","Graduate Degree"})</f>
        <v>3</v>
      </c>
      <c r="U352" s="20">
        <f>IF(tbl_Clean[[#This Row],[Purchased Bike]]="Yes",1,0)</f>
        <v>1</v>
      </c>
    </row>
    <row r="353" spans="1:21" x14ac:dyDescent="0.25">
      <c r="A353" s="20">
        <v>23915</v>
      </c>
      <c r="B353" s="3" t="s">
        <v>111</v>
      </c>
      <c r="C353" s="3" t="s">
        <v>113</v>
      </c>
      <c r="D353" s="19">
        <v>20000</v>
      </c>
      <c r="E353" s="20">
        <v>2</v>
      </c>
      <c r="F353" s="3" t="s">
        <v>30</v>
      </c>
      <c r="G353" s="3" t="s">
        <v>28</v>
      </c>
      <c r="H353" s="3" t="s">
        <v>17</v>
      </c>
      <c r="I353" s="20">
        <v>2</v>
      </c>
      <c r="J353" s="3" t="s">
        <v>18</v>
      </c>
      <c r="K353" s="3" t="s">
        <v>19</v>
      </c>
      <c r="L353" s="20">
        <v>42</v>
      </c>
      <c r="M353" s="3" t="s">
        <v>20</v>
      </c>
      <c r="N353" s="20" t="str" cm="1">
        <f t="array" ref="N353">_xlfn.IFS(tbl_Clean[[#This Row],[Age]]&lt;=30,"25-30",tbl_Clean[[#This Row],[Age]]&lt;=40,"31-40",tbl_Clean[[#This Row],[Age]]&lt;=50,"41-50",tbl_Clean[[#This Row],[Age]]&lt;=60,"51-60",TRUE,"61+")</f>
        <v>41-50</v>
      </c>
      <c r="O353" s="20">
        <f>_xlfn.XMATCH(tbl_Clean[[#This Row],[Age Band]],{"25-30","31-40","41-50","51-60","61+"})</f>
        <v>3</v>
      </c>
      <c r="P353" s="20" t="str" cm="1">
        <f t="array" ref="P353">_xlfn.IFS(tbl_Clean[[#This Row],[Income]]&lt;=30000,"$10k-30k",tbl_Clean[[#This Row],[Income]]&lt;=60000,"$40k-60k",tbl_Clean[[#This Row],[Income]]&lt;=90000,"$70k-90k",TRUE,"$100k+")</f>
        <v>$10k-30k</v>
      </c>
      <c r="Q353" s="20">
        <f>_xlfn.XMATCH(tbl_Clean[[#This Row],[Income Band]],{"$10k-30k","$40k-60k","$70k-90k","$100k+"})</f>
        <v>1</v>
      </c>
      <c r="R353" s="20" t="str">
        <f>IF(tbl_Clean[[#This Row],[Cars]]&lt;=1,"0-1 Cars","2+ Cars")</f>
        <v>2+ Cars</v>
      </c>
      <c r="S353" s="20">
        <f>_xlfn.XMATCH(tbl_Clean[[#This Row],[Commute Distance]],{"0-1 Miles","1-2 Miles","2-5 Miles","5-10 Miles","10+ Miles"})</f>
        <v>1</v>
      </c>
      <c r="T353" s="20">
        <f>_xlfn.XMATCH(tbl_Clean[[#This Row],[Education]],{"Partial High School","High School","Partial College","Bachelors","Graduate Degree"})</f>
        <v>2</v>
      </c>
      <c r="U353" s="20">
        <f>IF(tbl_Clean[[#This Row],[Purchased Bike]]="Yes",1,0)</f>
        <v>0</v>
      </c>
    </row>
    <row r="354" spans="1:21" x14ac:dyDescent="0.25">
      <c r="A354" s="20">
        <v>24121</v>
      </c>
      <c r="B354" s="3" t="s">
        <v>114</v>
      </c>
      <c r="C354" s="3" t="s">
        <v>112</v>
      </c>
      <c r="D354" s="19">
        <v>30000</v>
      </c>
      <c r="E354" s="20">
        <v>0</v>
      </c>
      <c r="F354" s="3" t="s">
        <v>21</v>
      </c>
      <c r="G354" s="3" t="s">
        <v>22</v>
      </c>
      <c r="H354" s="3" t="s">
        <v>20</v>
      </c>
      <c r="I354" s="20">
        <v>1</v>
      </c>
      <c r="J354" s="3" t="s">
        <v>18</v>
      </c>
      <c r="K354" s="3" t="s">
        <v>19</v>
      </c>
      <c r="L354" s="20">
        <v>29</v>
      </c>
      <c r="M354" s="3" t="s">
        <v>17</v>
      </c>
      <c r="N354" s="20" t="str" cm="1">
        <f t="array" ref="N354">_xlfn.IFS(tbl_Clean[[#This Row],[Age]]&lt;=30,"25-30",tbl_Clean[[#This Row],[Age]]&lt;=40,"31-40",tbl_Clean[[#This Row],[Age]]&lt;=50,"41-50",tbl_Clean[[#This Row],[Age]]&lt;=60,"51-60",TRUE,"61+")</f>
        <v>25-30</v>
      </c>
      <c r="O354" s="20">
        <f>_xlfn.XMATCH(tbl_Clean[[#This Row],[Age Band]],{"25-30","31-40","41-50","51-60","61+"})</f>
        <v>1</v>
      </c>
      <c r="P354" s="20" t="str" cm="1">
        <f t="array" ref="P354">_xlfn.IFS(tbl_Clean[[#This Row],[Income]]&lt;=30000,"$10k-30k",tbl_Clean[[#This Row],[Income]]&lt;=60000,"$40k-60k",tbl_Clean[[#This Row],[Income]]&lt;=90000,"$70k-90k",TRUE,"$100k+")</f>
        <v>$10k-30k</v>
      </c>
      <c r="Q354" s="20">
        <f>_xlfn.XMATCH(tbl_Clean[[#This Row],[Income Band]],{"$10k-30k","$40k-60k","$70k-90k","$100k+"})</f>
        <v>1</v>
      </c>
      <c r="R354" s="20" t="str">
        <f>IF(tbl_Clean[[#This Row],[Cars]]&lt;=1,"0-1 Cars","2+ Cars")</f>
        <v>0-1 Cars</v>
      </c>
      <c r="S354" s="20">
        <f>_xlfn.XMATCH(tbl_Clean[[#This Row],[Commute Distance]],{"0-1 Miles","1-2 Miles","2-5 Miles","5-10 Miles","10+ Miles"})</f>
        <v>1</v>
      </c>
      <c r="T354" s="20">
        <f>_xlfn.XMATCH(tbl_Clean[[#This Row],[Education]],{"Partial High School","High School","Partial College","Bachelors","Graduate Degree"})</f>
        <v>3</v>
      </c>
      <c r="U354" s="20">
        <f>IF(tbl_Clean[[#This Row],[Purchased Bike]]="Yes",1,0)</f>
        <v>1</v>
      </c>
    </row>
    <row r="355" spans="1:21" x14ac:dyDescent="0.25">
      <c r="A355" s="20">
        <v>27878</v>
      </c>
      <c r="B355" s="3" t="s">
        <v>114</v>
      </c>
      <c r="C355" s="3" t="s">
        <v>113</v>
      </c>
      <c r="D355" s="19">
        <v>20000</v>
      </c>
      <c r="E355" s="20">
        <v>0</v>
      </c>
      <c r="F355" s="3" t="s">
        <v>21</v>
      </c>
      <c r="G355" s="3" t="s">
        <v>28</v>
      </c>
      <c r="H355" s="3" t="s">
        <v>20</v>
      </c>
      <c r="I355" s="20">
        <v>0</v>
      </c>
      <c r="J355" s="3" t="s">
        <v>18</v>
      </c>
      <c r="K355" s="3" t="s">
        <v>27</v>
      </c>
      <c r="L355" s="20">
        <v>28</v>
      </c>
      <c r="M355" s="3" t="s">
        <v>17</v>
      </c>
      <c r="N355" s="20" t="str" cm="1">
        <f t="array" ref="N355">_xlfn.IFS(tbl_Clean[[#This Row],[Age]]&lt;=30,"25-30",tbl_Clean[[#This Row],[Age]]&lt;=40,"31-40",tbl_Clean[[#This Row],[Age]]&lt;=50,"41-50",tbl_Clean[[#This Row],[Age]]&lt;=60,"51-60",TRUE,"61+")</f>
        <v>25-30</v>
      </c>
      <c r="O355" s="20">
        <f>_xlfn.XMATCH(tbl_Clean[[#This Row],[Age Band]],{"25-30","31-40","41-50","51-60","61+"})</f>
        <v>1</v>
      </c>
      <c r="P355" s="20" t="str" cm="1">
        <f t="array" ref="P355">_xlfn.IFS(tbl_Clean[[#This Row],[Income]]&lt;=30000,"$10k-30k",tbl_Clean[[#This Row],[Income]]&lt;=60000,"$40k-60k",tbl_Clean[[#This Row],[Income]]&lt;=90000,"$70k-90k",TRUE,"$100k+")</f>
        <v>$10k-30k</v>
      </c>
      <c r="Q355" s="20">
        <f>_xlfn.XMATCH(tbl_Clean[[#This Row],[Income Band]],{"$10k-30k","$40k-60k","$70k-90k","$100k+"})</f>
        <v>1</v>
      </c>
      <c r="R355" s="20" t="str">
        <f>IF(tbl_Clean[[#This Row],[Cars]]&lt;=1,"0-1 Cars","2+ Cars")</f>
        <v>0-1 Cars</v>
      </c>
      <c r="S355" s="20">
        <f>_xlfn.XMATCH(tbl_Clean[[#This Row],[Commute Distance]],{"0-1 Miles","1-2 Miles","2-5 Miles","5-10 Miles","10+ Miles"})</f>
        <v>1</v>
      </c>
      <c r="T355" s="20">
        <f>_xlfn.XMATCH(tbl_Clean[[#This Row],[Education]],{"Partial High School","High School","Partial College","Bachelors","Graduate Degree"})</f>
        <v>3</v>
      </c>
      <c r="U355" s="20">
        <f>IF(tbl_Clean[[#This Row],[Purchased Bike]]="Yes",1,0)</f>
        <v>1</v>
      </c>
    </row>
    <row r="356" spans="1:21" x14ac:dyDescent="0.25">
      <c r="A356" s="20">
        <v>13572</v>
      </c>
      <c r="B356" s="3" t="s">
        <v>114</v>
      </c>
      <c r="C356" s="3" t="s">
        <v>113</v>
      </c>
      <c r="D356" s="19">
        <v>10000</v>
      </c>
      <c r="E356" s="20">
        <v>3</v>
      </c>
      <c r="F356" s="3" t="s">
        <v>30</v>
      </c>
      <c r="G356" s="3" t="s">
        <v>28</v>
      </c>
      <c r="H356" s="3" t="s">
        <v>17</v>
      </c>
      <c r="I356" s="20">
        <v>0</v>
      </c>
      <c r="J356" s="3" t="s">
        <v>18</v>
      </c>
      <c r="K356" s="3" t="s">
        <v>19</v>
      </c>
      <c r="L356" s="20">
        <v>37</v>
      </c>
      <c r="M356" s="3" t="s">
        <v>17</v>
      </c>
      <c r="N356" s="20" t="str" cm="1">
        <f t="array" ref="N356">_xlfn.IFS(tbl_Clean[[#This Row],[Age]]&lt;=30,"25-30",tbl_Clean[[#This Row],[Age]]&lt;=40,"31-40",tbl_Clean[[#This Row],[Age]]&lt;=50,"41-50",tbl_Clean[[#This Row],[Age]]&lt;=60,"51-60",TRUE,"61+")</f>
        <v>31-40</v>
      </c>
      <c r="O356" s="20">
        <f>_xlfn.XMATCH(tbl_Clean[[#This Row],[Age Band]],{"25-30","31-40","41-50","51-60","61+"})</f>
        <v>2</v>
      </c>
      <c r="P356" s="20" t="str" cm="1">
        <f t="array" ref="P356">_xlfn.IFS(tbl_Clean[[#This Row],[Income]]&lt;=30000,"$10k-30k",tbl_Clean[[#This Row],[Income]]&lt;=60000,"$40k-60k",tbl_Clean[[#This Row],[Income]]&lt;=90000,"$70k-90k",TRUE,"$100k+")</f>
        <v>$10k-30k</v>
      </c>
      <c r="Q356" s="20">
        <f>_xlfn.XMATCH(tbl_Clean[[#This Row],[Income Band]],{"$10k-30k","$40k-60k","$70k-90k","$100k+"})</f>
        <v>1</v>
      </c>
      <c r="R356" s="20" t="str">
        <f>IF(tbl_Clean[[#This Row],[Cars]]&lt;=1,"0-1 Cars","2+ Cars")</f>
        <v>0-1 Cars</v>
      </c>
      <c r="S356" s="20">
        <f>_xlfn.XMATCH(tbl_Clean[[#This Row],[Commute Distance]],{"0-1 Miles","1-2 Miles","2-5 Miles","5-10 Miles","10+ Miles"})</f>
        <v>1</v>
      </c>
      <c r="T356" s="20">
        <f>_xlfn.XMATCH(tbl_Clean[[#This Row],[Education]],{"Partial High School","High School","Partial College","Bachelors","Graduate Degree"})</f>
        <v>2</v>
      </c>
      <c r="U356" s="20">
        <f>IF(tbl_Clean[[#This Row],[Purchased Bike]]="Yes",1,0)</f>
        <v>1</v>
      </c>
    </row>
    <row r="357" spans="1:21" x14ac:dyDescent="0.25">
      <c r="A357" s="20">
        <v>27941</v>
      </c>
      <c r="B357" s="3" t="s">
        <v>111</v>
      </c>
      <c r="C357" s="3" t="s">
        <v>112</v>
      </c>
      <c r="D357" s="19">
        <v>80000</v>
      </c>
      <c r="E357" s="20">
        <v>4</v>
      </c>
      <c r="F357" s="3" t="s">
        <v>21</v>
      </c>
      <c r="G357" s="3" t="s">
        <v>23</v>
      </c>
      <c r="H357" s="3" t="s">
        <v>17</v>
      </c>
      <c r="I357" s="20">
        <v>2</v>
      </c>
      <c r="J357" s="3" t="s">
        <v>24</v>
      </c>
      <c r="K357" s="3" t="s">
        <v>19</v>
      </c>
      <c r="L357" s="20">
        <v>53</v>
      </c>
      <c r="M357" s="3" t="s">
        <v>20</v>
      </c>
      <c r="N357" s="20" t="str" cm="1">
        <f t="array" ref="N357">_xlfn.IFS(tbl_Clean[[#This Row],[Age]]&lt;=30,"25-30",tbl_Clean[[#This Row],[Age]]&lt;=40,"31-40",tbl_Clean[[#This Row],[Age]]&lt;=50,"41-50",tbl_Clean[[#This Row],[Age]]&lt;=60,"51-60",TRUE,"61+")</f>
        <v>51-60</v>
      </c>
      <c r="O357" s="20">
        <f>_xlfn.XMATCH(tbl_Clean[[#This Row],[Age Band]],{"25-30","31-40","41-50","51-60","61+"})</f>
        <v>4</v>
      </c>
      <c r="P357" s="20" t="str" cm="1">
        <f t="array" ref="P357">_xlfn.IFS(tbl_Clean[[#This Row],[Income]]&lt;=30000,"$10k-30k",tbl_Clean[[#This Row],[Income]]&lt;=60000,"$40k-60k",tbl_Clean[[#This Row],[Income]]&lt;=90000,"$70k-90k",TRUE,"$100k+")</f>
        <v>$70k-90k</v>
      </c>
      <c r="Q357" s="20">
        <f>_xlfn.XMATCH(tbl_Clean[[#This Row],[Income Band]],{"$10k-30k","$40k-60k","$70k-90k","$100k+"})</f>
        <v>3</v>
      </c>
      <c r="R357" s="20" t="str">
        <f>IF(tbl_Clean[[#This Row],[Cars]]&lt;=1,"0-1 Cars","2+ Cars")</f>
        <v>2+ Cars</v>
      </c>
      <c r="S357" s="20">
        <f>_xlfn.XMATCH(tbl_Clean[[#This Row],[Commute Distance]],{"0-1 Miles","1-2 Miles","2-5 Miles","5-10 Miles","10+ Miles"})</f>
        <v>3</v>
      </c>
      <c r="T357" s="20">
        <f>_xlfn.XMATCH(tbl_Clean[[#This Row],[Education]],{"Partial High School","High School","Partial College","Bachelors","Graduate Degree"})</f>
        <v>3</v>
      </c>
      <c r="U357" s="20">
        <f>IF(tbl_Clean[[#This Row],[Purchased Bike]]="Yes",1,0)</f>
        <v>0</v>
      </c>
    </row>
    <row r="358" spans="1:21" x14ac:dyDescent="0.25">
      <c r="A358" s="20">
        <v>26354</v>
      </c>
      <c r="B358" s="3" t="s">
        <v>114</v>
      </c>
      <c r="C358" s="3" t="s">
        <v>113</v>
      </c>
      <c r="D358" s="19">
        <v>40000</v>
      </c>
      <c r="E358" s="20">
        <v>0</v>
      </c>
      <c r="F358" s="3" t="s">
        <v>34</v>
      </c>
      <c r="G358" s="3" t="s">
        <v>22</v>
      </c>
      <c r="H358" s="3" t="s">
        <v>20</v>
      </c>
      <c r="I358" s="20">
        <v>0</v>
      </c>
      <c r="J358" s="3" t="s">
        <v>18</v>
      </c>
      <c r="K358" s="3" t="s">
        <v>19</v>
      </c>
      <c r="L358" s="20">
        <v>38</v>
      </c>
      <c r="M358" s="3" t="s">
        <v>17</v>
      </c>
      <c r="N358" s="20" t="str" cm="1">
        <f t="array" ref="N358">_xlfn.IFS(tbl_Clean[[#This Row],[Age]]&lt;=30,"25-30",tbl_Clean[[#This Row],[Age]]&lt;=40,"31-40",tbl_Clean[[#This Row],[Age]]&lt;=50,"41-50",tbl_Clean[[#This Row],[Age]]&lt;=60,"51-60",TRUE,"61+")</f>
        <v>31-40</v>
      </c>
      <c r="O358" s="20">
        <f>_xlfn.XMATCH(tbl_Clean[[#This Row],[Age Band]],{"25-30","31-40","41-50","51-60","61+"})</f>
        <v>2</v>
      </c>
      <c r="P358" s="20" t="str" cm="1">
        <f t="array" ref="P358">_xlfn.IFS(tbl_Clean[[#This Row],[Income]]&lt;=30000,"$10k-30k",tbl_Clean[[#This Row],[Income]]&lt;=60000,"$40k-60k",tbl_Clean[[#This Row],[Income]]&lt;=90000,"$70k-90k",TRUE,"$100k+")</f>
        <v>$40k-60k</v>
      </c>
      <c r="Q358" s="20">
        <f>_xlfn.XMATCH(tbl_Clean[[#This Row],[Income Band]],{"$10k-30k","$40k-60k","$70k-90k","$100k+"})</f>
        <v>2</v>
      </c>
      <c r="R358" s="20" t="str">
        <f>IF(tbl_Clean[[#This Row],[Cars]]&lt;=1,"0-1 Cars","2+ Cars")</f>
        <v>0-1 Cars</v>
      </c>
      <c r="S358" s="20">
        <f>_xlfn.XMATCH(tbl_Clean[[#This Row],[Commute Distance]],{"0-1 Miles","1-2 Miles","2-5 Miles","5-10 Miles","10+ Miles"})</f>
        <v>1</v>
      </c>
      <c r="T358" s="20">
        <f>_xlfn.XMATCH(tbl_Clean[[#This Row],[Education]],{"Partial High School","High School","Partial College","Bachelors","Graduate Degree"})</f>
        <v>5</v>
      </c>
      <c r="U358" s="20">
        <f>IF(tbl_Clean[[#This Row],[Purchased Bike]]="Yes",1,0)</f>
        <v>1</v>
      </c>
    </row>
    <row r="359" spans="1:21" x14ac:dyDescent="0.25">
      <c r="A359" s="20">
        <v>14785</v>
      </c>
      <c r="B359" s="3" t="s">
        <v>114</v>
      </c>
      <c r="C359" s="3" t="s">
        <v>113</v>
      </c>
      <c r="D359" s="19">
        <v>30000</v>
      </c>
      <c r="E359" s="20">
        <v>1</v>
      </c>
      <c r="F359" s="3" t="s">
        <v>15</v>
      </c>
      <c r="G359" s="3" t="s">
        <v>22</v>
      </c>
      <c r="H359" s="3" t="s">
        <v>20</v>
      </c>
      <c r="I359" s="20">
        <v>1</v>
      </c>
      <c r="J359" s="3" t="s">
        <v>29</v>
      </c>
      <c r="K359" s="3" t="s">
        <v>19</v>
      </c>
      <c r="L359" s="20">
        <v>39</v>
      </c>
      <c r="M359" s="3" t="s">
        <v>20</v>
      </c>
      <c r="N359" s="20" t="str" cm="1">
        <f t="array" ref="N359">_xlfn.IFS(tbl_Clean[[#This Row],[Age]]&lt;=30,"25-30",tbl_Clean[[#This Row],[Age]]&lt;=40,"31-40",tbl_Clean[[#This Row],[Age]]&lt;=50,"41-50",tbl_Clean[[#This Row],[Age]]&lt;=60,"51-60",TRUE,"61+")</f>
        <v>31-40</v>
      </c>
      <c r="O359" s="20">
        <f>_xlfn.XMATCH(tbl_Clean[[#This Row],[Age Band]],{"25-30","31-40","41-50","51-60","61+"})</f>
        <v>2</v>
      </c>
      <c r="P359" s="20" t="str" cm="1">
        <f t="array" ref="P359">_xlfn.IFS(tbl_Clean[[#This Row],[Income]]&lt;=30000,"$10k-30k",tbl_Clean[[#This Row],[Income]]&lt;=60000,"$40k-60k",tbl_Clean[[#This Row],[Income]]&lt;=90000,"$70k-90k",TRUE,"$100k+")</f>
        <v>$10k-30k</v>
      </c>
      <c r="Q359" s="20">
        <f>_xlfn.XMATCH(tbl_Clean[[#This Row],[Income Band]],{"$10k-30k","$40k-60k","$70k-90k","$100k+"})</f>
        <v>1</v>
      </c>
      <c r="R359" s="20" t="str">
        <f>IF(tbl_Clean[[#This Row],[Cars]]&lt;=1,"0-1 Cars","2+ Cars")</f>
        <v>0-1 Cars</v>
      </c>
      <c r="S359" s="20">
        <f>_xlfn.XMATCH(tbl_Clean[[#This Row],[Commute Distance]],{"0-1 Miles","1-2 Miles","2-5 Miles","5-10 Miles","10+ Miles"})</f>
        <v>2</v>
      </c>
      <c r="T359" s="20">
        <f>_xlfn.XMATCH(tbl_Clean[[#This Row],[Education]],{"Partial High School","High School","Partial College","Bachelors","Graduate Degree"})</f>
        <v>4</v>
      </c>
      <c r="U359" s="20">
        <f>IF(tbl_Clean[[#This Row],[Purchased Bike]]="Yes",1,0)</f>
        <v>0</v>
      </c>
    </row>
    <row r="360" spans="1:21" x14ac:dyDescent="0.25">
      <c r="A360" s="20">
        <v>17238</v>
      </c>
      <c r="B360" s="3" t="s">
        <v>114</v>
      </c>
      <c r="C360" s="3" t="s">
        <v>113</v>
      </c>
      <c r="D360" s="19">
        <v>80000</v>
      </c>
      <c r="E360" s="20">
        <v>0</v>
      </c>
      <c r="F360" s="3" t="s">
        <v>15</v>
      </c>
      <c r="G360" s="3" t="s">
        <v>23</v>
      </c>
      <c r="H360" s="3" t="s">
        <v>17</v>
      </c>
      <c r="I360" s="20">
        <v>3</v>
      </c>
      <c r="J360" s="3" t="s">
        <v>33</v>
      </c>
      <c r="K360" s="3" t="s">
        <v>27</v>
      </c>
      <c r="L360" s="20">
        <v>32</v>
      </c>
      <c r="M360" s="3" t="s">
        <v>20</v>
      </c>
      <c r="N360" s="20" t="str" cm="1">
        <f t="array" ref="N360">_xlfn.IFS(tbl_Clean[[#This Row],[Age]]&lt;=30,"25-30",tbl_Clean[[#This Row],[Age]]&lt;=40,"31-40",tbl_Clean[[#This Row],[Age]]&lt;=50,"41-50",tbl_Clean[[#This Row],[Age]]&lt;=60,"51-60",TRUE,"61+")</f>
        <v>31-40</v>
      </c>
      <c r="O360" s="20">
        <f>_xlfn.XMATCH(tbl_Clean[[#This Row],[Age Band]],{"25-30","31-40","41-50","51-60","61+"})</f>
        <v>2</v>
      </c>
      <c r="P360" s="20" t="str" cm="1">
        <f t="array" ref="P360">_xlfn.IFS(tbl_Clean[[#This Row],[Income]]&lt;=30000,"$10k-30k",tbl_Clean[[#This Row],[Income]]&lt;=60000,"$40k-60k",tbl_Clean[[#This Row],[Income]]&lt;=90000,"$70k-90k",TRUE,"$100k+")</f>
        <v>$70k-90k</v>
      </c>
      <c r="Q360" s="20">
        <f>_xlfn.XMATCH(tbl_Clean[[#This Row],[Income Band]],{"$10k-30k","$40k-60k","$70k-90k","$100k+"})</f>
        <v>3</v>
      </c>
      <c r="R360" s="20" t="str">
        <f>IF(tbl_Clean[[#This Row],[Cars]]&lt;=1,"0-1 Cars","2+ Cars")</f>
        <v>2+ Cars</v>
      </c>
      <c r="S360" s="20">
        <f>_xlfn.XMATCH(tbl_Clean[[#This Row],[Commute Distance]],{"0-1 Miles","1-2 Miles","2-5 Miles","5-10 Miles","10+ Miles"})</f>
        <v>5</v>
      </c>
      <c r="T360" s="20">
        <f>_xlfn.XMATCH(tbl_Clean[[#This Row],[Education]],{"Partial High School","High School","Partial College","Bachelors","Graduate Degree"})</f>
        <v>4</v>
      </c>
      <c r="U360" s="20">
        <f>IF(tbl_Clean[[#This Row],[Purchased Bike]]="Yes",1,0)</f>
        <v>0</v>
      </c>
    </row>
    <row r="361" spans="1:21" x14ac:dyDescent="0.25">
      <c r="A361" s="20">
        <v>23608</v>
      </c>
      <c r="B361" s="3" t="s">
        <v>111</v>
      </c>
      <c r="C361" s="3" t="s">
        <v>112</v>
      </c>
      <c r="D361" s="19">
        <v>150000</v>
      </c>
      <c r="E361" s="20">
        <v>3</v>
      </c>
      <c r="F361" s="3" t="s">
        <v>30</v>
      </c>
      <c r="G361" s="3" t="s">
        <v>23</v>
      </c>
      <c r="H361" s="3" t="s">
        <v>17</v>
      </c>
      <c r="I361" s="20">
        <v>3</v>
      </c>
      <c r="J361" s="3" t="s">
        <v>18</v>
      </c>
      <c r="K361" s="3" t="s">
        <v>19</v>
      </c>
      <c r="L361" s="20">
        <v>51</v>
      </c>
      <c r="M361" s="3" t="s">
        <v>17</v>
      </c>
      <c r="N361" s="20" t="str" cm="1">
        <f t="array" ref="N361">_xlfn.IFS(tbl_Clean[[#This Row],[Age]]&lt;=30,"25-30",tbl_Clean[[#This Row],[Age]]&lt;=40,"31-40",tbl_Clean[[#This Row],[Age]]&lt;=50,"41-50",tbl_Clean[[#This Row],[Age]]&lt;=60,"51-60",TRUE,"61+")</f>
        <v>51-60</v>
      </c>
      <c r="O361" s="20">
        <f>_xlfn.XMATCH(tbl_Clean[[#This Row],[Age Band]],{"25-30","31-40","41-50","51-60","61+"})</f>
        <v>4</v>
      </c>
      <c r="P361" s="20" t="str" cm="1">
        <f t="array" ref="P361">_xlfn.IFS(tbl_Clean[[#This Row],[Income]]&lt;=30000,"$10k-30k",tbl_Clean[[#This Row],[Income]]&lt;=60000,"$40k-60k",tbl_Clean[[#This Row],[Income]]&lt;=90000,"$70k-90k",TRUE,"$100k+")</f>
        <v>$100k+</v>
      </c>
      <c r="Q361" s="20">
        <f>_xlfn.XMATCH(tbl_Clean[[#This Row],[Income Band]],{"$10k-30k","$40k-60k","$70k-90k","$100k+"})</f>
        <v>4</v>
      </c>
      <c r="R361" s="20" t="str">
        <f>IF(tbl_Clean[[#This Row],[Cars]]&lt;=1,"0-1 Cars","2+ Cars")</f>
        <v>2+ Cars</v>
      </c>
      <c r="S361" s="20">
        <f>_xlfn.XMATCH(tbl_Clean[[#This Row],[Commute Distance]],{"0-1 Miles","1-2 Miles","2-5 Miles","5-10 Miles","10+ Miles"})</f>
        <v>1</v>
      </c>
      <c r="T361" s="20">
        <f>_xlfn.XMATCH(tbl_Clean[[#This Row],[Education]],{"Partial High School","High School","Partial College","Bachelors","Graduate Degree"})</f>
        <v>2</v>
      </c>
      <c r="U361" s="20">
        <f>IF(tbl_Clean[[#This Row],[Purchased Bike]]="Yes",1,0)</f>
        <v>1</v>
      </c>
    </row>
    <row r="362" spans="1:21" x14ac:dyDescent="0.25">
      <c r="A362" s="20">
        <v>22538</v>
      </c>
      <c r="B362" s="3" t="s">
        <v>114</v>
      </c>
      <c r="C362" s="3" t="s">
        <v>112</v>
      </c>
      <c r="D362" s="19">
        <v>10000</v>
      </c>
      <c r="E362" s="20">
        <v>0</v>
      </c>
      <c r="F362" s="3" t="s">
        <v>32</v>
      </c>
      <c r="G362" s="3" t="s">
        <v>28</v>
      </c>
      <c r="H362" s="3" t="s">
        <v>17</v>
      </c>
      <c r="I362" s="20">
        <v>2</v>
      </c>
      <c r="J362" s="3" t="s">
        <v>29</v>
      </c>
      <c r="K362" s="3" t="s">
        <v>19</v>
      </c>
      <c r="L362" s="20">
        <v>33</v>
      </c>
      <c r="M362" s="3" t="s">
        <v>20</v>
      </c>
      <c r="N362" s="20" t="str" cm="1">
        <f t="array" ref="N362">_xlfn.IFS(tbl_Clean[[#This Row],[Age]]&lt;=30,"25-30",tbl_Clean[[#This Row],[Age]]&lt;=40,"31-40",tbl_Clean[[#This Row],[Age]]&lt;=50,"41-50",tbl_Clean[[#This Row],[Age]]&lt;=60,"51-60",TRUE,"61+")</f>
        <v>31-40</v>
      </c>
      <c r="O362" s="20">
        <f>_xlfn.XMATCH(tbl_Clean[[#This Row],[Age Band]],{"25-30","31-40","41-50","51-60","61+"})</f>
        <v>2</v>
      </c>
      <c r="P362" s="20" t="str" cm="1">
        <f t="array" ref="P362">_xlfn.IFS(tbl_Clean[[#This Row],[Income]]&lt;=30000,"$10k-30k",tbl_Clean[[#This Row],[Income]]&lt;=60000,"$40k-60k",tbl_Clean[[#This Row],[Income]]&lt;=90000,"$70k-90k",TRUE,"$100k+")</f>
        <v>$10k-30k</v>
      </c>
      <c r="Q362" s="20">
        <f>_xlfn.XMATCH(tbl_Clean[[#This Row],[Income Band]],{"$10k-30k","$40k-60k","$70k-90k","$100k+"})</f>
        <v>1</v>
      </c>
      <c r="R362" s="20" t="str">
        <f>IF(tbl_Clean[[#This Row],[Cars]]&lt;=1,"0-1 Cars","2+ Cars")</f>
        <v>2+ Cars</v>
      </c>
      <c r="S362" s="20">
        <f>_xlfn.XMATCH(tbl_Clean[[#This Row],[Commute Distance]],{"0-1 Miles","1-2 Miles","2-5 Miles","5-10 Miles","10+ Miles"})</f>
        <v>2</v>
      </c>
      <c r="T362" s="20">
        <f>_xlfn.XMATCH(tbl_Clean[[#This Row],[Education]],{"Partial High School","High School","Partial College","Bachelors","Graduate Degree"})</f>
        <v>1</v>
      </c>
      <c r="U362" s="20">
        <f>IF(tbl_Clean[[#This Row],[Purchased Bike]]="Yes",1,0)</f>
        <v>0</v>
      </c>
    </row>
    <row r="363" spans="1:21" x14ac:dyDescent="0.25">
      <c r="A363" s="20">
        <v>12332</v>
      </c>
      <c r="B363" s="3" t="s">
        <v>111</v>
      </c>
      <c r="C363" s="3" t="s">
        <v>113</v>
      </c>
      <c r="D363" s="19">
        <v>90000</v>
      </c>
      <c r="E363" s="20">
        <v>4</v>
      </c>
      <c r="F363" s="3" t="s">
        <v>30</v>
      </c>
      <c r="G363" s="3" t="s">
        <v>31</v>
      </c>
      <c r="H363" s="3" t="s">
        <v>17</v>
      </c>
      <c r="I363" s="20">
        <v>3</v>
      </c>
      <c r="J363" s="3" t="s">
        <v>26</v>
      </c>
      <c r="K363" s="3" t="s">
        <v>19</v>
      </c>
      <c r="L363" s="20">
        <v>58</v>
      </c>
      <c r="M363" s="3" t="s">
        <v>17</v>
      </c>
      <c r="N363" s="20" t="str" cm="1">
        <f t="array" ref="N363">_xlfn.IFS(tbl_Clean[[#This Row],[Age]]&lt;=30,"25-30",tbl_Clean[[#This Row],[Age]]&lt;=40,"31-40",tbl_Clean[[#This Row],[Age]]&lt;=50,"41-50",tbl_Clean[[#This Row],[Age]]&lt;=60,"51-60",TRUE,"61+")</f>
        <v>51-60</v>
      </c>
      <c r="O363" s="20">
        <f>_xlfn.XMATCH(tbl_Clean[[#This Row],[Age Band]],{"25-30","31-40","41-50","51-60","61+"})</f>
        <v>4</v>
      </c>
      <c r="P363" s="20" t="str" cm="1">
        <f t="array" ref="P363">_xlfn.IFS(tbl_Clean[[#This Row],[Income]]&lt;=30000,"$10k-30k",tbl_Clean[[#This Row],[Income]]&lt;=60000,"$40k-60k",tbl_Clean[[#This Row],[Income]]&lt;=90000,"$70k-90k",TRUE,"$100k+")</f>
        <v>$70k-90k</v>
      </c>
      <c r="Q363" s="20">
        <f>_xlfn.XMATCH(tbl_Clean[[#This Row],[Income Band]],{"$10k-30k","$40k-60k","$70k-90k","$100k+"})</f>
        <v>3</v>
      </c>
      <c r="R363" s="20" t="str">
        <f>IF(tbl_Clean[[#This Row],[Cars]]&lt;=1,"0-1 Cars","2+ Cars")</f>
        <v>2+ Cars</v>
      </c>
      <c r="S363" s="20">
        <f>_xlfn.XMATCH(tbl_Clean[[#This Row],[Commute Distance]],{"0-1 Miles","1-2 Miles","2-5 Miles","5-10 Miles","10+ Miles"})</f>
        <v>4</v>
      </c>
      <c r="T363" s="20">
        <f>_xlfn.XMATCH(tbl_Clean[[#This Row],[Education]],{"Partial High School","High School","Partial College","Bachelors","Graduate Degree"})</f>
        <v>2</v>
      </c>
      <c r="U363" s="20">
        <f>IF(tbl_Clean[[#This Row],[Purchased Bike]]="Yes",1,0)</f>
        <v>1</v>
      </c>
    </row>
    <row r="364" spans="1:21" x14ac:dyDescent="0.25">
      <c r="A364" s="20">
        <v>17230</v>
      </c>
      <c r="B364" s="3" t="s">
        <v>111</v>
      </c>
      <c r="C364" s="3" t="s">
        <v>113</v>
      </c>
      <c r="D364" s="19">
        <v>80000</v>
      </c>
      <c r="E364" s="20">
        <v>0</v>
      </c>
      <c r="F364" s="3" t="s">
        <v>15</v>
      </c>
      <c r="G364" s="3" t="s">
        <v>23</v>
      </c>
      <c r="H364" s="3" t="s">
        <v>17</v>
      </c>
      <c r="I364" s="20">
        <v>3</v>
      </c>
      <c r="J364" s="3" t="s">
        <v>33</v>
      </c>
      <c r="K364" s="3" t="s">
        <v>27</v>
      </c>
      <c r="L364" s="20">
        <v>30</v>
      </c>
      <c r="M364" s="3" t="s">
        <v>20</v>
      </c>
      <c r="N364" s="20" t="str" cm="1">
        <f t="array" ref="N364">_xlfn.IFS(tbl_Clean[[#This Row],[Age]]&lt;=30,"25-30",tbl_Clean[[#This Row],[Age]]&lt;=40,"31-40",tbl_Clean[[#This Row],[Age]]&lt;=50,"41-50",tbl_Clean[[#This Row],[Age]]&lt;=60,"51-60",TRUE,"61+")</f>
        <v>25-30</v>
      </c>
      <c r="O364" s="20">
        <f>_xlfn.XMATCH(tbl_Clean[[#This Row],[Age Band]],{"25-30","31-40","41-50","51-60","61+"})</f>
        <v>1</v>
      </c>
      <c r="P364" s="20" t="str" cm="1">
        <f t="array" ref="P364">_xlfn.IFS(tbl_Clean[[#This Row],[Income]]&lt;=30000,"$10k-30k",tbl_Clean[[#This Row],[Income]]&lt;=60000,"$40k-60k",tbl_Clean[[#This Row],[Income]]&lt;=90000,"$70k-90k",TRUE,"$100k+")</f>
        <v>$70k-90k</v>
      </c>
      <c r="Q364" s="20">
        <f>_xlfn.XMATCH(tbl_Clean[[#This Row],[Income Band]],{"$10k-30k","$40k-60k","$70k-90k","$100k+"})</f>
        <v>3</v>
      </c>
      <c r="R364" s="20" t="str">
        <f>IF(tbl_Clean[[#This Row],[Cars]]&lt;=1,"0-1 Cars","2+ Cars")</f>
        <v>2+ Cars</v>
      </c>
      <c r="S364" s="20">
        <f>_xlfn.XMATCH(tbl_Clean[[#This Row],[Commute Distance]],{"0-1 Miles","1-2 Miles","2-5 Miles","5-10 Miles","10+ Miles"})</f>
        <v>5</v>
      </c>
      <c r="T364" s="20">
        <f>_xlfn.XMATCH(tbl_Clean[[#This Row],[Education]],{"Partial High School","High School","Partial College","Bachelors","Graduate Degree"})</f>
        <v>4</v>
      </c>
      <c r="U364" s="20">
        <f>IF(tbl_Clean[[#This Row],[Purchased Bike]]="Yes",1,0)</f>
        <v>0</v>
      </c>
    </row>
    <row r="365" spans="1:21" x14ac:dyDescent="0.25">
      <c r="A365" s="20">
        <v>13082</v>
      </c>
      <c r="B365" s="3" t="s">
        <v>114</v>
      </c>
      <c r="C365" s="3" t="s">
        <v>113</v>
      </c>
      <c r="D365" s="19">
        <v>130000</v>
      </c>
      <c r="E365" s="20">
        <v>0</v>
      </c>
      <c r="F365" s="3" t="s">
        <v>34</v>
      </c>
      <c r="G365" s="3" t="s">
        <v>31</v>
      </c>
      <c r="H365" s="3" t="s">
        <v>17</v>
      </c>
      <c r="I365" s="20">
        <v>0</v>
      </c>
      <c r="J365" s="3" t="s">
        <v>24</v>
      </c>
      <c r="K365" s="3" t="s">
        <v>27</v>
      </c>
      <c r="L365" s="20">
        <v>48</v>
      </c>
      <c r="M365" s="3" t="s">
        <v>17</v>
      </c>
      <c r="N365" s="20" t="str" cm="1">
        <f t="array" ref="N365">_xlfn.IFS(tbl_Clean[[#This Row],[Age]]&lt;=30,"25-30",tbl_Clean[[#This Row],[Age]]&lt;=40,"31-40",tbl_Clean[[#This Row],[Age]]&lt;=50,"41-50",tbl_Clean[[#This Row],[Age]]&lt;=60,"51-60",TRUE,"61+")</f>
        <v>41-50</v>
      </c>
      <c r="O365" s="20">
        <f>_xlfn.XMATCH(tbl_Clean[[#This Row],[Age Band]],{"25-30","31-40","41-50","51-60","61+"})</f>
        <v>3</v>
      </c>
      <c r="P365" s="20" t="str" cm="1">
        <f t="array" ref="P365">_xlfn.IFS(tbl_Clean[[#This Row],[Income]]&lt;=30000,"$10k-30k",tbl_Clean[[#This Row],[Income]]&lt;=60000,"$40k-60k",tbl_Clean[[#This Row],[Income]]&lt;=90000,"$70k-90k",TRUE,"$100k+")</f>
        <v>$100k+</v>
      </c>
      <c r="Q365" s="20">
        <f>_xlfn.XMATCH(tbl_Clean[[#This Row],[Income Band]],{"$10k-30k","$40k-60k","$70k-90k","$100k+"})</f>
        <v>4</v>
      </c>
      <c r="R365" s="20" t="str">
        <f>IF(tbl_Clean[[#This Row],[Cars]]&lt;=1,"0-1 Cars","2+ Cars")</f>
        <v>0-1 Cars</v>
      </c>
      <c r="S365" s="20">
        <f>_xlfn.XMATCH(tbl_Clean[[#This Row],[Commute Distance]],{"0-1 Miles","1-2 Miles","2-5 Miles","5-10 Miles","10+ Miles"})</f>
        <v>3</v>
      </c>
      <c r="T365" s="20">
        <f>_xlfn.XMATCH(tbl_Clean[[#This Row],[Education]],{"Partial High School","High School","Partial College","Bachelors","Graduate Degree"})</f>
        <v>5</v>
      </c>
      <c r="U365" s="20">
        <f>IF(tbl_Clean[[#This Row],[Purchased Bike]]="Yes",1,0)</f>
        <v>1</v>
      </c>
    </row>
    <row r="366" spans="1:21" x14ac:dyDescent="0.25">
      <c r="A366" s="20">
        <v>22518</v>
      </c>
      <c r="B366" s="3" t="s">
        <v>114</v>
      </c>
      <c r="C366" s="3" t="s">
        <v>112</v>
      </c>
      <c r="D366" s="19">
        <v>30000</v>
      </c>
      <c r="E366" s="20">
        <v>3</v>
      </c>
      <c r="F366" s="3" t="s">
        <v>21</v>
      </c>
      <c r="G366" s="3" t="s">
        <v>22</v>
      </c>
      <c r="H366" s="3" t="s">
        <v>20</v>
      </c>
      <c r="I366" s="20">
        <v>2</v>
      </c>
      <c r="J366" s="3" t="s">
        <v>18</v>
      </c>
      <c r="K366" s="3" t="s">
        <v>19</v>
      </c>
      <c r="L366" s="20">
        <v>27</v>
      </c>
      <c r="M366" s="3" t="s">
        <v>17</v>
      </c>
      <c r="N366" s="20" t="str" cm="1">
        <f t="array" ref="N366">_xlfn.IFS(tbl_Clean[[#This Row],[Age]]&lt;=30,"25-30",tbl_Clean[[#This Row],[Age]]&lt;=40,"31-40",tbl_Clean[[#This Row],[Age]]&lt;=50,"41-50",tbl_Clean[[#This Row],[Age]]&lt;=60,"51-60",TRUE,"61+")</f>
        <v>25-30</v>
      </c>
      <c r="O366" s="20">
        <f>_xlfn.XMATCH(tbl_Clean[[#This Row],[Age Band]],{"25-30","31-40","41-50","51-60","61+"})</f>
        <v>1</v>
      </c>
      <c r="P366" s="20" t="str" cm="1">
        <f t="array" ref="P366">_xlfn.IFS(tbl_Clean[[#This Row],[Income]]&lt;=30000,"$10k-30k",tbl_Clean[[#This Row],[Income]]&lt;=60000,"$40k-60k",tbl_Clean[[#This Row],[Income]]&lt;=90000,"$70k-90k",TRUE,"$100k+")</f>
        <v>$10k-30k</v>
      </c>
      <c r="Q366" s="20">
        <f>_xlfn.XMATCH(tbl_Clean[[#This Row],[Income Band]],{"$10k-30k","$40k-60k","$70k-90k","$100k+"})</f>
        <v>1</v>
      </c>
      <c r="R366" s="20" t="str">
        <f>IF(tbl_Clean[[#This Row],[Cars]]&lt;=1,"0-1 Cars","2+ Cars")</f>
        <v>2+ Cars</v>
      </c>
      <c r="S366" s="20">
        <f>_xlfn.XMATCH(tbl_Clean[[#This Row],[Commute Distance]],{"0-1 Miles","1-2 Miles","2-5 Miles","5-10 Miles","10+ Miles"})</f>
        <v>1</v>
      </c>
      <c r="T366" s="20">
        <f>_xlfn.XMATCH(tbl_Clean[[#This Row],[Education]],{"Partial High School","High School","Partial College","Bachelors","Graduate Degree"})</f>
        <v>3</v>
      </c>
      <c r="U366" s="20">
        <f>IF(tbl_Clean[[#This Row],[Purchased Bike]]="Yes",1,0)</f>
        <v>1</v>
      </c>
    </row>
    <row r="367" spans="1:21" x14ac:dyDescent="0.25">
      <c r="A367" s="20">
        <v>13687</v>
      </c>
      <c r="B367" s="3" t="s">
        <v>111</v>
      </c>
      <c r="C367" s="3" t="s">
        <v>113</v>
      </c>
      <c r="D367" s="19">
        <v>40000</v>
      </c>
      <c r="E367" s="20">
        <v>1</v>
      </c>
      <c r="F367" s="3" t="s">
        <v>15</v>
      </c>
      <c r="G367" s="3" t="s">
        <v>16</v>
      </c>
      <c r="H367" s="3" t="s">
        <v>17</v>
      </c>
      <c r="I367" s="20">
        <v>1</v>
      </c>
      <c r="J367" s="3" t="s">
        <v>18</v>
      </c>
      <c r="K367" s="3" t="s">
        <v>19</v>
      </c>
      <c r="L367" s="20">
        <v>33</v>
      </c>
      <c r="M367" s="3" t="s">
        <v>17</v>
      </c>
      <c r="N367" s="20" t="str" cm="1">
        <f t="array" ref="N367">_xlfn.IFS(tbl_Clean[[#This Row],[Age]]&lt;=30,"25-30",tbl_Clean[[#This Row],[Age]]&lt;=40,"31-40",tbl_Clean[[#This Row],[Age]]&lt;=50,"41-50",tbl_Clean[[#This Row],[Age]]&lt;=60,"51-60",TRUE,"61+")</f>
        <v>31-40</v>
      </c>
      <c r="O367" s="20">
        <f>_xlfn.XMATCH(tbl_Clean[[#This Row],[Age Band]],{"25-30","31-40","41-50","51-60","61+"})</f>
        <v>2</v>
      </c>
      <c r="P367" s="20" t="str" cm="1">
        <f t="array" ref="P367">_xlfn.IFS(tbl_Clean[[#This Row],[Income]]&lt;=30000,"$10k-30k",tbl_Clean[[#This Row],[Income]]&lt;=60000,"$40k-60k",tbl_Clean[[#This Row],[Income]]&lt;=90000,"$70k-90k",TRUE,"$100k+")</f>
        <v>$40k-60k</v>
      </c>
      <c r="Q367" s="20">
        <f>_xlfn.XMATCH(tbl_Clean[[#This Row],[Income Band]],{"$10k-30k","$40k-60k","$70k-90k","$100k+"})</f>
        <v>2</v>
      </c>
      <c r="R367" s="20" t="str">
        <f>IF(tbl_Clean[[#This Row],[Cars]]&lt;=1,"0-1 Cars","2+ Cars")</f>
        <v>0-1 Cars</v>
      </c>
      <c r="S367" s="20">
        <f>_xlfn.XMATCH(tbl_Clean[[#This Row],[Commute Distance]],{"0-1 Miles","1-2 Miles","2-5 Miles","5-10 Miles","10+ Miles"})</f>
        <v>1</v>
      </c>
      <c r="T367" s="20">
        <f>_xlfn.XMATCH(tbl_Clean[[#This Row],[Education]],{"Partial High School","High School","Partial College","Bachelors","Graduate Degree"})</f>
        <v>4</v>
      </c>
      <c r="U367" s="20">
        <f>IF(tbl_Clean[[#This Row],[Purchased Bike]]="Yes",1,0)</f>
        <v>1</v>
      </c>
    </row>
    <row r="368" spans="1:21" x14ac:dyDescent="0.25">
      <c r="A368" s="20">
        <v>23571</v>
      </c>
      <c r="B368" s="3" t="s">
        <v>111</v>
      </c>
      <c r="C368" s="3" t="s">
        <v>112</v>
      </c>
      <c r="D368" s="19">
        <v>40000</v>
      </c>
      <c r="E368" s="20">
        <v>2</v>
      </c>
      <c r="F368" s="3" t="s">
        <v>15</v>
      </c>
      <c r="G368" s="3" t="s">
        <v>31</v>
      </c>
      <c r="H368" s="3" t="s">
        <v>17</v>
      </c>
      <c r="I368" s="20">
        <v>2</v>
      </c>
      <c r="J368" s="3" t="s">
        <v>18</v>
      </c>
      <c r="K368" s="3" t="s">
        <v>27</v>
      </c>
      <c r="L368" s="20">
        <v>66</v>
      </c>
      <c r="M368" s="3" t="s">
        <v>17</v>
      </c>
      <c r="N368" s="20" t="str" cm="1">
        <f t="array" ref="N368">_xlfn.IFS(tbl_Clean[[#This Row],[Age]]&lt;=30,"25-30",tbl_Clean[[#This Row],[Age]]&lt;=40,"31-40",tbl_Clean[[#This Row],[Age]]&lt;=50,"41-50",tbl_Clean[[#This Row],[Age]]&lt;=60,"51-60",TRUE,"61+")</f>
        <v>61+</v>
      </c>
      <c r="O368" s="20">
        <f>_xlfn.XMATCH(tbl_Clean[[#This Row],[Age Band]],{"25-30","31-40","41-50","51-60","61+"})</f>
        <v>5</v>
      </c>
      <c r="P368" s="20" t="str" cm="1">
        <f t="array" ref="P368">_xlfn.IFS(tbl_Clean[[#This Row],[Income]]&lt;=30000,"$10k-30k",tbl_Clean[[#This Row],[Income]]&lt;=60000,"$40k-60k",tbl_Clean[[#This Row],[Income]]&lt;=90000,"$70k-90k",TRUE,"$100k+")</f>
        <v>$40k-60k</v>
      </c>
      <c r="Q368" s="20">
        <f>_xlfn.XMATCH(tbl_Clean[[#This Row],[Income Band]],{"$10k-30k","$40k-60k","$70k-90k","$100k+"})</f>
        <v>2</v>
      </c>
      <c r="R368" s="20" t="str">
        <f>IF(tbl_Clean[[#This Row],[Cars]]&lt;=1,"0-1 Cars","2+ Cars")</f>
        <v>2+ Cars</v>
      </c>
      <c r="S368" s="20">
        <f>_xlfn.XMATCH(tbl_Clean[[#This Row],[Commute Distance]],{"0-1 Miles","1-2 Miles","2-5 Miles","5-10 Miles","10+ Miles"})</f>
        <v>1</v>
      </c>
      <c r="T368" s="20">
        <f>_xlfn.XMATCH(tbl_Clean[[#This Row],[Education]],{"Partial High School","High School","Partial College","Bachelors","Graduate Degree"})</f>
        <v>4</v>
      </c>
      <c r="U368" s="20">
        <f>IF(tbl_Clean[[#This Row],[Purchased Bike]]="Yes",1,0)</f>
        <v>1</v>
      </c>
    </row>
    <row r="369" spans="1:21" x14ac:dyDescent="0.25">
      <c r="A369" s="20">
        <v>19305</v>
      </c>
      <c r="B369" s="3" t="s">
        <v>114</v>
      </c>
      <c r="C369" s="3" t="s">
        <v>112</v>
      </c>
      <c r="D369" s="19">
        <v>10000</v>
      </c>
      <c r="E369" s="20">
        <v>2</v>
      </c>
      <c r="F369" s="3" t="s">
        <v>30</v>
      </c>
      <c r="G369" s="3" t="s">
        <v>28</v>
      </c>
      <c r="H369" s="3" t="s">
        <v>17</v>
      </c>
      <c r="I369" s="20">
        <v>1</v>
      </c>
      <c r="J369" s="3" t="s">
        <v>18</v>
      </c>
      <c r="K369" s="3" t="s">
        <v>19</v>
      </c>
      <c r="L369" s="20">
        <v>38</v>
      </c>
      <c r="M369" s="3" t="s">
        <v>17</v>
      </c>
      <c r="N369" s="20" t="str" cm="1">
        <f t="array" ref="N369">_xlfn.IFS(tbl_Clean[[#This Row],[Age]]&lt;=30,"25-30",tbl_Clean[[#This Row],[Age]]&lt;=40,"31-40",tbl_Clean[[#This Row],[Age]]&lt;=50,"41-50",tbl_Clean[[#This Row],[Age]]&lt;=60,"51-60",TRUE,"61+")</f>
        <v>31-40</v>
      </c>
      <c r="O369" s="20">
        <f>_xlfn.XMATCH(tbl_Clean[[#This Row],[Age Band]],{"25-30","31-40","41-50","51-60","61+"})</f>
        <v>2</v>
      </c>
      <c r="P369" s="20" t="str" cm="1">
        <f t="array" ref="P369">_xlfn.IFS(tbl_Clean[[#This Row],[Income]]&lt;=30000,"$10k-30k",tbl_Clean[[#This Row],[Income]]&lt;=60000,"$40k-60k",tbl_Clean[[#This Row],[Income]]&lt;=90000,"$70k-90k",TRUE,"$100k+")</f>
        <v>$10k-30k</v>
      </c>
      <c r="Q369" s="20">
        <f>_xlfn.XMATCH(tbl_Clean[[#This Row],[Income Band]],{"$10k-30k","$40k-60k","$70k-90k","$100k+"})</f>
        <v>1</v>
      </c>
      <c r="R369" s="20" t="str">
        <f>IF(tbl_Clean[[#This Row],[Cars]]&lt;=1,"0-1 Cars","2+ Cars")</f>
        <v>0-1 Cars</v>
      </c>
      <c r="S369" s="20">
        <f>_xlfn.XMATCH(tbl_Clean[[#This Row],[Commute Distance]],{"0-1 Miles","1-2 Miles","2-5 Miles","5-10 Miles","10+ Miles"})</f>
        <v>1</v>
      </c>
      <c r="T369" s="20">
        <f>_xlfn.XMATCH(tbl_Clean[[#This Row],[Education]],{"Partial High School","High School","Partial College","Bachelors","Graduate Degree"})</f>
        <v>2</v>
      </c>
      <c r="U369" s="20">
        <f>IF(tbl_Clean[[#This Row],[Purchased Bike]]="Yes",1,0)</f>
        <v>1</v>
      </c>
    </row>
    <row r="370" spans="1:21" x14ac:dyDescent="0.25">
      <c r="A370" s="20">
        <v>22636</v>
      </c>
      <c r="B370" s="3" t="s">
        <v>114</v>
      </c>
      <c r="C370" s="3" t="s">
        <v>112</v>
      </c>
      <c r="D370" s="19">
        <v>40000</v>
      </c>
      <c r="E370" s="20">
        <v>0</v>
      </c>
      <c r="F370" s="3" t="s">
        <v>15</v>
      </c>
      <c r="G370" s="3" t="s">
        <v>22</v>
      </c>
      <c r="H370" s="3" t="s">
        <v>20</v>
      </c>
      <c r="I370" s="20">
        <v>0</v>
      </c>
      <c r="J370" s="3" t="s">
        <v>18</v>
      </c>
      <c r="K370" s="3" t="s">
        <v>19</v>
      </c>
      <c r="L370" s="20">
        <v>38</v>
      </c>
      <c r="M370" s="3" t="s">
        <v>17</v>
      </c>
      <c r="N370" s="20" t="str" cm="1">
        <f t="array" ref="N370">_xlfn.IFS(tbl_Clean[[#This Row],[Age]]&lt;=30,"25-30",tbl_Clean[[#This Row],[Age]]&lt;=40,"31-40",tbl_Clean[[#This Row],[Age]]&lt;=50,"41-50",tbl_Clean[[#This Row],[Age]]&lt;=60,"51-60",TRUE,"61+")</f>
        <v>31-40</v>
      </c>
      <c r="O370" s="20">
        <f>_xlfn.XMATCH(tbl_Clean[[#This Row],[Age Band]],{"25-30","31-40","41-50","51-60","61+"})</f>
        <v>2</v>
      </c>
      <c r="P370" s="20" t="str" cm="1">
        <f t="array" ref="P370">_xlfn.IFS(tbl_Clean[[#This Row],[Income]]&lt;=30000,"$10k-30k",tbl_Clean[[#This Row],[Income]]&lt;=60000,"$40k-60k",tbl_Clean[[#This Row],[Income]]&lt;=90000,"$70k-90k",TRUE,"$100k+")</f>
        <v>$40k-60k</v>
      </c>
      <c r="Q370" s="20">
        <f>_xlfn.XMATCH(tbl_Clean[[#This Row],[Income Band]],{"$10k-30k","$40k-60k","$70k-90k","$100k+"})</f>
        <v>2</v>
      </c>
      <c r="R370" s="20" t="str">
        <f>IF(tbl_Clean[[#This Row],[Cars]]&lt;=1,"0-1 Cars","2+ Cars")</f>
        <v>0-1 Cars</v>
      </c>
      <c r="S370" s="20">
        <f>_xlfn.XMATCH(tbl_Clean[[#This Row],[Commute Distance]],{"0-1 Miles","1-2 Miles","2-5 Miles","5-10 Miles","10+ Miles"})</f>
        <v>1</v>
      </c>
      <c r="T370" s="20">
        <f>_xlfn.XMATCH(tbl_Clean[[#This Row],[Education]],{"Partial High School","High School","Partial College","Bachelors","Graduate Degree"})</f>
        <v>4</v>
      </c>
      <c r="U370" s="20">
        <f>IF(tbl_Clean[[#This Row],[Purchased Bike]]="Yes",1,0)</f>
        <v>1</v>
      </c>
    </row>
    <row r="371" spans="1:21" x14ac:dyDescent="0.25">
      <c r="A371" s="20">
        <v>17310</v>
      </c>
      <c r="B371" s="3" t="s">
        <v>111</v>
      </c>
      <c r="C371" s="3" t="s">
        <v>113</v>
      </c>
      <c r="D371" s="19">
        <v>60000</v>
      </c>
      <c r="E371" s="20">
        <v>1</v>
      </c>
      <c r="F371" s="3" t="s">
        <v>21</v>
      </c>
      <c r="G371" s="3" t="s">
        <v>16</v>
      </c>
      <c r="H371" s="3" t="s">
        <v>17</v>
      </c>
      <c r="I371" s="20">
        <v>1</v>
      </c>
      <c r="J371" s="3" t="s">
        <v>18</v>
      </c>
      <c r="K371" s="3" t="s">
        <v>27</v>
      </c>
      <c r="L371" s="20">
        <v>45</v>
      </c>
      <c r="M371" s="3" t="s">
        <v>17</v>
      </c>
      <c r="N371" s="20" t="str" cm="1">
        <f t="array" ref="N371">_xlfn.IFS(tbl_Clean[[#This Row],[Age]]&lt;=30,"25-30",tbl_Clean[[#This Row],[Age]]&lt;=40,"31-40",tbl_Clean[[#This Row],[Age]]&lt;=50,"41-50",tbl_Clean[[#This Row],[Age]]&lt;=60,"51-60",TRUE,"61+")</f>
        <v>41-50</v>
      </c>
      <c r="O371" s="20">
        <f>_xlfn.XMATCH(tbl_Clean[[#This Row],[Age Band]],{"25-30","31-40","41-50","51-60","61+"})</f>
        <v>3</v>
      </c>
      <c r="P371" s="20" t="str" cm="1">
        <f t="array" ref="P371">_xlfn.IFS(tbl_Clean[[#This Row],[Income]]&lt;=30000,"$10k-30k",tbl_Clean[[#This Row],[Income]]&lt;=60000,"$40k-60k",tbl_Clean[[#This Row],[Income]]&lt;=90000,"$70k-90k",TRUE,"$100k+")</f>
        <v>$40k-60k</v>
      </c>
      <c r="Q371" s="20">
        <f>_xlfn.XMATCH(tbl_Clean[[#This Row],[Income Band]],{"$10k-30k","$40k-60k","$70k-90k","$100k+"})</f>
        <v>2</v>
      </c>
      <c r="R371" s="20" t="str">
        <f>IF(tbl_Clean[[#This Row],[Cars]]&lt;=1,"0-1 Cars","2+ Cars")</f>
        <v>0-1 Cars</v>
      </c>
      <c r="S371" s="20">
        <f>_xlfn.XMATCH(tbl_Clean[[#This Row],[Commute Distance]],{"0-1 Miles","1-2 Miles","2-5 Miles","5-10 Miles","10+ Miles"})</f>
        <v>1</v>
      </c>
      <c r="T371" s="20">
        <f>_xlfn.XMATCH(tbl_Clean[[#This Row],[Education]],{"Partial High School","High School","Partial College","Bachelors","Graduate Degree"})</f>
        <v>3</v>
      </c>
      <c r="U371" s="20">
        <f>IF(tbl_Clean[[#This Row],[Purchased Bike]]="Yes",1,0)</f>
        <v>1</v>
      </c>
    </row>
    <row r="372" spans="1:21" x14ac:dyDescent="0.25">
      <c r="A372" s="20">
        <v>12133</v>
      </c>
      <c r="B372" s="3" t="s">
        <v>111</v>
      </c>
      <c r="C372" s="3" t="s">
        <v>112</v>
      </c>
      <c r="D372" s="19">
        <v>130000</v>
      </c>
      <c r="E372" s="20">
        <v>3</v>
      </c>
      <c r="F372" s="3" t="s">
        <v>21</v>
      </c>
      <c r="G372" s="3" t="s">
        <v>23</v>
      </c>
      <c r="H372" s="3" t="s">
        <v>17</v>
      </c>
      <c r="I372" s="20">
        <v>3</v>
      </c>
      <c r="J372" s="3" t="s">
        <v>26</v>
      </c>
      <c r="K372" s="3" t="s">
        <v>19</v>
      </c>
      <c r="L372" s="20">
        <v>50</v>
      </c>
      <c r="M372" s="3" t="s">
        <v>17</v>
      </c>
      <c r="N372" s="20" t="str" cm="1">
        <f t="array" ref="N372">_xlfn.IFS(tbl_Clean[[#This Row],[Age]]&lt;=30,"25-30",tbl_Clean[[#This Row],[Age]]&lt;=40,"31-40",tbl_Clean[[#This Row],[Age]]&lt;=50,"41-50",tbl_Clean[[#This Row],[Age]]&lt;=60,"51-60",TRUE,"61+")</f>
        <v>41-50</v>
      </c>
      <c r="O372" s="20">
        <f>_xlfn.XMATCH(tbl_Clean[[#This Row],[Age Band]],{"25-30","31-40","41-50","51-60","61+"})</f>
        <v>3</v>
      </c>
      <c r="P372" s="20" t="str" cm="1">
        <f t="array" ref="P372">_xlfn.IFS(tbl_Clean[[#This Row],[Income]]&lt;=30000,"$10k-30k",tbl_Clean[[#This Row],[Income]]&lt;=60000,"$40k-60k",tbl_Clean[[#This Row],[Income]]&lt;=90000,"$70k-90k",TRUE,"$100k+")</f>
        <v>$100k+</v>
      </c>
      <c r="Q372" s="20">
        <f>_xlfn.XMATCH(tbl_Clean[[#This Row],[Income Band]],{"$10k-30k","$40k-60k","$70k-90k","$100k+"})</f>
        <v>4</v>
      </c>
      <c r="R372" s="20" t="str">
        <f>IF(tbl_Clean[[#This Row],[Cars]]&lt;=1,"0-1 Cars","2+ Cars")</f>
        <v>2+ Cars</v>
      </c>
      <c r="S372" s="20">
        <f>_xlfn.XMATCH(tbl_Clean[[#This Row],[Commute Distance]],{"0-1 Miles","1-2 Miles","2-5 Miles","5-10 Miles","10+ Miles"})</f>
        <v>4</v>
      </c>
      <c r="T372" s="20">
        <f>_xlfn.XMATCH(tbl_Clean[[#This Row],[Education]],{"Partial High School","High School","Partial College","Bachelors","Graduate Degree"})</f>
        <v>3</v>
      </c>
      <c r="U372" s="20">
        <f>IF(tbl_Clean[[#This Row],[Purchased Bike]]="Yes",1,0)</f>
        <v>1</v>
      </c>
    </row>
    <row r="373" spans="1:21" x14ac:dyDescent="0.25">
      <c r="A373" s="20">
        <v>25918</v>
      </c>
      <c r="B373" s="3" t="s">
        <v>114</v>
      </c>
      <c r="C373" s="3" t="s">
        <v>112</v>
      </c>
      <c r="D373" s="19">
        <v>30000</v>
      </c>
      <c r="E373" s="20">
        <v>2</v>
      </c>
      <c r="F373" s="3" t="s">
        <v>21</v>
      </c>
      <c r="G373" s="3" t="s">
        <v>22</v>
      </c>
      <c r="H373" s="3" t="s">
        <v>20</v>
      </c>
      <c r="I373" s="20">
        <v>2</v>
      </c>
      <c r="J373" s="3" t="s">
        <v>26</v>
      </c>
      <c r="K373" s="3" t="s">
        <v>27</v>
      </c>
      <c r="L373" s="20">
        <v>60</v>
      </c>
      <c r="M373" s="3" t="s">
        <v>17</v>
      </c>
      <c r="N373" s="20" t="str" cm="1">
        <f t="array" ref="N373">_xlfn.IFS(tbl_Clean[[#This Row],[Age]]&lt;=30,"25-30",tbl_Clean[[#This Row],[Age]]&lt;=40,"31-40",tbl_Clean[[#This Row],[Age]]&lt;=50,"41-50",tbl_Clean[[#This Row],[Age]]&lt;=60,"51-60",TRUE,"61+")</f>
        <v>51-60</v>
      </c>
      <c r="O373" s="20">
        <f>_xlfn.XMATCH(tbl_Clean[[#This Row],[Age Band]],{"25-30","31-40","41-50","51-60","61+"})</f>
        <v>4</v>
      </c>
      <c r="P373" s="20" t="str" cm="1">
        <f t="array" ref="P373">_xlfn.IFS(tbl_Clean[[#This Row],[Income]]&lt;=30000,"$10k-30k",tbl_Clean[[#This Row],[Income]]&lt;=60000,"$40k-60k",tbl_Clean[[#This Row],[Income]]&lt;=90000,"$70k-90k",TRUE,"$100k+")</f>
        <v>$10k-30k</v>
      </c>
      <c r="Q373" s="20">
        <f>_xlfn.XMATCH(tbl_Clean[[#This Row],[Income Band]],{"$10k-30k","$40k-60k","$70k-90k","$100k+"})</f>
        <v>1</v>
      </c>
      <c r="R373" s="20" t="str">
        <f>IF(tbl_Clean[[#This Row],[Cars]]&lt;=1,"0-1 Cars","2+ Cars")</f>
        <v>2+ Cars</v>
      </c>
      <c r="S373" s="20">
        <f>_xlfn.XMATCH(tbl_Clean[[#This Row],[Commute Distance]],{"0-1 Miles","1-2 Miles","2-5 Miles","5-10 Miles","10+ Miles"})</f>
        <v>4</v>
      </c>
      <c r="T373" s="20">
        <f>_xlfn.XMATCH(tbl_Clean[[#This Row],[Education]],{"Partial High School","High School","Partial College","Bachelors","Graduate Degree"})</f>
        <v>3</v>
      </c>
      <c r="U373" s="20">
        <f>IF(tbl_Clean[[#This Row],[Purchased Bike]]="Yes",1,0)</f>
        <v>1</v>
      </c>
    </row>
    <row r="374" spans="1:21" x14ac:dyDescent="0.25">
      <c r="A374" s="20">
        <v>25752</v>
      </c>
      <c r="B374" s="3" t="s">
        <v>114</v>
      </c>
      <c r="C374" s="3" t="s">
        <v>112</v>
      </c>
      <c r="D374" s="19">
        <v>20000</v>
      </c>
      <c r="E374" s="20">
        <v>2</v>
      </c>
      <c r="F374" s="3" t="s">
        <v>21</v>
      </c>
      <c r="G374" s="3" t="s">
        <v>28</v>
      </c>
      <c r="H374" s="3" t="s">
        <v>20</v>
      </c>
      <c r="I374" s="20">
        <v>1</v>
      </c>
      <c r="J374" s="3" t="s">
        <v>18</v>
      </c>
      <c r="K374" s="3" t="s">
        <v>19</v>
      </c>
      <c r="L374" s="20">
        <v>53</v>
      </c>
      <c r="M374" s="3" t="s">
        <v>17</v>
      </c>
      <c r="N374" s="20" t="str" cm="1">
        <f t="array" ref="N374">_xlfn.IFS(tbl_Clean[[#This Row],[Age]]&lt;=30,"25-30",tbl_Clean[[#This Row],[Age]]&lt;=40,"31-40",tbl_Clean[[#This Row],[Age]]&lt;=50,"41-50",tbl_Clean[[#This Row],[Age]]&lt;=60,"51-60",TRUE,"61+")</f>
        <v>51-60</v>
      </c>
      <c r="O374" s="20">
        <f>_xlfn.XMATCH(tbl_Clean[[#This Row],[Age Band]],{"25-30","31-40","41-50","51-60","61+"})</f>
        <v>4</v>
      </c>
      <c r="P374" s="20" t="str" cm="1">
        <f t="array" ref="P374">_xlfn.IFS(tbl_Clean[[#This Row],[Income]]&lt;=30000,"$10k-30k",tbl_Clean[[#This Row],[Income]]&lt;=60000,"$40k-60k",tbl_Clean[[#This Row],[Income]]&lt;=90000,"$70k-90k",TRUE,"$100k+")</f>
        <v>$10k-30k</v>
      </c>
      <c r="Q374" s="20">
        <f>_xlfn.XMATCH(tbl_Clean[[#This Row],[Income Band]],{"$10k-30k","$40k-60k","$70k-90k","$100k+"})</f>
        <v>1</v>
      </c>
      <c r="R374" s="20" t="str">
        <f>IF(tbl_Clean[[#This Row],[Cars]]&lt;=1,"0-1 Cars","2+ Cars")</f>
        <v>0-1 Cars</v>
      </c>
      <c r="S374" s="20">
        <f>_xlfn.XMATCH(tbl_Clean[[#This Row],[Commute Distance]],{"0-1 Miles","1-2 Miles","2-5 Miles","5-10 Miles","10+ Miles"})</f>
        <v>1</v>
      </c>
      <c r="T374" s="20">
        <f>_xlfn.XMATCH(tbl_Clean[[#This Row],[Education]],{"Partial High School","High School","Partial College","Bachelors","Graduate Degree"})</f>
        <v>3</v>
      </c>
      <c r="U374" s="20">
        <f>IF(tbl_Clean[[#This Row],[Purchased Bike]]="Yes",1,0)</f>
        <v>1</v>
      </c>
    </row>
    <row r="375" spans="1:21" x14ac:dyDescent="0.25">
      <c r="A375" s="20">
        <v>17324</v>
      </c>
      <c r="B375" s="3" t="s">
        <v>111</v>
      </c>
      <c r="C375" s="3" t="s">
        <v>112</v>
      </c>
      <c r="D375" s="19">
        <v>100000</v>
      </c>
      <c r="E375" s="20">
        <v>4</v>
      </c>
      <c r="F375" s="3" t="s">
        <v>15</v>
      </c>
      <c r="G375" s="3" t="s">
        <v>23</v>
      </c>
      <c r="H375" s="3" t="s">
        <v>17</v>
      </c>
      <c r="I375" s="20">
        <v>1</v>
      </c>
      <c r="J375" s="3" t="s">
        <v>33</v>
      </c>
      <c r="K375" s="3" t="s">
        <v>27</v>
      </c>
      <c r="L375" s="20">
        <v>46</v>
      </c>
      <c r="M375" s="3" t="s">
        <v>20</v>
      </c>
      <c r="N375" s="20" t="str" cm="1">
        <f t="array" ref="N375">_xlfn.IFS(tbl_Clean[[#This Row],[Age]]&lt;=30,"25-30",tbl_Clean[[#This Row],[Age]]&lt;=40,"31-40",tbl_Clean[[#This Row],[Age]]&lt;=50,"41-50",tbl_Clean[[#This Row],[Age]]&lt;=60,"51-60",TRUE,"61+")</f>
        <v>41-50</v>
      </c>
      <c r="O375" s="20">
        <f>_xlfn.XMATCH(tbl_Clean[[#This Row],[Age Band]],{"25-30","31-40","41-50","51-60","61+"})</f>
        <v>3</v>
      </c>
      <c r="P375" s="20" t="str" cm="1">
        <f t="array" ref="P375">_xlfn.IFS(tbl_Clean[[#This Row],[Income]]&lt;=30000,"$10k-30k",tbl_Clean[[#This Row],[Income]]&lt;=60000,"$40k-60k",tbl_Clean[[#This Row],[Income]]&lt;=90000,"$70k-90k",TRUE,"$100k+")</f>
        <v>$100k+</v>
      </c>
      <c r="Q375" s="20">
        <f>_xlfn.XMATCH(tbl_Clean[[#This Row],[Income Band]],{"$10k-30k","$40k-60k","$70k-90k","$100k+"})</f>
        <v>4</v>
      </c>
      <c r="R375" s="20" t="str">
        <f>IF(tbl_Clean[[#This Row],[Cars]]&lt;=1,"0-1 Cars","2+ Cars")</f>
        <v>0-1 Cars</v>
      </c>
      <c r="S375" s="20">
        <f>_xlfn.XMATCH(tbl_Clean[[#This Row],[Commute Distance]],{"0-1 Miles","1-2 Miles","2-5 Miles","5-10 Miles","10+ Miles"})</f>
        <v>5</v>
      </c>
      <c r="T375" s="20">
        <f>_xlfn.XMATCH(tbl_Clean[[#This Row],[Education]],{"Partial High School","High School","Partial College","Bachelors","Graduate Degree"})</f>
        <v>4</v>
      </c>
      <c r="U375" s="20">
        <f>IF(tbl_Clean[[#This Row],[Purchased Bike]]="Yes",1,0)</f>
        <v>0</v>
      </c>
    </row>
    <row r="376" spans="1:21" x14ac:dyDescent="0.25">
      <c r="A376" s="20">
        <v>22918</v>
      </c>
      <c r="B376" s="3" t="s">
        <v>114</v>
      </c>
      <c r="C376" s="3" t="s">
        <v>113</v>
      </c>
      <c r="D376" s="19">
        <v>80000</v>
      </c>
      <c r="E376" s="20">
        <v>5</v>
      </c>
      <c r="F376" s="3" t="s">
        <v>34</v>
      </c>
      <c r="G376" s="3" t="s">
        <v>31</v>
      </c>
      <c r="H376" s="3" t="s">
        <v>17</v>
      </c>
      <c r="I376" s="20">
        <v>3</v>
      </c>
      <c r="J376" s="3" t="s">
        <v>18</v>
      </c>
      <c r="K376" s="3" t="s">
        <v>27</v>
      </c>
      <c r="L376" s="20">
        <v>50</v>
      </c>
      <c r="M376" s="3" t="s">
        <v>20</v>
      </c>
      <c r="N376" s="20" t="str" cm="1">
        <f t="array" ref="N376">_xlfn.IFS(tbl_Clean[[#This Row],[Age]]&lt;=30,"25-30",tbl_Clean[[#This Row],[Age]]&lt;=40,"31-40",tbl_Clean[[#This Row],[Age]]&lt;=50,"41-50",tbl_Clean[[#This Row],[Age]]&lt;=60,"51-60",TRUE,"61+")</f>
        <v>41-50</v>
      </c>
      <c r="O376" s="20">
        <f>_xlfn.XMATCH(tbl_Clean[[#This Row],[Age Band]],{"25-30","31-40","41-50","51-60","61+"})</f>
        <v>3</v>
      </c>
      <c r="P376" s="20" t="str" cm="1">
        <f t="array" ref="P376">_xlfn.IFS(tbl_Clean[[#This Row],[Income]]&lt;=30000,"$10k-30k",tbl_Clean[[#This Row],[Income]]&lt;=60000,"$40k-60k",tbl_Clean[[#This Row],[Income]]&lt;=90000,"$70k-90k",TRUE,"$100k+")</f>
        <v>$70k-90k</v>
      </c>
      <c r="Q376" s="20">
        <f>_xlfn.XMATCH(tbl_Clean[[#This Row],[Income Band]],{"$10k-30k","$40k-60k","$70k-90k","$100k+"})</f>
        <v>3</v>
      </c>
      <c r="R376" s="20" t="str">
        <f>IF(tbl_Clean[[#This Row],[Cars]]&lt;=1,"0-1 Cars","2+ Cars")</f>
        <v>2+ Cars</v>
      </c>
      <c r="S376" s="20">
        <f>_xlfn.XMATCH(tbl_Clean[[#This Row],[Commute Distance]],{"0-1 Miles","1-2 Miles","2-5 Miles","5-10 Miles","10+ Miles"})</f>
        <v>1</v>
      </c>
      <c r="T376" s="20">
        <f>_xlfn.XMATCH(tbl_Clean[[#This Row],[Education]],{"Partial High School","High School","Partial College","Bachelors","Graduate Degree"})</f>
        <v>5</v>
      </c>
      <c r="U376" s="20">
        <f>IF(tbl_Clean[[#This Row],[Purchased Bike]]="Yes",1,0)</f>
        <v>0</v>
      </c>
    </row>
    <row r="377" spans="1:21" x14ac:dyDescent="0.25">
      <c r="A377" s="20">
        <v>12510</v>
      </c>
      <c r="B377" s="3" t="s">
        <v>111</v>
      </c>
      <c r="C377" s="3" t="s">
        <v>113</v>
      </c>
      <c r="D377" s="19">
        <v>40000</v>
      </c>
      <c r="E377" s="20">
        <v>1</v>
      </c>
      <c r="F377" s="3" t="s">
        <v>15</v>
      </c>
      <c r="G377" s="3" t="s">
        <v>16</v>
      </c>
      <c r="H377" s="3" t="s">
        <v>17</v>
      </c>
      <c r="I377" s="20">
        <v>1</v>
      </c>
      <c r="J377" s="3" t="s">
        <v>18</v>
      </c>
      <c r="K377" s="3" t="s">
        <v>19</v>
      </c>
      <c r="L377" s="20">
        <v>43</v>
      </c>
      <c r="M377" s="3" t="s">
        <v>17</v>
      </c>
      <c r="N377" s="20" t="str" cm="1">
        <f t="array" ref="N377">_xlfn.IFS(tbl_Clean[[#This Row],[Age]]&lt;=30,"25-30",tbl_Clean[[#This Row],[Age]]&lt;=40,"31-40",tbl_Clean[[#This Row],[Age]]&lt;=50,"41-50",tbl_Clean[[#This Row],[Age]]&lt;=60,"51-60",TRUE,"61+")</f>
        <v>41-50</v>
      </c>
      <c r="O377" s="20">
        <f>_xlfn.XMATCH(tbl_Clean[[#This Row],[Age Band]],{"25-30","31-40","41-50","51-60","61+"})</f>
        <v>3</v>
      </c>
      <c r="P377" s="20" t="str" cm="1">
        <f t="array" ref="P377">_xlfn.IFS(tbl_Clean[[#This Row],[Income]]&lt;=30000,"$10k-30k",tbl_Clean[[#This Row],[Income]]&lt;=60000,"$40k-60k",tbl_Clean[[#This Row],[Income]]&lt;=90000,"$70k-90k",TRUE,"$100k+")</f>
        <v>$40k-60k</v>
      </c>
      <c r="Q377" s="20">
        <f>_xlfn.XMATCH(tbl_Clean[[#This Row],[Income Band]],{"$10k-30k","$40k-60k","$70k-90k","$100k+"})</f>
        <v>2</v>
      </c>
      <c r="R377" s="20" t="str">
        <f>IF(tbl_Clean[[#This Row],[Cars]]&lt;=1,"0-1 Cars","2+ Cars")</f>
        <v>0-1 Cars</v>
      </c>
      <c r="S377" s="20">
        <f>_xlfn.XMATCH(tbl_Clean[[#This Row],[Commute Distance]],{"0-1 Miles","1-2 Miles","2-5 Miles","5-10 Miles","10+ Miles"})</f>
        <v>1</v>
      </c>
      <c r="T377" s="20">
        <f>_xlfn.XMATCH(tbl_Clean[[#This Row],[Education]],{"Partial High School","High School","Partial College","Bachelors","Graduate Degree"})</f>
        <v>4</v>
      </c>
      <c r="U377" s="20">
        <f>IF(tbl_Clean[[#This Row],[Purchased Bike]]="Yes",1,0)</f>
        <v>1</v>
      </c>
    </row>
    <row r="378" spans="1:21" x14ac:dyDescent="0.25">
      <c r="A378" s="20">
        <v>25512</v>
      </c>
      <c r="B378" s="3" t="s">
        <v>114</v>
      </c>
      <c r="C378" s="3" t="s">
        <v>113</v>
      </c>
      <c r="D378" s="19">
        <v>20000</v>
      </c>
      <c r="E378" s="20">
        <v>0</v>
      </c>
      <c r="F378" s="3" t="s">
        <v>30</v>
      </c>
      <c r="G378" s="3" t="s">
        <v>28</v>
      </c>
      <c r="H378" s="3" t="s">
        <v>20</v>
      </c>
      <c r="I378" s="20">
        <v>1</v>
      </c>
      <c r="J378" s="3" t="s">
        <v>24</v>
      </c>
      <c r="K378" s="3" t="s">
        <v>19</v>
      </c>
      <c r="L378" s="20">
        <v>30</v>
      </c>
      <c r="M378" s="3" t="s">
        <v>20</v>
      </c>
      <c r="N378" s="20" t="str" cm="1">
        <f t="array" ref="N378">_xlfn.IFS(tbl_Clean[[#This Row],[Age]]&lt;=30,"25-30",tbl_Clean[[#This Row],[Age]]&lt;=40,"31-40",tbl_Clean[[#This Row],[Age]]&lt;=50,"41-50",tbl_Clean[[#This Row],[Age]]&lt;=60,"51-60",TRUE,"61+")</f>
        <v>25-30</v>
      </c>
      <c r="O378" s="20">
        <f>_xlfn.XMATCH(tbl_Clean[[#This Row],[Age Band]],{"25-30","31-40","41-50","51-60","61+"})</f>
        <v>1</v>
      </c>
      <c r="P378" s="20" t="str" cm="1">
        <f t="array" ref="P378">_xlfn.IFS(tbl_Clean[[#This Row],[Income]]&lt;=30000,"$10k-30k",tbl_Clean[[#This Row],[Income]]&lt;=60000,"$40k-60k",tbl_Clean[[#This Row],[Income]]&lt;=90000,"$70k-90k",TRUE,"$100k+")</f>
        <v>$10k-30k</v>
      </c>
      <c r="Q378" s="20">
        <f>_xlfn.XMATCH(tbl_Clean[[#This Row],[Income Band]],{"$10k-30k","$40k-60k","$70k-90k","$100k+"})</f>
        <v>1</v>
      </c>
      <c r="R378" s="20" t="str">
        <f>IF(tbl_Clean[[#This Row],[Cars]]&lt;=1,"0-1 Cars","2+ Cars")</f>
        <v>0-1 Cars</v>
      </c>
      <c r="S378" s="20">
        <f>_xlfn.XMATCH(tbl_Clean[[#This Row],[Commute Distance]],{"0-1 Miles","1-2 Miles","2-5 Miles","5-10 Miles","10+ Miles"})</f>
        <v>3</v>
      </c>
      <c r="T378" s="20">
        <f>_xlfn.XMATCH(tbl_Clean[[#This Row],[Education]],{"Partial High School","High School","Partial College","Bachelors","Graduate Degree"})</f>
        <v>2</v>
      </c>
      <c r="U378" s="20">
        <f>IF(tbl_Clean[[#This Row],[Purchased Bike]]="Yes",1,0)</f>
        <v>0</v>
      </c>
    </row>
    <row r="379" spans="1:21" x14ac:dyDescent="0.25">
      <c r="A379" s="20">
        <v>16179</v>
      </c>
      <c r="B379" s="3" t="s">
        <v>114</v>
      </c>
      <c r="C379" s="3" t="s">
        <v>112</v>
      </c>
      <c r="D379" s="19">
        <v>80000</v>
      </c>
      <c r="E379" s="20">
        <v>5</v>
      </c>
      <c r="F379" s="3" t="s">
        <v>15</v>
      </c>
      <c r="G379" s="3" t="s">
        <v>23</v>
      </c>
      <c r="H379" s="3" t="s">
        <v>17</v>
      </c>
      <c r="I379" s="20">
        <v>4</v>
      </c>
      <c r="J379" s="3" t="s">
        <v>29</v>
      </c>
      <c r="K379" s="3" t="s">
        <v>27</v>
      </c>
      <c r="L379" s="20">
        <v>38</v>
      </c>
      <c r="M379" s="3" t="s">
        <v>20</v>
      </c>
      <c r="N379" s="20" t="str" cm="1">
        <f t="array" ref="N379">_xlfn.IFS(tbl_Clean[[#This Row],[Age]]&lt;=30,"25-30",tbl_Clean[[#This Row],[Age]]&lt;=40,"31-40",tbl_Clean[[#This Row],[Age]]&lt;=50,"41-50",tbl_Clean[[#This Row],[Age]]&lt;=60,"51-60",TRUE,"61+")</f>
        <v>31-40</v>
      </c>
      <c r="O379" s="20">
        <f>_xlfn.XMATCH(tbl_Clean[[#This Row],[Age Band]],{"25-30","31-40","41-50","51-60","61+"})</f>
        <v>2</v>
      </c>
      <c r="P379" s="20" t="str" cm="1">
        <f t="array" ref="P379">_xlfn.IFS(tbl_Clean[[#This Row],[Income]]&lt;=30000,"$10k-30k",tbl_Clean[[#This Row],[Income]]&lt;=60000,"$40k-60k",tbl_Clean[[#This Row],[Income]]&lt;=90000,"$70k-90k",TRUE,"$100k+")</f>
        <v>$70k-90k</v>
      </c>
      <c r="Q379" s="20">
        <f>_xlfn.XMATCH(tbl_Clean[[#This Row],[Income Band]],{"$10k-30k","$40k-60k","$70k-90k","$100k+"})</f>
        <v>3</v>
      </c>
      <c r="R379" s="20" t="str">
        <f>IF(tbl_Clean[[#This Row],[Cars]]&lt;=1,"0-1 Cars","2+ Cars")</f>
        <v>2+ Cars</v>
      </c>
      <c r="S379" s="20">
        <f>_xlfn.XMATCH(tbl_Clean[[#This Row],[Commute Distance]],{"0-1 Miles","1-2 Miles","2-5 Miles","5-10 Miles","10+ Miles"})</f>
        <v>2</v>
      </c>
      <c r="T379" s="20">
        <f>_xlfn.XMATCH(tbl_Clean[[#This Row],[Education]],{"Partial High School","High School","Partial College","Bachelors","Graduate Degree"})</f>
        <v>4</v>
      </c>
      <c r="U379" s="20">
        <f>IF(tbl_Clean[[#This Row],[Purchased Bike]]="Yes",1,0)</f>
        <v>0</v>
      </c>
    </row>
    <row r="380" spans="1:21" x14ac:dyDescent="0.25">
      <c r="A380" s="20">
        <v>15628</v>
      </c>
      <c r="B380" s="3" t="s">
        <v>111</v>
      </c>
      <c r="C380" s="3" t="s">
        <v>112</v>
      </c>
      <c r="D380" s="19">
        <v>40000</v>
      </c>
      <c r="E380" s="20">
        <v>1</v>
      </c>
      <c r="F380" s="3" t="s">
        <v>15</v>
      </c>
      <c r="G380" s="3" t="s">
        <v>16</v>
      </c>
      <c r="H380" s="3" t="s">
        <v>17</v>
      </c>
      <c r="I380" s="20">
        <v>1</v>
      </c>
      <c r="J380" s="3" t="s">
        <v>18</v>
      </c>
      <c r="K380" s="3" t="s">
        <v>19</v>
      </c>
      <c r="L380" s="20">
        <v>89</v>
      </c>
      <c r="M380" s="3" t="s">
        <v>20</v>
      </c>
      <c r="N380" s="20" t="str" cm="1">
        <f t="array" ref="N380">_xlfn.IFS(tbl_Clean[[#This Row],[Age]]&lt;=30,"25-30",tbl_Clean[[#This Row],[Age]]&lt;=40,"31-40",tbl_Clean[[#This Row],[Age]]&lt;=50,"41-50",tbl_Clean[[#This Row],[Age]]&lt;=60,"51-60",TRUE,"61+")</f>
        <v>61+</v>
      </c>
      <c r="O380" s="20">
        <f>_xlfn.XMATCH(tbl_Clean[[#This Row],[Age Band]],{"25-30","31-40","41-50","51-60","61+"})</f>
        <v>5</v>
      </c>
      <c r="P380" s="20" t="str" cm="1">
        <f t="array" ref="P380">_xlfn.IFS(tbl_Clean[[#This Row],[Income]]&lt;=30000,"$10k-30k",tbl_Clean[[#This Row],[Income]]&lt;=60000,"$40k-60k",tbl_Clean[[#This Row],[Income]]&lt;=90000,"$70k-90k",TRUE,"$100k+")</f>
        <v>$40k-60k</v>
      </c>
      <c r="Q380" s="20">
        <f>_xlfn.XMATCH(tbl_Clean[[#This Row],[Income Band]],{"$10k-30k","$40k-60k","$70k-90k","$100k+"})</f>
        <v>2</v>
      </c>
      <c r="R380" s="20" t="str">
        <f>IF(tbl_Clean[[#This Row],[Cars]]&lt;=1,"0-1 Cars","2+ Cars")</f>
        <v>0-1 Cars</v>
      </c>
      <c r="S380" s="20">
        <f>_xlfn.XMATCH(tbl_Clean[[#This Row],[Commute Distance]],{"0-1 Miles","1-2 Miles","2-5 Miles","5-10 Miles","10+ Miles"})</f>
        <v>1</v>
      </c>
      <c r="T380" s="20">
        <f>_xlfn.XMATCH(tbl_Clean[[#This Row],[Education]],{"Partial High School","High School","Partial College","Bachelors","Graduate Degree"})</f>
        <v>4</v>
      </c>
      <c r="U380" s="20">
        <f>IF(tbl_Clean[[#This Row],[Purchased Bike]]="Yes",1,0)</f>
        <v>0</v>
      </c>
    </row>
    <row r="381" spans="1:21" x14ac:dyDescent="0.25">
      <c r="A381" s="20">
        <v>20977</v>
      </c>
      <c r="B381" s="3" t="s">
        <v>111</v>
      </c>
      <c r="C381" s="3" t="s">
        <v>113</v>
      </c>
      <c r="D381" s="19">
        <v>20000</v>
      </c>
      <c r="E381" s="20">
        <v>1</v>
      </c>
      <c r="F381" s="3" t="s">
        <v>15</v>
      </c>
      <c r="G381" s="3" t="s">
        <v>22</v>
      </c>
      <c r="H381" s="3" t="s">
        <v>17</v>
      </c>
      <c r="I381" s="20">
        <v>0</v>
      </c>
      <c r="J381" s="3" t="s">
        <v>18</v>
      </c>
      <c r="K381" s="3" t="s">
        <v>19</v>
      </c>
      <c r="L381" s="20">
        <v>64</v>
      </c>
      <c r="M381" s="3" t="s">
        <v>17</v>
      </c>
      <c r="N381" s="20" t="str" cm="1">
        <f t="array" ref="N381">_xlfn.IFS(tbl_Clean[[#This Row],[Age]]&lt;=30,"25-30",tbl_Clean[[#This Row],[Age]]&lt;=40,"31-40",tbl_Clean[[#This Row],[Age]]&lt;=50,"41-50",tbl_Clean[[#This Row],[Age]]&lt;=60,"51-60",TRUE,"61+")</f>
        <v>61+</v>
      </c>
      <c r="O381" s="20">
        <f>_xlfn.XMATCH(tbl_Clean[[#This Row],[Age Band]],{"25-30","31-40","41-50","51-60","61+"})</f>
        <v>5</v>
      </c>
      <c r="P381" s="20" t="str" cm="1">
        <f t="array" ref="P381">_xlfn.IFS(tbl_Clean[[#This Row],[Income]]&lt;=30000,"$10k-30k",tbl_Clean[[#This Row],[Income]]&lt;=60000,"$40k-60k",tbl_Clean[[#This Row],[Income]]&lt;=90000,"$70k-90k",TRUE,"$100k+")</f>
        <v>$10k-30k</v>
      </c>
      <c r="Q381" s="20">
        <f>_xlfn.XMATCH(tbl_Clean[[#This Row],[Income Band]],{"$10k-30k","$40k-60k","$70k-90k","$100k+"})</f>
        <v>1</v>
      </c>
      <c r="R381" s="20" t="str">
        <f>IF(tbl_Clean[[#This Row],[Cars]]&lt;=1,"0-1 Cars","2+ Cars")</f>
        <v>0-1 Cars</v>
      </c>
      <c r="S381" s="20">
        <f>_xlfn.XMATCH(tbl_Clean[[#This Row],[Commute Distance]],{"0-1 Miles","1-2 Miles","2-5 Miles","5-10 Miles","10+ Miles"})</f>
        <v>1</v>
      </c>
      <c r="T381" s="20">
        <f>_xlfn.XMATCH(tbl_Clean[[#This Row],[Education]],{"Partial High School","High School","Partial College","Bachelors","Graduate Degree"})</f>
        <v>4</v>
      </c>
      <c r="U381" s="20">
        <f>IF(tbl_Clean[[#This Row],[Purchased Bike]]="Yes",1,0)</f>
        <v>1</v>
      </c>
    </row>
    <row r="382" spans="1:21" x14ac:dyDescent="0.25">
      <c r="A382" s="20">
        <v>18140</v>
      </c>
      <c r="B382" s="3" t="s">
        <v>111</v>
      </c>
      <c r="C382" s="3" t="s">
        <v>113</v>
      </c>
      <c r="D382" s="19">
        <v>130000</v>
      </c>
      <c r="E382" s="20">
        <v>3</v>
      </c>
      <c r="F382" s="3" t="s">
        <v>21</v>
      </c>
      <c r="G382" s="3" t="s">
        <v>23</v>
      </c>
      <c r="H382" s="3" t="s">
        <v>20</v>
      </c>
      <c r="I382" s="20">
        <v>3</v>
      </c>
      <c r="J382" s="3" t="s">
        <v>26</v>
      </c>
      <c r="K382" s="3" t="s">
        <v>19</v>
      </c>
      <c r="L382" s="20">
        <v>51</v>
      </c>
      <c r="M382" s="3" t="s">
        <v>17</v>
      </c>
      <c r="N382" s="20" t="str" cm="1">
        <f t="array" ref="N382">_xlfn.IFS(tbl_Clean[[#This Row],[Age]]&lt;=30,"25-30",tbl_Clean[[#This Row],[Age]]&lt;=40,"31-40",tbl_Clean[[#This Row],[Age]]&lt;=50,"41-50",tbl_Clean[[#This Row],[Age]]&lt;=60,"51-60",TRUE,"61+")</f>
        <v>51-60</v>
      </c>
      <c r="O382" s="20">
        <f>_xlfn.XMATCH(tbl_Clean[[#This Row],[Age Band]],{"25-30","31-40","41-50","51-60","61+"})</f>
        <v>4</v>
      </c>
      <c r="P382" s="20" t="str" cm="1">
        <f t="array" ref="P382">_xlfn.IFS(tbl_Clean[[#This Row],[Income]]&lt;=30000,"$10k-30k",tbl_Clean[[#This Row],[Income]]&lt;=60000,"$40k-60k",tbl_Clean[[#This Row],[Income]]&lt;=90000,"$70k-90k",TRUE,"$100k+")</f>
        <v>$100k+</v>
      </c>
      <c r="Q382" s="20">
        <f>_xlfn.XMATCH(tbl_Clean[[#This Row],[Income Band]],{"$10k-30k","$40k-60k","$70k-90k","$100k+"})</f>
        <v>4</v>
      </c>
      <c r="R382" s="20" t="str">
        <f>IF(tbl_Clean[[#This Row],[Cars]]&lt;=1,"0-1 Cars","2+ Cars")</f>
        <v>2+ Cars</v>
      </c>
      <c r="S382" s="20">
        <f>_xlfn.XMATCH(tbl_Clean[[#This Row],[Commute Distance]],{"0-1 Miles","1-2 Miles","2-5 Miles","5-10 Miles","10+ Miles"})</f>
        <v>4</v>
      </c>
      <c r="T382" s="20">
        <f>_xlfn.XMATCH(tbl_Clean[[#This Row],[Education]],{"Partial High School","High School","Partial College","Bachelors","Graduate Degree"})</f>
        <v>3</v>
      </c>
      <c r="U382" s="20">
        <f>IF(tbl_Clean[[#This Row],[Purchased Bike]]="Yes",1,0)</f>
        <v>1</v>
      </c>
    </row>
    <row r="383" spans="1:21" x14ac:dyDescent="0.25">
      <c r="A383" s="20">
        <v>20417</v>
      </c>
      <c r="B383" s="3" t="s">
        <v>111</v>
      </c>
      <c r="C383" s="3" t="s">
        <v>113</v>
      </c>
      <c r="D383" s="19">
        <v>30000</v>
      </c>
      <c r="E383" s="20">
        <v>3</v>
      </c>
      <c r="F383" s="3" t="s">
        <v>21</v>
      </c>
      <c r="G383" s="3" t="s">
        <v>22</v>
      </c>
      <c r="H383" s="3" t="s">
        <v>20</v>
      </c>
      <c r="I383" s="20">
        <v>2</v>
      </c>
      <c r="J383" s="3" t="s">
        <v>26</v>
      </c>
      <c r="K383" s="3" t="s">
        <v>27</v>
      </c>
      <c r="L383" s="20">
        <v>56</v>
      </c>
      <c r="M383" s="3" t="s">
        <v>20</v>
      </c>
      <c r="N383" s="20" t="str" cm="1">
        <f t="array" ref="N383">_xlfn.IFS(tbl_Clean[[#This Row],[Age]]&lt;=30,"25-30",tbl_Clean[[#This Row],[Age]]&lt;=40,"31-40",tbl_Clean[[#This Row],[Age]]&lt;=50,"41-50",tbl_Clean[[#This Row],[Age]]&lt;=60,"51-60",TRUE,"61+")</f>
        <v>51-60</v>
      </c>
      <c r="O383" s="20">
        <f>_xlfn.XMATCH(tbl_Clean[[#This Row],[Age Band]],{"25-30","31-40","41-50","51-60","61+"})</f>
        <v>4</v>
      </c>
      <c r="P383" s="20" t="str" cm="1">
        <f t="array" ref="P383">_xlfn.IFS(tbl_Clean[[#This Row],[Income]]&lt;=30000,"$10k-30k",tbl_Clean[[#This Row],[Income]]&lt;=60000,"$40k-60k",tbl_Clean[[#This Row],[Income]]&lt;=90000,"$70k-90k",TRUE,"$100k+")</f>
        <v>$10k-30k</v>
      </c>
      <c r="Q383" s="20">
        <f>_xlfn.XMATCH(tbl_Clean[[#This Row],[Income Band]],{"$10k-30k","$40k-60k","$70k-90k","$100k+"})</f>
        <v>1</v>
      </c>
      <c r="R383" s="20" t="str">
        <f>IF(tbl_Clean[[#This Row],[Cars]]&lt;=1,"0-1 Cars","2+ Cars")</f>
        <v>2+ Cars</v>
      </c>
      <c r="S383" s="20">
        <f>_xlfn.XMATCH(tbl_Clean[[#This Row],[Commute Distance]],{"0-1 Miles","1-2 Miles","2-5 Miles","5-10 Miles","10+ Miles"})</f>
        <v>4</v>
      </c>
      <c r="T383" s="20">
        <f>_xlfn.XMATCH(tbl_Clean[[#This Row],[Education]],{"Partial High School","High School","Partial College","Bachelors","Graduate Degree"})</f>
        <v>3</v>
      </c>
      <c r="U383" s="20">
        <f>IF(tbl_Clean[[#This Row],[Purchased Bike]]="Yes",1,0)</f>
        <v>0</v>
      </c>
    </row>
    <row r="384" spans="1:21" x14ac:dyDescent="0.25">
      <c r="A384" s="20">
        <v>18267</v>
      </c>
      <c r="B384" s="3" t="s">
        <v>111</v>
      </c>
      <c r="C384" s="3" t="s">
        <v>113</v>
      </c>
      <c r="D384" s="19">
        <v>60000</v>
      </c>
      <c r="E384" s="20">
        <v>3</v>
      </c>
      <c r="F384" s="3" t="s">
        <v>15</v>
      </c>
      <c r="G384" s="3" t="s">
        <v>23</v>
      </c>
      <c r="H384" s="3" t="s">
        <v>17</v>
      </c>
      <c r="I384" s="20">
        <v>2</v>
      </c>
      <c r="J384" s="3" t="s">
        <v>26</v>
      </c>
      <c r="K384" s="3" t="s">
        <v>27</v>
      </c>
      <c r="L384" s="20">
        <v>43</v>
      </c>
      <c r="M384" s="3" t="s">
        <v>20</v>
      </c>
      <c r="N384" s="20" t="str" cm="1">
        <f t="array" ref="N384">_xlfn.IFS(tbl_Clean[[#This Row],[Age]]&lt;=30,"25-30",tbl_Clean[[#This Row],[Age]]&lt;=40,"31-40",tbl_Clean[[#This Row],[Age]]&lt;=50,"41-50",tbl_Clean[[#This Row],[Age]]&lt;=60,"51-60",TRUE,"61+")</f>
        <v>41-50</v>
      </c>
      <c r="O384" s="20">
        <f>_xlfn.XMATCH(tbl_Clean[[#This Row],[Age Band]],{"25-30","31-40","41-50","51-60","61+"})</f>
        <v>3</v>
      </c>
      <c r="P384" s="20" t="str" cm="1">
        <f t="array" ref="P384">_xlfn.IFS(tbl_Clean[[#This Row],[Income]]&lt;=30000,"$10k-30k",tbl_Clean[[#This Row],[Income]]&lt;=60000,"$40k-60k",tbl_Clean[[#This Row],[Income]]&lt;=90000,"$70k-90k",TRUE,"$100k+")</f>
        <v>$40k-60k</v>
      </c>
      <c r="Q384" s="20">
        <f>_xlfn.XMATCH(tbl_Clean[[#This Row],[Income Band]],{"$10k-30k","$40k-60k","$70k-90k","$100k+"})</f>
        <v>2</v>
      </c>
      <c r="R384" s="20" t="str">
        <f>IF(tbl_Clean[[#This Row],[Cars]]&lt;=1,"0-1 Cars","2+ Cars")</f>
        <v>2+ Cars</v>
      </c>
      <c r="S384" s="20">
        <f>_xlfn.XMATCH(tbl_Clean[[#This Row],[Commute Distance]],{"0-1 Miles","1-2 Miles","2-5 Miles","5-10 Miles","10+ Miles"})</f>
        <v>4</v>
      </c>
      <c r="T384" s="20">
        <f>_xlfn.XMATCH(tbl_Clean[[#This Row],[Education]],{"Partial High School","High School","Partial College","Bachelors","Graduate Degree"})</f>
        <v>4</v>
      </c>
      <c r="U384" s="20">
        <f>IF(tbl_Clean[[#This Row],[Purchased Bike]]="Yes",1,0)</f>
        <v>0</v>
      </c>
    </row>
    <row r="385" spans="1:21" x14ac:dyDescent="0.25">
      <c r="A385" s="20">
        <v>13620</v>
      </c>
      <c r="B385" s="3" t="s">
        <v>114</v>
      </c>
      <c r="C385" s="3" t="s">
        <v>113</v>
      </c>
      <c r="D385" s="19">
        <v>70000</v>
      </c>
      <c r="E385" s="20">
        <v>0</v>
      </c>
      <c r="F385" s="3" t="s">
        <v>15</v>
      </c>
      <c r="G385" s="3" t="s">
        <v>23</v>
      </c>
      <c r="H385" s="3" t="s">
        <v>20</v>
      </c>
      <c r="I385" s="20">
        <v>3</v>
      </c>
      <c r="J385" s="3" t="s">
        <v>33</v>
      </c>
      <c r="K385" s="3" t="s">
        <v>27</v>
      </c>
      <c r="L385" s="20">
        <v>30</v>
      </c>
      <c r="M385" s="3" t="s">
        <v>17</v>
      </c>
      <c r="N385" s="20" t="str" cm="1">
        <f t="array" ref="N385">_xlfn.IFS(tbl_Clean[[#This Row],[Age]]&lt;=30,"25-30",tbl_Clean[[#This Row],[Age]]&lt;=40,"31-40",tbl_Clean[[#This Row],[Age]]&lt;=50,"41-50",tbl_Clean[[#This Row],[Age]]&lt;=60,"51-60",TRUE,"61+")</f>
        <v>25-30</v>
      </c>
      <c r="O385" s="20">
        <f>_xlfn.XMATCH(tbl_Clean[[#This Row],[Age Band]],{"25-30","31-40","41-50","51-60","61+"})</f>
        <v>1</v>
      </c>
      <c r="P385" s="20" t="str" cm="1">
        <f t="array" ref="P385">_xlfn.IFS(tbl_Clean[[#This Row],[Income]]&lt;=30000,"$10k-30k",tbl_Clean[[#This Row],[Income]]&lt;=60000,"$40k-60k",tbl_Clean[[#This Row],[Income]]&lt;=90000,"$70k-90k",TRUE,"$100k+")</f>
        <v>$70k-90k</v>
      </c>
      <c r="Q385" s="20">
        <f>_xlfn.XMATCH(tbl_Clean[[#This Row],[Income Band]],{"$10k-30k","$40k-60k","$70k-90k","$100k+"})</f>
        <v>3</v>
      </c>
      <c r="R385" s="20" t="str">
        <f>IF(tbl_Clean[[#This Row],[Cars]]&lt;=1,"0-1 Cars","2+ Cars")</f>
        <v>2+ Cars</v>
      </c>
      <c r="S385" s="20">
        <f>_xlfn.XMATCH(tbl_Clean[[#This Row],[Commute Distance]],{"0-1 Miles","1-2 Miles","2-5 Miles","5-10 Miles","10+ Miles"})</f>
        <v>5</v>
      </c>
      <c r="T385" s="20">
        <f>_xlfn.XMATCH(tbl_Clean[[#This Row],[Education]],{"Partial High School","High School","Partial College","Bachelors","Graduate Degree"})</f>
        <v>4</v>
      </c>
      <c r="U385" s="20">
        <f>IF(tbl_Clean[[#This Row],[Purchased Bike]]="Yes",1,0)</f>
        <v>1</v>
      </c>
    </row>
    <row r="386" spans="1:21" x14ac:dyDescent="0.25">
      <c r="A386" s="20">
        <v>22974</v>
      </c>
      <c r="B386" s="3" t="s">
        <v>111</v>
      </c>
      <c r="C386" s="3" t="s">
        <v>112</v>
      </c>
      <c r="D386" s="19">
        <v>30000</v>
      </c>
      <c r="E386" s="20">
        <v>2</v>
      </c>
      <c r="F386" s="3" t="s">
        <v>21</v>
      </c>
      <c r="G386" s="3" t="s">
        <v>22</v>
      </c>
      <c r="H386" s="3" t="s">
        <v>17</v>
      </c>
      <c r="I386" s="20">
        <v>2</v>
      </c>
      <c r="J386" s="3" t="s">
        <v>26</v>
      </c>
      <c r="K386" s="3" t="s">
        <v>27</v>
      </c>
      <c r="L386" s="20">
        <v>69</v>
      </c>
      <c r="M386" s="3" t="s">
        <v>20</v>
      </c>
      <c r="N386" s="20" t="str" cm="1">
        <f t="array" ref="N386">_xlfn.IFS(tbl_Clean[[#This Row],[Age]]&lt;=30,"25-30",tbl_Clean[[#This Row],[Age]]&lt;=40,"31-40",tbl_Clean[[#This Row],[Age]]&lt;=50,"41-50",tbl_Clean[[#This Row],[Age]]&lt;=60,"51-60",TRUE,"61+")</f>
        <v>61+</v>
      </c>
      <c r="O386" s="20">
        <f>_xlfn.XMATCH(tbl_Clean[[#This Row],[Age Band]],{"25-30","31-40","41-50","51-60","61+"})</f>
        <v>5</v>
      </c>
      <c r="P386" s="20" t="str" cm="1">
        <f t="array" ref="P386">_xlfn.IFS(tbl_Clean[[#This Row],[Income]]&lt;=30000,"$10k-30k",tbl_Clean[[#This Row],[Income]]&lt;=60000,"$40k-60k",tbl_Clean[[#This Row],[Income]]&lt;=90000,"$70k-90k",TRUE,"$100k+")</f>
        <v>$10k-30k</v>
      </c>
      <c r="Q386" s="20">
        <f>_xlfn.XMATCH(tbl_Clean[[#This Row],[Income Band]],{"$10k-30k","$40k-60k","$70k-90k","$100k+"})</f>
        <v>1</v>
      </c>
      <c r="R386" s="20" t="str">
        <f>IF(tbl_Clean[[#This Row],[Cars]]&lt;=1,"0-1 Cars","2+ Cars")</f>
        <v>2+ Cars</v>
      </c>
      <c r="S386" s="20">
        <f>_xlfn.XMATCH(tbl_Clean[[#This Row],[Commute Distance]],{"0-1 Miles","1-2 Miles","2-5 Miles","5-10 Miles","10+ Miles"})</f>
        <v>4</v>
      </c>
      <c r="T386" s="20">
        <f>_xlfn.XMATCH(tbl_Clean[[#This Row],[Education]],{"Partial High School","High School","Partial College","Bachelors","Graduate Degree"})</f>
        <v>3</v>
      </c>
      <c r="U386" s="20">
        <f>IF(tbl_Clean[[#This Row],[Purchased Bike]]="Yes",1,0)</f>
        <v>0</v>
      </c>
    </row>
    <row r="387" spans="1:21" x14ac:dyDescent="0.25">
      <c r="A387" s="20">
        <v>13586</v>
      </c>
      <c r="B387" s="3" t="s">
        <v>111</v>
      </c>
      <c r="C387" s="3" t="s">
        <v>113</v>
      </c>
      <c r="D387" s="19">
        <v>80000</v>
      </c>
      <c r="E387" s="20">
        <v>4</v>
      </c>
      <c r="F387" s="3" t="s">
        <v>21</v>
      </c>
      <c r="G387" s="3" t="s">
        <v>23</v>
      </c>
      <c r="H387" s="3" t="s">
        <v>17</v>
      </c>
      <c r="I387" s="20">
        <v>2</v>
      </c>
      <c r="J387" s="3" t="s">
        <v>33</v>
      </c>
      <c r="K387" s="3" t="s">
        <v>19</v>
      </c>
      <c r="L387" s="20">
        <v>53</v>
      </c>
      <c r="M387" s="3" t="s">
        <v>20</v>
      </c>
      <c r="N387" s="20" t="str" cm="1">
        <f t="array" ref="N387">_xlfn.IFS(tbl_Clean[[#This Row],[Age]]&lt;=30,"25-30",tbl_Clean[[#This Row],[Age]]&lt;=40,"31-40",tbl_Clean[[#This Row],[Age]]&lt;=50,"41-50",tbl_Clean[[#This Row],[Age]]&lt;=60,"51-60",TRUE,"61+")</f>
        <v>51-60</v>
      </c>
      <c r="O387" s="20">
        <f>_xlfn.XMATCH(tbl_Clean[[#This Row],[Age Band]],{"25-30","31-40","41-50","51-60","61+"})</f>
        <v>4</v>
      </c>
      <c r="P387" s="20" t="str" cm="1">
        <f t="array" ref="P387">_xlfn.IFS(tbl_Clean[[#This Row],[Income]]&lt;=30000,"$10k-30k",tbl_Clean[[#This Row],[Income]]&lt;=60000,"$40k-60k",tbl_Clean[[#This Row],[Income]]&lt;=90000,"$70k-90k",TRUE,"$100k+")</f>
        <v>$70k-90k</v>
      </c>
      <c r="Q387" s="20">
        <f>_xlfn.XMATCH(tbl_Clean[[#This Row],[Income Band]],{"$10k-30k","$40k-60k","$70k-90k","$100k+"})</f>
        <v>3</v>
      </c>
      <c r="R387" s="20" t="str">
        <f>IF(tbl_Clean[[#This Row],[Cars]]&lt;=1,"0-1 Cars","2+ Cars")</f>
        <v>2+ Cars</v>
      </c>
      <c r="S387" s="20">
        <f>_xlfn.XMATCH(tbl_Clean[[#This Row],[Commute Distance]],{"0-1 Miles","1-2 Miles","2-5 Miles","5-10 Miles","10+ Miles"})</f>
        <v>5</v>
      </c>
      <c r="T387" s="20">
        <f>_xlfn.XMATCH(tbl_Clean[[#This Row],[Education]],{"Partial High School","High School","Partial College","Bachelors","Graduate Degree"})</f>
        <v>3</v>
      </c>
      <c r="U387" s="20">
        <f>IF(tbl_Clean[[#This Row],[Purchased Bike]]="Yes",1,0)</f>
        <v>0</v>
      </c>
    </row>
    <row r="388" spans="1:21" x14ac:dyDescent="0.25">
      <c r="A388" s="20">
        <v>17978</v>
      </c>
      <c r="B388" s="3" t="s">
        <v>111</v>
      </c>
      <c r="C388" s="3" t="s">
        <v>113</v>
      </c>
      <c r="D388" s="19">
        <v>40000</v>
      </c>
      <c r="E388" s="20">
        <v>0</v>
      </c>
      <c r="F388" s="3" t="s">
        <v>34</v>
      </c>
      <c r="G388" s="3" t="s">
        <v>22</v>
      </c>
      <c r="H388" s="3" t="s">
        <v>17</v>
      </c>
      <c r="I388" s="20">
        <v>0</v>
      </c>
      <c r="J388" s="3" t="s">
        <v>18</v>
      </c>
      <c r="K388" s="3" t="s">
        <v>19</v>
      </c>
      <c r="L388" s="20">
        <v>37</v>
      </c>
      <c r="M388" s="3" t="s">
        <v>17</v>
      </c>
      <c r="N388" s="20" t="str" cm="1">
        <f t="array" ref="N388">_xlfn.IFS(tbl_Clean[[#This Row],[Age]]&lt;=30,"25-30",tbl_Clean[[#This Row],[Age]]&lt;=40,"31-40",tbl_Clean[[#This Row],[Age]]&lt;=50,"41-50",tbl_Clean[[#This Row],[Age]]&lt;=60,"51-60",TRUE,"61+")</f>
        <v>31-40</v>
      </c>
      <c r="O388" s="20">
        <f>_xlfn.XMATCH(tbl_Clean[[#This Row],[Age Band]],{"25-30","31-40","41-50","51-60","61+"})</f>
        <v>2</v>
      </c>
      <c r="P388" s="20" t="str" cm="1">
        <f t="array" ref="P388">_xlfn.IFS(tbl_Clean[[#This Row],[Income]]&lt;=30000,"$10k-30k",tbl_Clean[[#This Row],[Income]]&lt;=60000,"$40k-60k",tbl_Clean[[#This Row],[Income]]&lt;=90000,"$70k-90k",TRUE,"$100k+")</f>
        <v>$40k-60k</v>
      </c>
      <c r="Q388" s="20">
        <f>_xlfn.XMATCH(tbl_Clean[[#This Row],[Income Band]],{"$10k-30k","$40k-60k","$70k-90k","$100k+"})</f>
        <v>2</v>
      </c>
      <c r="R388" s="20" t="str">
        <f>IF(tbl_Clean[[#This Row],[Cars]]&lt;=1,"0-1 Cars","2+ Cars")</f>
        <v>0-1 Cars</v>
      </c>
      <c r="S388" s="20">
        <f>_xlfn.XMATCH(tbl_Clean[[#This Row],[Commute Distance]],{"0-1 Miles","1-2 Miles","2-5 Miles","5-10 Miles","10+ Miles"})</f>
        <v>1</v>
      </c>
      <c r="T388" s="20">
        <f>_xlfn.XMATCH(tbl_Clean[[#This Row],[Education]],{"Partial High School","High School","Partial College","Bachelors","Graduate Degree"})</f>
        <v>5</v>
      </c>
      <c r="U388" s="20">
        <f>IF(tbl_Clean[[#This Row],[Purchased Bike]]="Yes",1,0)</f>
        <v>1</v>
      </c>
    </row>
    <row r="389" spans="1:21" x14ac:dyDescent="0.25">
      <c r="A389" s="20">
        <v>12581</v>
      </c>
      <c r="B389" s="3" t="s">
        <v>114</v>
      </c>
      <c r="C389" s="3" t="s">
        <v>112</v>
      </c>
      <c r="D389" s="19">
        <v>10000</v>
      </c>
      <c r="E389" s="20">
        <v>0</v>
      </c>
      <c r="F389" s="3" t="s">
        <v>21</v>
      </c>
      <c r="G389" s="3" t="s">
        <v>28</v>
      </c>
      <c r="H389" s="3" t="s">
        <v>20</v>
      </c>
      <c r="I389" s="20">
        <v>1</v>
      </c>
      <c r="J389" s="3" t="s">
        <v>18</v>
      </c>
      <c r="K389" s="3" t="s">
        <v>27</v>
      </c>
      <c r="L389" s="20">
        <v>28</v>
      </c>
      <c r="M389" s="3" t="s">
        <v>17</v>
      </c>
      <c r="N389" s="20" t="str" cm="1">
        <f t="array" ref="N389">_xlfn.IFS(tbl_Clean[[#This Row],[Age]]&lt;=30,"25-30",tbl_Clean[[#This Row],[Age]]&lt;=40,"31-40",tbl_Clean[[#This Row],[Age]]&lt;=50,"41-50",tbl_Clean[[#This Row],[Age]]&lt;=60,"51-60",TRUE,"61+")</f>
        <v>25-30</v>
      </c>
      <c r="O389" s="20">
        <f>_xlfn.XMATCH(tbl_Clean[[#This Row],[Age Band]],{"25-30","31-40","41-50","51-60","61+"})</f>
        <v>1</v>
      </c>
      <c r="P389" s="20" t="str" cm="1">
        <f t="array" ref="P389">_xlfn.IFS(tbl_Clean[[#This Row],[Income]]&lt;=30000,"$10k-30k",tbl_Clean[[#This Row],[Income]]&lt;=60000,"$40k-60k",tbl_Clean[[#This Row],[Income]]&lt;=90000,"$70k-90k",TRUE,"$100k+")</f>
        <v>$10k-30k</v>
      </c>
      <c r="Q389" s="20">
        <f>_xlfn.XMATCH(tbl_Clean[[#This Row],[Income Band]],{"$10k-30k","$40k-60k","$70k-90k","$100k+"})</f>
        <v>1</v>
      </c>
      <c r="R389" s="20" t="str">
        <f>IF(tbl_Clean[[#This Row],[Cars]]&lt;=1,"0-1 Cars","2+ Cars")</f>
        <v>0-1 Cars</v>
      </c>
      <c r="S389" s="20">
        <f>_xlfn.XMATCH(tbl_Clean[[#This Row],[Commute Distance]],{"0-1 Miles","1-2 Miles","2-5 Miles","5-10 Miles","10+ Miles"})</f>
        <v>1</v>
      </c>
      <c r="T389" s="20">
        <f>_xlfn.XMATCH(tbl_Clean[[#This Row],[Education]],{"Partial High School","High School","Partial College","Bachelors","Graduate Degree"})</f>
        <v>3</v>
      </c>
      <c r="U389" s="20">
        <f>IF(tbl_Clean[[#This Row],[Purchased Bike]]="Yes",1,0)</f>
        <v>1</v>
      </c>
    </row>
    <row r="390" spans="1:21" x14ac:dyDescent="0.25">
      <c r="A390" s="20">
        <v>18018</v>
      </c>
      <c r="B390" s="3" t="s">
        <v>114</v>
      </c>
      <c r="C390" s="3" t="s">
        <v>113</v>
      </c>
      <c r="D390" s="19">
        <v>30000</v>
      </c>
      <c r="E390" s="20">
        <v>3</v>
      </c>
      <c r="F390" s="3" t="s">
        <v>21</v>
      </c>
      <c r="G390" s="3" t="s">
        <v>22</v>
      </c>
      <c r="H390" s="3" t="s">
        <v>17</v>
      </c>
      <c r="I390" s="20">
        <v>0</v>
      </c>
      <c r="J390" s="3" t="s">
        <v>18</v>
      </c>
      <c r="K390" s="3" t="s">
        <v>19</v>
      </c>
      <c r="L390" s="20">
        <v>43</v>
      </c>
      <c r="M390" s="3" t="s">
        <v>20</v>
      </c>
      <c r="N390" s="20" t="str" cm="1">
        <f t="array" ref="N390">_xlfn.IFS(tbl_Clean[[#This Row],[Age]]&lt;=30,"25-30",tbl_Clean[[#This Row],[Age]]&lt;=40,"31-40",tbl_Clean[[#This Row],[Age]]&lt;=50,"41-50",tbl_Clean[[#This Row],[Age]]&lt;=60,"51-60",TRUE,"61+")</f>
        <v>41-50</v>
      </c>
      <c r="O390" s="20">
        <f>_xlfn.XMATCH(tbl_Clean[[#This Row],[Age Band]],{"25-30","31-40","41-50","51-60","61+"})</f>
        <v>3</v>
      </c>
      <c r="P390" s="20" t="str" cm="1">
        <f t="array" ref="P390">_xlfn.IFS(tbl_Clean[[#This Row],[Income]]&lt;=30000,"$10k-30k",tbl_Clean[[#This Row],[Income]]&lt;=60000,"$40k-60k",tbl_Clean[[#This Row],[Income]]&lt;=90000,"$70k-90k",TRUE,"$100k+")</f>
        <v>$10k-30k</v>
      </c>
      <c r="Q390" s="20">
        <f>_xlfn.XMATCH(tbl_Clean[[#This Row],[Income Band]],{"$10k-30k","$40k-60k","$70k-90k","$100k+"})</f>
        <v>1</v>
      </c>
      <c r="R390" s="20" t="str">
        <f>IF(tbl_Clean[[#This Row],[Cars]]&lt;=1,"0-1 Cars","2+ Cars")</f>
        <v>0-1 Cars</v>
      </c>
      <c r="S390" s="20">
        <f>_xlfn.XMATCH(tbl_Clean[[#This Row],[Commute Distance]],{"0-1 Miles","1-2 Miles","2-5 Miles","5-10 Miles","10+ Miles"})</f>
        <v>1</v>
      </c>
      <c r="T390" s="20">
        <f>_xlfn.XMATCH(tbl_Clean[[#This Row],[Education]],{"Partial High School","High School","Partial College","Bachelors","Graduate Degree"})</f>
        <v>3</v>
      </c>
      <c r="U390" s="20">
        <f>IF(tbl_Clean[[#This Row],[Purchased Bike]]="Yes",1,0)</f>
        <v>0</v>
      </c>
    </row>
    <row r="391" spans="1:21" x14ac:dyDescent="0.25">
      <c r="A391" s="20">
        <v>28957</v>
      </c>
      <c r="B391" s="3" t="s">
        <v>114</v>
      </c>
      <c r="C391" s="3" t="s">
        <v>112</v>
      </c>
      <c r="D391" s="19">
        <v>120000</v>
      </c>
      <c r="E391" s="20">
        <v>0</v>
      </c>
      <c r="F391" s="3" t="s">
        <v>32</v>
      </c>
      <c r="G391" s="3" t="s">
        <v>23</v>
      </c>
      <c r="H391" s="3" t="s">
        <v>17</v>
      </c>
      <c r="I391" s="20">
        <v>4</v>
      </c>
      <c r="J391" s="3" t="s">
        <v>33</v>
      </c>
      <c r="K391" s="3" t="s">
        <v>27</v>
      </c>
      <c r="L391" s="20">
        <v>34</v>
      </c>
      <c r="M391" s="3" t="s">
        <v>17</v>
      </c>
      <c r="N391" s="20" t="str" cm="1">
        <f t="array" ref="N391">_xlfn.IFS(tbl_Clean[[#This Row],[Age]]&lt;=30,"25-30",tbl_Clean[[#This Row],[Age]]&lt;=40,"31-40",tbl_Clean[[#This Row],[Age]]&lt;=50,"41-50",tbl_Clean[[#This Row],[Age]]&lt;=60,"51-60",TRUE,"61+")</f>
        <v>31-40</v>
      </c>
      <c r="O391" s="20">
        <f>_xlfn.XMATCH(tbl_Clean[[#This Row],[Age Band]],{"25-30","31-40","41-50","51-60","61+"})</f>
        <v>2</v>
      </c>
      <c r="P391" s="20" t="str" cm="1">
        <f t="array" ref="P391">_xlfn.IFS(tbl_Clean[[#This Row],[Income]]&lt;=30000,"$10k-30k",tbl_Clean[[#This Row],[Income]]&lt;=60000,"$40k-60k",tbl_Clean[[#This Row],[Income]]&lt;=90000,"$70k-90k",TRUE,"$100k+")</f>
        <v>$100k+</v>
      </c>
      <c r="Q391" s="20">
        <f>_xlfn.XMATCH(tbl_Clean[[#This Row],[Income Band]],{"$10k-30k","$40k-60k","$70k-90k","$100k+"})</f>
        <v>4</v>
      </c>
      <c r="R391" s="20" t="str">
        <f>IF(tbl_Clean[[#This Row],[Cars]]&lt;=1,"0-1 Cars","2+ Cars")</f>
        <v>2+ Cars</v>
      </c>
      <c r="S391" s="20">
        <f>_xlfn.XMATCH(tbl_Clean[[#This Row],[Commute Distance]],{"0-1 Miles","1-2 Miles","2-5 Miles","5-10 Miles","10+ Miles"})</f>
        <v>5</v>
      </c>
      <c r="T391" s="20">
        <f>_xlfn.XMATCH(tbl_Clean[[#This Row],[Education]],{"Partial High School","High School","Partial College","Bachelors","Graduate Degree"})</f>
        <v>1</v>
      </c>
      <c r="U391" s="20">
        <f>IF(tbl_Clean[[#This Row],[Purchased Bike]]="Yes",1,0)</f>
        <v>1</v>
      </c>
    </row>
    <row r="392" spans="1:21" x14ac:dyDescent="0.25">
      <c r="A392" s="20">
        <v>13690</v>
      </c>
      <c r="B392" s="3" t="s">
        <v>114</v>
      </c>
      <c r="C392" s="3" t="s">
        <v>112</v>
      </c>
      <c r="D392" s="19">
        <v>20000</v>
      </c>
      <c r="E392" s="20">
        <v>0</v>
      </c>
      <c r="F392" s="3" t="s">
        <v>32</v>
      </c>
      <c r="G392" s="3" t="s">
        <v>28</v>
      </c>
      <c r="H392" s="3" t="s">
        <v>20</v>
      </c>
      <c r="I392" s="20">
        <v>2</v>
      </c>
      <c r="J392" s="3" t="s">
        <v>29</v>
      </c>
      <c r="K392" s="3" t="s">
        <v>19</v>
      </c>
      <c r="L392" s="20">
        <v>34</v>
      </c>
      <c r="M392" s="3" t="s">
        <v>17</v>
      </c>
      <c r="N392" s="20" t="str" cm="1">
        <f t="array" ref="N392">_xlfn.IFS(tbl_Clean[[#This Row],[Age]]&lt;=30,"25-30",tbl_Clean[[#This Row],[Age]]&lt;=40,"31-40",tbl_Clean[[#This Row],[Age]]&lt;=50,"41-50",tbl_Clean[[#This Row],[Age]]&lt;=60,"51-60",TRUE,"61+")</f>
        <v>31-40</v>
      </c>
      <c r="O392" s="20">
        <f>_xlfn.XMATCH(tbl_Clean[[#This Row],[Age Band]],{"25-30","31-40","41-50","51-60","61+"})</f>
        <v>2</v>
      </c>
      <c r="P392" s="20" t="str" cm="1">
        <f t="array" ref="P392">_xlfn.IFS(tbl_Clean[[#This Row],[Income]]&lt;=30000,"$10k-30k",tbl_Clean[[#This Row],[Income]]&lt;=60000,"$40k-60k",tbl_Clean[[#This Row],[Income]]&lt;=90000,"$70k-90k",TRUE,"$100k+")</f>
        <v>$10k-30k</v>
      </c>
      <c r="Q392" s="20">
        <f>_xlfn.XMATCH(tbl_Clean[[#This Row],[Income Band]],{"$10k-30k","$40k-60k","$70k-90k","$100k+"})</f>
        <v>1</v>
      </c>
      <c r="R392" s="20" t="str">
        <f>IF(tbl_Clean[[#This Row],[Cars]]&lt;=1,"0-1 Cars","2+ Cars")</f>
        <v>2+ Cars</v>
      </c>
      <c r="S392" s="20">
        <f>_xlfn.XMATCH(tbl_Clean[[#This Row],[Commute Distance]],{"0-1 Miles","1-2 Miles","2-5 Miles","5-10 Miles","10+ Miles"})</f>
        <v>2</v>
      </c>
      <c r="T392" s="20">
        <f>_xlfn.XMATCH(tbl_Clean[[#This Row],[Education]],{"Partial High School","High School","Partial College","Bachelors","Graduate Degree"})</f>
        <v>1</v>
      </c>
      <c r="U392" s="20">
        <f>IF(tbl_Clean[[#This Row],[Purchased Bike]]="Yes",1,0)</f>
        <v>1</v>
      </c>
    </row>
    <row r="393" spans="1:21" x14ac:dyDescent="0.25">
      <c r="A393" s="20">
        <v>12568</v>
      </c>
      <c r="B393" s="3" t="s">
        <v>111</v>
      </c>
      <c r="C393" s="3" t="s">
        <v>112</v>
      </c>
      <c r="D393" s="19">
        <v>30000</v>
      </c>
      <c r="E393" s="20">
        <v>1</v>
      </c>
      <c r="F393" s="3" t="s">
        <v>15</v>
      </c>
      <c r="G393" s="3" t="s">
        <v>22</v>
      </c>
      <c r="H393" s="3" t="s">
        <v>17</v>
      </c>
      <c r="I393" s="20">
        <v>0</v>
      </c>
      <c r="J393" s="3" t="s">
        <v>18</v>
      </c>
      <c r="K393" s="3" t="s">
        <v>19</v>
      </c>
      <c r="L393" s="20">
        <v>64</v>
      </c>
      <c r="M393" s="3" t="s">
        <v>20</v>
      </c>
      <c r="N393" s="20" t="str" cm="1">
        <f t="array" ref="N393">_xlfn.IFS(tbl_Clean[[#This Row],[Age]]&lt;=30,"25-30",tbl_Clean[[#This Row],[Age]]&lt;=40,"31-40",tbl_Clean[[#This Row],[Age]]&lt;=50,"41-50",tbl_Clean[[#This Row],[Age]]&lt;=60,"51-60",TRUE,"61+")</f>
        <v>61+</v>
      </c>
      <c r="O393" s="20">
        <f>_xlfn.XMATCH(tbl_Clean[[#This Row],[Age Band]],{"25-30","31-40","41-50","51-60","61+"})</f>
        <v>5</v>
      </c>
      <c r="P393" s="20" t="str" cm="1">
        <f t="array" ref="P393">_xlfn.IFS(tbl_Clean[[#This Row],[Income]]&lt;=30000,"$10k-30k",tbl_Clean[[#This Row],[Income]]&lt;=60000,"$40k-60k",tbl_Clean[[#This Row],[Income]]&lt;=90000,"$70k-90k",TRUE,"$100k+")</f>
        <v>$10k-30k</v>
      </c>
      <c r="Q393" s="20">
        <f>_xlfn.XMATCH(tbl_Clean[[#This Row],[Income Band]],{"$10k-30k","$40k-60k","$70k-90k","$100k+"})</f>
        <v>1</v>
      </c>
      <c r="R393" s="20" t="str">
        <f>IF(tbl_Clean[[#This Row],[Cars]]&lt;=1,"0-1 Cars","2+ Cars")</f>
        <v>0-1 Cars</v>
      </c>
      <c r="S393" s="20">
        <f>_xlfn.XMATCH(tbl_Clean[[#This Row],[Commute Distance]],{"0-1 Miles","1-2 Miles","2-5 Miles","5-10 Miles","10+ Miles"})</f>
        <v>1</v>
      </c>
      <c r="T393" s="20">
        <f>_xlfn.XMATCH(tbl_Clean[[#This Row],[Education]],{"Partial High School","High School","Partial College","Bachelors","Graduate Degree"})</f>
        <v>4</v>
      </c>
      <c r="U393" s="20">
        <f>IF(tbl_Clean[[#This Row],[Purchased Bike]]="Yes",1,0)</f>
        <v>0</v>
      </c>
    </row>
    <row r="394" spans="1:21" x14ac:dyDescent="0.25">
      <c r="A394" s="20">
        <v>13122</v>
      </c>
      <c r="B394" s="3" t="s">
        <v>111</v>
      </c>
      <c r="C394" s="3" t="s">
        <v>112</v>
      </c>
      <c r="D394" s="19">
        <v>80000</v>
      </c>
      <c r="E394" s="20">
        <v>0</v>
      </c>
      <c r="F394" s="3" t="s">
        <v>15</v>
      </c>
      <c r="G394" s="3" t="s">
        <v>23</v>
      </c>
      <c r="H394" s="3" t="s">
        <v>17</v>
      </c>
      <c r="I394" s="20">
        <v>1</v>
      </c>
      <c r="J394" s="3" t="s">
        <v>29</v>
      </c>
      <c r="K394" s="3" t="s">
        <v>27</v>
      </c>
      <c r="L394" s="20">
        <v>41</v>
      </c>
      <c r="M394" s="3" t="s">
        <v>17</v>
      </c>
      <c r="N394" s="20" t="str" cm="1">
        <f t="array" ref="N394">_xlfn.IFS(tbl_Clean[[#This Row],[Age]]&lt;=30,"25-30",tbl_Clean[[#This Row],[Age]]&lt;=40,"31-40",tbl_Clean[[#This Row],[Age]]&lt;=50,"41-50",tbl_Clean[[#This Row],[Age]]&lt;=60,"51-60",TRUE,"61+")</f>
        <v>41-50</v>
      </c>
      <c r="O394" s="20">
        <f>_xlfn.XMATCH(tbl_Clean[[#This Row],[Age Band]],{"25-30","31-40","41-50","51-60","61+"})</f>
        <v>3</v>
      </c>
      <c r="P394" s="20" t="str" cm="1">
        <f t="array" ref="P394">_xlfn.IFS(tbl_Clean[[#This Row],[Income]]&lt;=30000,"$10k-30k",tbl_Clean[[#This Row],[Income]]&lt;=60000,"$40k-60k",tbl_Clean[[#This Row],[Income]]&lt;=90000,"$70k-90k",TRUE,"$100k+")</f>
        <v>$70k-90k</v>
      </c>
      <c r="Q394" s="20">
        <f>_xlfn.XMATCH(tbl_Clean[[#This Row],[Income Band]],{"$10k-30k","$40k-60k","$70k-90k","$100k+"})</f>
        <v>3</v>
      </c>
      <c r="R394" s="20" t="str">
        <f>IF(tbl_Clean[[#This Row],[Cars]]&lt;=1,"0-1 Cars","2+ Cars")</f>
        <v>0-1 Cars</v>
      </c>
      <c r="S394" s="20">
        <f>_xlfn.XMATCH(tbl_Clean[[#This Row],[Commute Distance]],{"0-1 Miles","1-2 Miles","2-5 Miles","5-10 Miles","10+ Miles"})</f>
        <v>2</v>
      </c>
      <c r="T394" s="20">
        <f>_xlfn.XMATCH(tbl_Clean[[#This Row],[Education]],{"Partial High School","High School","Partial College","Bachelors","Graduate Degree"})</f>
        <v>4</v>
      </c>
      <c r="U394" s="20">
        <f>IF(tbl_Clean[[#This Row],[Purchased Bike]]="Yes",1,0)</f>
        <v>1</v>
      </c>
    </row>
    <row r="395" spans="1:21" x14ac:dyDescent="0.25">
      <c r="A395" s="20">
        <v>21184</v>
      </c>
      <c r="B395" s="3" t="s">
        <v>114</v>
      </c>
      <c r="C395" s="3" t="s">
        <v>113</v>
      </c>
      <c r="D395" s="19">
        <v>70000</v>
      </c>
      <c r="E395" s="20">
        <v>0</v>
      </c>
      <c r="F395" s="3" t="s">
        <v>15</v>
      </c>
      <c r="G395" s="3" t="s">
        <v>23</v>
      </c>
      <c r="H395" s="3" t="s">
        <v>20</v>
      </c>
      <c r="I395" s="20">
        <v>1</v>
      </c>
      <c r="J395" s="3" t="s">
        <v>26</v>
      </c>
      <c r="K395" s="3" t="s">
        <v>27</v>
      </c>
      <c r="L395" s="20">
        <v>38</v>
      </c>
      <c r="M395" s="3" t="s">
        <v>20</v>
      </c>
      <c r="N395" s="20" t="str" cm="1">
        <f t="array" ref="N395">_xlfn.IFS(tbl_Clean[[#This Row],[Age]]&lt;=30,"25-30",tbl_Clean[[#This Row],[Age]]&lt;=40,"31-40",tbl_Clean[[#This Row],[Age]]&lt;=50,"41-50",tbl_Clean[[#This Row],[Age]]&lt;=60,"51-60",TRUE,"61+")</f>
        <v>31-40</v>
      </c>
      <c r="O395" s="20">
        <f>_xlfn.XMATCH(tbl_Clean[[#This Row],[Age Band]],{"25-30","31-40","41-50","51-60","61+"})</f>
        <v>2</v>
      </c>
      <c r="P395" s="20" t="str" cm="1">
        <f t="array" ref="P395">_xlfn.IFS(tbl_Clean[[#This Row],[Income]]&lt;=30000,"$10k-30k",tbl_Clean[[#This Row],[Income]]&lt;=60000,"$40k-60k",tbl_Clean[[#This Row],[Income]]&lt;=90000,"$70k-90k",TRUE,"$100k+")</f>
        <v>$70k-90k</v>
      </c>
      <c r="Q395" s="20">
        <f>_xlfn.XMATCH(tbl_Clean[[#This Row],[Income Band]],{"$10k-30k","$40k-60k","$70k-90k","$100k+"})</f>
        <v>3</v>
      </c>
      <c r="R395" s="20" t="str">
        <f>IF(tbl_Clean[[#This Row],[Cars]]&lt;=1,"0-1 Cars","2+ Cars")</f>
        <v>0-1 Cars</v>
      </c>
      <c r="S395" s="20">
        <f>_xlfn.XMATCH(tbl_Clean[[#This Row],[Commute Distance]],{"0-1 Miles","1-2 Miles","2-5 Miles","5-10 Miles","10+ Miles"})</f>
        <v>4</v>
      </c>
      <c r="T395" s="20">
        <f>_xlfn.XMATCH(tbl_Clean[[#This Row],[Education]],{"Partial High School","High School","Partial College","Bachelors","Graduate Degree"})</f>
        <v>4</v>
      </c>
      <c r="U395" s="20">
        <f>IF(tbl_Clean[[#This Row],[Purchased Bike]]="Yes",1,0)</f>
        <v>0</v>
      </c>
    </row>
    <row r="396" spans="1:21" x14ac:dyDescent="0.25">
      <c r="A396" s="20">
        <v>26150</v>
      </c>
      <c r="B396" s="3" t="s">
        <v>114</v>
      </c>
      <c r="C396" s="3" t="s">
        <v>112</v>
      </c>
      <c r="D396" s="19">
        <v>70000</v>
      </c>
      <c r="E396" s="20">
        <v>0</v>
      </c>
      <c r="F396" s="3" t="s">
        <v>15</v>
      </c>
      <c r="G396" s="3" t="s">
        <v>23</v>
      </c>
      <c r="H396" s="3" t="s">
        <v>20</v>
      </c>
      <c r="I396" s="20">
        <v>1</v>
      </c>
      <c r="J396" s="3" t="s">
        <v>18</v>
      </c>
      <c r="K396" s="3" t="s">
        <v>27</v>
      </c>
      <c r="L396" s="20">
        <v>41</v>
      </c>
      <c r="M396" s="3" t="s">
        <v>17</v>
      </c>
      <c r="N396" s="20" t="str" cm="1">
        <f t="array" ref="N396">_xlfn.IFS(tbl_Clean[[#This Row],[Age]]&lt;=30,"25-30",tbl_Clean[[#This Row],[Age]]&lt;=40,"31-40",tbl_Clean[[#This Row],[Age]]&lt;=50,"41-50",tbl_Clean[[#This Row],[Age]]&lt;=60,"51-60",TRUE,"61+")</f>
        <v>41-50</v>
      </c>
      <c r="O396" s="20">
        <f>_xlfn.XMATCH(tbl_Clean[[#This Row],[Age Band]],{"25-30","31-40","41-50","51-60","61+"})</f>
        <v>3</v>
      </c>
      <c r="P396" s="20" t="str" cm="1">
        <f t="array" ref="P396">_xlfn.IFS(tbl_Clean[[#This Row],[Income]]&lt;=30000,"$10k-30k",tbl_Clean[[#This Row],[Income]]&lt;=60000,"$40k-60k",tbl_Clean[[#This Row],[Income]]&lt;=90000,"$70k-90k",TRUE,"$100k+")</f>
        <v>$70k-90k</v>
      </c>
      <c r="Q396" s="20">
        <f>_xlfn.XMATCH(tbl_Clean[[#This Row],[Income Band]],{"$10k-30k","$40k-60k","$70k-90k","$100k+"})</f>
        <v>3</v>
      </c>
      <c r="R396" s="20" t="str">
        <f>IF(tbl_Clean[[#This Row],[Cars]]&lt;=1,"0-1 Cars","2+ Cars")</f>
        <v>0-1 Cars</v>
      </c>
      <c r="S396" s="20">
        <f>_xlfn.XMATCH(tbl_Clean[[#This Row],[Commute Distance]],{"0-1 Miles","1-2 Miles","2-5 Miles","5-10 Miles","10+ Miles"})</f>
        <v>1</v>
      </c>
      <c r="T396" s="20">
        <f>_xlfn.XMATCH(tbl_Clean[[#This Row],[Education]],{"Partial High School","High School","Partial College","Bachelors","Graduate Degree"})</f>
        <v>4</v>
      </c>
      <c r="U396" s="20">
        <f>IF(tbl_Clean[[#This Row],[Purchased Bike]]="Yes",1,0)</f>
        <v>1</v>
      </c>
    </row>
    <row r="397" spans="1:21" x14ac:dyDescent="0.25">
      <c r="A397" s="20">
        <v>24151</v>
      </c>
      <c r="B397" s="3" t="s">
        <v>114</v>
      </c>
      <c r="C397" s="3" t="s">
        <v>113</v>
      </c>
      <c r="D397" s="19">
        <v>20000</v>
      </c>
      <c r="E397" s="20">
        <v>1</v>
      </c>
      <c r="F397" s="3" t="s">
        <v>15</v>
      </c>
      <c r="G397" s="3" t="s">
        <v>22</v>
      </c>
      <c r="H397" s="3" t="s">
        <v>20</v>
      </c>
      <c r="I397" s="20">
        <v>0</v>
      </c>
      <c r="J397" s="3" t="s">
        <v>18</v>
      </c>
      <c r="K397" s="3" t="s">
        <v>19</v>
      </c>
      <c r="L397" s="20">
        <v>51</v>
      </c>
      <c r="M397" s="3" t="s">
        <v>20</v>
      </c>
      <c r="N397" s="20" t="str" cm="1">
        <f t="array" ref="N397">_xlfn.IFS(tbl_Clean[[#This Row],[Age]]&lt;=30,"25-30",tbl_Clean[[#This Row],[Age]]&lt;=40,"31-40",tbl_Clean[[#This Row],[Age]]&lt;=50,"41-50",tbl_Clean[[#This Row],[Age]]&lt;=60,"51-60",TRUE,"61+")</f>
        <v>51-60</v>
      </c>
      <c r="O397" s="20">
        <f>_xlfn.XMATCH(tbl_Clean[[#This Row],[Age Band]],{"25-30","31-40","41-50","51-60","61+"})</f>
        <v>4</v>
      </c>
      <c r="P397" s="20" t="str" cm="1">
        <f t="array" ref="P397">_xlfn.IFS(tbl_Clean[[#This Row],[Income]]&lt;=30000,"$10k-30k",tbl_Clean[[#This Row],[Income]]&lt;=60000,"$40k-60k",tbl_Clean[[#This Row],[Income]]&lt;=90000,"$70k-90k",TRUE,"$100k+")</f>
        <v>$10k-30k</v>
      </c>
      <c r="Q397" s="20">
        <f>_xlfn.XMATCH(tbl_Clean[[#This Row],[Income Band]],{"$10k-30k","$40k-60k","$70k-90k","$100k+"})</f>
        <v>1</v>
      </c>
      <c r="R397" s="20" t="str">
        <f>IF(tbl_Clean[[#This Row],[Cars]]&lt;=1,"0-1 Cars","2+ Cars")</f>
        <v>0-1 Cars</v>
      </c>
      <c r="S397" s="20">
        <f>_xlfn.XMATCH(tbl_Clean[[#This Row],[Commute Distance]],{"0-1 Miles","1-2 Miles","2-5 Miles","5-10 Miles","10+ Miles"})</f>
        <v>1</v>
      </c>
      <c r="T397" s="20">
        <f>_xlfn.XMATCH(tbl_Clean[[#This Row],[Education]],{"Partial High School","High School","Partial College","Bachelors","Graduate Degree"})</f>
        <v>4</v>
      </c>
      <c r="U397" s="20">
        <f>IF(tbl_Clean[[#This Row],[Purchased Bike]]="Yes",1,0)</f>
        <v>0</v>
      </c>
    </row>
    <row r="398" spans="1:21" x14ac:dyDescent="0.25">
      <c r="A398" s="20">
        <v>23962</v>
      </c>
      <c r="B398" s="3" t="s">
        <v>111</v>
      </c>
      <c r="C398" s="3" t="s">
        <v>112</v>
      </c>
      <c r="D398" s="19">
        <v>10000</v>
      </c>
      <c r="E398" s="20">
        <v>0</v>
      </c>
      <c r="F398" s="3" t="s">
        <v>32</v>
      </c>
      <c r="G398" s="3" t="s">
        <v>28</v>
      </c>
      <c r="H398" s="3" t="s">
        <v>17</v>
      </c>
      <c r="I398" s="20">
        <v>2</v>
      </c>
      <c r="J398" s="3" t="s">
        <v>29</v>
      </c>
      <c r="K398" s="3" t="s">
        <v>19</v>
      </c>
      <c r="L398" s="20">
        <v>32</v>
      </c>
      <c r="M398" s="3" t="s">
        <v>20</v>
      </c>
      <c r="N398" s="20" t="str" cm="1">
        <f t="array" ref="N398">_xlfn.IFS(tbl_Clean[[#This Row],[Age]]&lt;=30,"25-30",tbl_Clean[[#This Row],[Age]]&lt;=40,"31-40",tbl_Clean[[#This Row],[Age]]&lt;=50,"41-50",tbl_Clean[[#This Row],[Age]]&lt;=60,"51-60",TRUE,"61+")</f>
        <v>31-40</v>
      </c>
      <c r="O398" s="20">
        <f>_xlfn.XMATCH(tbl_Clean[[#This Row],[Age Band]],{"25-30","31-40","41-50","51-60","61+"})</f>
        <v>2</v>
      </c>
      <c r="P398" s="20" t="str" cm="1">
        <f t="array" ref="P398">_xlfn.IFS(tbl_Clean[[#This Row],[Income]]&lt;=30000,"$10k-30k",tbl_Clean[[#This Row],[Income]]&lt;=60000,"$40k-60k",tbl_Clean[[#This Row],[Income]]&lt;=90000,"$70k-90k",TRUE,"$100k+")</f>
        <v>$10k-30k</v>
      </c>
      <c r="Q398" s="20">
        <f>_xlfn.XMATCH(tbl_Clean[[#This Row],[Income Band]],{"$10k-30k","$40k-60k","$70k-90k","$100k+"})</f>
        <v>1</v>
      </c>
      <c r="R398" s="20" t="str">
        <f>IF(tbl_Clean[[#This Row],[Cars]]&lt;=1,"0-1 Cars","2+ Cars")</f>
        <v>2+ Cars</v>
      </c>
      <c r="S398" s="20">
        <f>_xlfn.XMATCH(tbl_Clean[[#This Row],[Commute Distance]],{"0-1 Miles","1-2 Miles","2-5 Miles","5-10 Miles","10+ Miles"})</f>
        <v>2</v>
      </c>
      <c r="T398" s="20">
        <f>_xlfn.XMATCH(tbl_Clean[[#This Row],[Education]],{"Partial High School","High School","Partial College","Bachelors","Graduate Degree"})</f>
        <v>1</v>
      </c>
      <c r="U398" s="20">
        <f>IF(tbl_Clean[[#This Row],[Purchased Bike]]="Yes",1,0)</f>
        <v>0</v>
      </c>
    </row>
    <row r="399" spans="1:21" x14ac:dyDescent="0.25">
      <c r="A399" s="20">
        <v>17793</v>
      </c>
      <c r="B399" s="3" t="s">
        <v>111</v>
      </c>
      <c r="C399" s="3" t="s">
        <v>112</v>
      </c>
      <c r="D399" s="19">
        <v>40000</v>
      </c>
      <c r="E399" s="20">
        <v>0</v>
      </c>
      <c r="F399" s="3" t="s">
        <v>15</v>
      </c>
      <c r="G399" s="3" t="s">
        <v>22</v>
      </c>
      <c r="H399" s="3" t="s">
        <v>17</v>
      </c>
      <c r="I399" s="20">
        <v>0</v>
      </c>
      <c r="J399" s="3" t="s">
        <v>18</v>
      </c>
      <c r="K399" s="3" t="s">
        <v>19</v>
      </c>
      <c r="L399" s="20">
        <v>38</v>
      </c>
      <c r="M399" s="3" t="s">
        <v>17</v>
      </c>
      <c r="N399" s="20" t="str" cm="1">
        <f t="array" ref="N399">_xlfn.IFS(tbl_Clean[[#This Row],[Age]]&lt;=30,"25-30",tbl_Clean[[#This Row],[Age]]&lt;=40,"31-40",tbl_Clean[[#This Row],[Age]]&lt;=50,"41-50",tbl_Clean[[#This Row],[Age]]&lt;=60,"51-60",TRUE,"61+")</f>
        <v>31-40</v>
      </c>
      <c r="O399" s="20">
        <f>_xlfn.XMATCH(tbl_Clean[[#This Row],[Age Band]],{"25-30","31-40","41-50","51-60","61+"})</f>
        <v>2</v>
      </c>
      <c r="P399" s="20" t="str" cm="1">
        <f t="array" ref="P399">_xlfn.IFS(tbl_Clean[[#This Row],[Income]]&lt;=30000,"$10k-30k",tbl_Clean[[#This Row],[Income]]&lt;=60000,"$40k-60k",tbl_Clean[[#This Row],[Income]]&lt;=90000,"$70k-90k",TRUE,"$100k+")</f>
        <v>$40k-60k</v>
      </c>
      <c r="Q399" s="20">
        <f>_xlfn.XMATCH(tbl_Clean[[#This Row],[Income Band]],{"$10k-30k","$40k-60k","$70k-90k","$100k+"})</f>
        <v>2</v>
      </c>
      <c r="R399" s="20" t="str">
        <f>IF(tbl_Clean[[#This Row],[Cars]]&lt;=1,"0-1 Cars","2+ Cars")</f>
        <v>0-1 Cars</v>
      </c>
      <c r="S399" s="20">
        <f>_xlfn.XMATCH(tbl_Clean[[#This Row],[Commute Distance]],{"0-1 Miles","1-2 Miles","2-5 Miles","5-10 Miles","10+ Miles"})</f>
        <v>1</v>
      </c>
      <c r="T399" s="20">
        <f>_xlfn.XMATCH(tbl_Clean[[#This Row],[Education]],{"Partial High School","High School","Partial College","Bachelors","Graduate Degree"})</f>
        <v>4</v>
      </c>
      <c r="U399" s="20">
        <f>IF(tbl_Clean[[#This Row],[Purchased Bike]]="Yes",1,0)</f>
        <v>1</v>
      </c>
    </row>
    <row r="400" spans="1:21" x14ac:dyDescent="0.25">
      <c r="A400" s="20">
        <v>14926</v>
      </c>
      <c r="B400" s="3" t="s">
        <v>111</v>
      </c>
      <c r="C400" s="3" t="s">
        <v>113</v>
      </c>
      <c r="D400" s="19">
        <v>30000</v>
      </c>
      <c r="E400" s="20">
        <v>1</v>
      </c>
      <c r="F400" s="3" t="s">
        <v>15</v>
      </c>
      <c r="G400" s="3" t="s">
        <v>22</v>
      </c>
      <c r="H400" s="3" t="s">
        <v>17</v>
      </c>
      <c r="I400" s="20">
        <v>0</v>
      </c>
      <c r="J400" s="3" t="s">
        <v>18</v>
      </c>
      <c r="K400" s="3" t="s">
        <v>19</v>
      </c>
      <c r="L400" s="20">
        <v>38</v>
      </c>
      <c r="M400" s="3" t="s">
        <v>17</v>
      </c>
      <c r="N400" s="20" t="str" cm="1">
        <f t="array" ref="N400">_xlfn.IFS(tbl_Clean[[#This Row],[Age]]&lt;=30,"25-30",tbl_Clean[[#This Row],[Age]]&lt;=40,"31-40",tbl_Clean[[#This Row],[Age]]&lt;=50,"41-50",tbl_Clean[[#This Row],[Age]]&lt;=60,"51-60",TRUE,"61+")</f>
        <v>31-40</v>
      </c>
      <c r="O400" s="20">
        <f>_xlfn.XMATCH(tbl_Clean[[#This Row],[Age Band]],{"25-30","31-40","41-50","51-60","61+"})</f>
        <v>2</v>
      </c>
      <c r="P400" s="20" t="str" cm="1">
        <f t="array" ref="P400">_xlfn.IFS(tbl_Clean[[#This Row],[Income]]&lt;=30000,"$10k-30k",tbl_Clean[[#This Row],[Income]]&lt;=60000,"$40k-60k",tbl_Clean[[#This Row],[Income]]&lt;=90000,"$70k-90k",TRUE,"$100k+")</f>
        <v>$10k-30k</v>
      </c>
      <c r="Q400" s="20">
        <f>_xlfn.XMATCH(tbl_Clean[[#This Row],[Income Band]],{"$10k-30k","$40k-60k","$70k-90k","$100k+"})</f>
        <v>1</v>
      </c>
      <c r="R400" s="20" t="str">
        <f>IF(tbl_Clean[[#This Row],[Cars]]&lt;=1,"0-1 Cars","2+ Cars")</f>
        <v>0-1 Cars</v>
      </c>
      <c r="S400" s="20">
        <f>_xlfn.XMATCH(tbl_Clean[[#This Row],[Commute Distance]],{"0-1 Miles","1-2 Miles","2-5 Miles","5-10 Miles","10+ Miles"})</f>
        <v>1</v>
      </c>
      <c r="T400" s="20">
        <f>_xlfn.XMATCH(tbl_Clean[[#This Row],[Education]],{"Partial High School","High School","Partial College","Bachelors","Graduate Degree"})</f>
        <v>4</v>
      </c>
      <c r="U400" s="20">
        <f>IF(tbl_Clean[[#This Row],[Purchased Bike]]="Yes",1,0)</f>
        <v>1</v>
      </c>
    </row>
    <row r="401" spans="1:21" x14ac:dyDescent="0.25">
      <c r="A401" s="20">
        <v>16163</v>
      </c>
      <c r="B401" s="3" t="s">
        <v>114</v>
      </c>
      <c r="C401" s="3" t="s">
        <v>113</v>
      </c>
      <c r="D401" s="19">
        <v>60000</v>
      </c>
      <c r="E401" s="20">
        <v>2</v>
      </c>
      <c r="F401" s="3" t="s">
        <v>15</v>
      </c>
      <c r="G401" s="3" t="s">
        <v>23</v>
      </c>
      <c r="H401" s="3" t="s">
        <v>17</v>
      </c>
      <c r="I401" s="20">
        <v>1</v>
      </c>
      <c r="J401" s="3" t="s">
        <v>24</v>
      </c>
      <c r="K401" s="3" t="s">
        <v>27</v>
      </c>
      <c r="L401" s="20">
        <v>38</v>
      </c>
      <c r="M401" s="3" t="s">
        <v>17</v>
      </c>
      <c r="N401" s="20" t="str" cm="1">
        <f t="array" ref="N401">_xlfn.IFS(tbl_Clean[[#This Row],[Age]]&lt;=30,"25-30",tbl_Clean[[#This Row],[Age]]&lt;=40,"31-40",tbl_Clean[[#This Row],[Age]]&lt;=50,"41-50",tbl_Clean[[#This Row],[Age]]&lt;=60,"51-60",TRUE,"61+")</f>
        <v>31-40</v>
      </c>
      <c r="O401" s="20">
        <f>_xlfn.XMATCH(tbl_Clean[[#This Row],[Age Band]],{"25-30","31-40","41-50","51-60","61+"})</f>
        <v>2</v>
      </c>
      <c r="P401" s="20" t="str" cm="1">
        <f t="array" ref="P401">_xlfn.IFS(tbl_Clean[[#This Row],[Income]]&lt;=30000,"$10k-30k",tbl_Clean[[#This Row],[Income]]&lt;=60000,"$40k-60k",tbl_Clean[[#This Row],[Income]]&lt;=90000,"$70k-90k",TRUE,"$100k+")</f>
        <v>$40k-60k</v>
      </c>
      <c r="Q401" s="20">
        <f>_xlfn.XMATCH(tbl_Clean[[#This Row],[Income Band]],{"$10k-30k","$40k-60k","$70k-90k","$100k+"})</f>
        <v>2</v>
      </c>
      <c r="R401" s="20" t="str">
        <f>IF(tbl_Clean[[#This Row],[Cars]]&lt;=1,"0-1 Cars","2+ Cars")</f>
        <v>0-1 Cars</v>
      </c>
      <c r="S401" s="20">
        <f>_xlfn.XMATCH(tbl_Clean[[#This Row],[Commute Distance]],{"0-1 Miles","1-2 Miles","2-5 Miles","5-10 Miles","10+ Miles"})</f>
        <v>3</v>
      </c>
      <c r="T401" s="20">
        <f>_xlfn.XMATCH(tbl_Clean[[#This Row],[Education]],{"Partial High School","High School","Partial College","Bachelors","Graduate Degree"})</f>
        <v>4</v>
      </c>
      <c r="U401" s="20">
        <f>IF(tbl_Clean[[#This Row],[Purchased Bike]]="Yes",1,0)</f>
        <v>1</v>
      </c>
    </row>
    <row r="402" spans="1:21" x14ac:dyDescent="0.25">
      <c r="A402" s="20">
        <v>21365</v>
      </c>
      <c r="B402" s="3" t="s">
        <v>111</v>
      </c>
      <c r="C402" s="3" t="s">
        <v>112</v>
      </c>
      <c r="D402" s="19">
        <v>10000</v>
      </c>
      <c r="E402" s="20">
        <v>2</v>
      </c>
      <c r="F402" s="3" t="s">
        <v>32</v>
      </c>
      <c r="G402" s="3" t="s">
        <v>22</v>
      </c>
      <c r="H402" s="3" t="s">
        <v>17</v>
      </c>
      <c r="I402" s="20">
        <v>2</v>
      </c>
      <c r="J402" s="3" t="s">
        <v>26</v>
      </c>
      <c r="K402" s="3" t="s">
        <v>27</v>
      </c>
      <c r="L402" s="20">
        <v>58</v>
      </c>
      <c r="M402" s="3" t="s">
        <v>20</v>
      </c>
      <c r="N402" s="20" t="str" cm="1">
        <f t="array" ref="N402">_xlfn.IFS(tbl_Clean[[#This Row],[Age]]&lt;=30,"25-30",tbl_Clean[[#This Row],[Age]]&lt;=40,"31-40",tbl_Clean[[#This Row],[Age]]&lt;=50,"41-50",tbl_Clean[[#This Row],[Age]]&lt;=60,"51-60",TRUE,"61+")</f>
        <v>51-60</v>
      </c>
      <c r="O402" s="20">
        <f>_xlfn.XMATCH(tbl_Clean[[#This Row],[Age Band]],{"25-30","31-40","41-50","51-60","61+"})</f>
        <v>4</v>
      </c>
      <c r="P402" s="20" t="str" cm="1">
        <f t="array" ref="P402">_xlfn.IFS(tbl_Clean[[#This Row],[Income]]&lt;=30000,"$10k-30k",tbl_Clean[[#This Row],[Income]]&lt;=60000,"$40k-60k",tbl_Clean[[#This Row],[Income]]&lt;=90000,"$70k-90k",TRUE,"$100k+")</f>
        <v>$10k-30k</v>
      </c>
      <c r="Q402" s="20">
        <f>_xlfn.XMATCH(tbl_Clean[[#This Row],[Income Band]],{"$10k-30k","$40k-60k","$70k-90k","$100k+"})</f>
        <v>1</v>
      </c>
      <c r="R402" s="20" t="str">
        <f>IF(tbl_Clean[[#This Row],[Cars]]&lt;=1,"0-1 Cars","2+ Cars")</f>
        <v>2+ Cars</v>
      </c>
      <c r="S402" s="20">
        <f>_xlfn.XMATCH(tbl_Clean[[#This Row],[Commute Distance]],{"0-1 Miles","1-2 Miles","2-5 Miles","5-10 Miles","10+ Miles"})</f>
        <v>4</v>
      </c>
      <c r="T402" s="20">
        <f>_xlfn.XMATCH(tbl_Clean[[#This Row],[Education]],{"Partial High School","High School","Partial College","Bachelors","Graduate Degree"})</f>
        <v>1</v>
      </c>
      <c r="U402" s="20">
        <f>IF(tbl_Clean[[#This Row],[Purchased Bike]]="Yes",1,0)</f>
        <v>0</v>
      </c>
    </row>
    <row r="403" spans="1:21" x14ac:dyDescent="0.25">
      <c r="A403" s="20">
        <v>27771</v>
      </c>
      <c r="B403" s="3" t="s">
        <v>114</v>
      </c>
      <c r="C403" s="3" t="s">
        <v>113</v>
      </c>
      <c r="D403" s="19">
        <v>30000</v>
      </c>
      <c r="E403" s="20">
        <v>1</v>
      </c>
      <c r="F403" s="3" t="s">
        <v>15</v>
      </c>
      <c r="G403" s="3" t="s">
        <v>22</v>
      </c>
      <c r="H403" s="3" t="s">
        <v>17</v>
      </c>
      <c r="I403" s="20">
        <v>1</v>
      </c>
      <c r="J403" s="3" t="s">
        <v>29</v>
      </c>
      <c r="K403" s="3" t="s">
        <v>19</v>
      </c>
      <c r="L403" s="20">
        <v>39</v>
      </c>
      <c r="M403" s="3" t="s">
        <v>17</v>
      </c>
      <c r="N403" s="20" t="str" cm="1">
        <f t="array" ref="N403">_xlfn.IFS(tbl_Clean[[#This Row],[Age]]&lt;=30,"25-30",tbl_Clean[[#This Row],[Age]]&lt;=40,"31-40",tbl_Clean[[#This Row],[Age]]&lt;=50,"41-50",tbl_Clean[[#This Row],[Age]]&lt;=60,"51-60",TRUE,"61+")</f>
        <v>31-40</v>
      </c>
      <c r="O403" s="20">
        <f>_xlfn.XMATCH(tbl_Clean[[#This Row],[Age Band]],{"25-30","31-40","41-50","51-60","61+"})</f>
        <v>2</v>
      </c>
      <c r="P403" s="20" t="str" cm="1">
        <f t="array" ref="P403">_xlfn.IFS(tbl_Clean[[#This Row],[Income]]&lt;=30000,"$10k-30k",tbl_Clean[[#This Row],[Income]]&lt;=60000,"$40k-60k",tbl_Clean[[#This Row],[Income]]&lt;=90000,"$70k-90k",TRUE,"$100k+")</f>
        <v>$10k-30k</v>
      </c>
      <c r="Q403" s="20">
        <f>_xlfn.XMATCH(tbl_Clean[[#This Row],[Income Band]],{"$10k-30k","$40k-60k","$70k-90k","$100k+"})</f>
        <v>1</v>
      </c>
      <c r="R403" s="20" t="str">
        <f>IF(tbl_Clean[[#This Row],[Cars]]&lt;=1,"0-1 Cars","2+ Cars")</f>
        <v>0-1 Cars</v>
      </c>
      <c r="S403" s="20">
        <f>_xlfn.XMATCH(tbl_Clean[[#This Row],[Commute Distance]],{"0-1 Miles","1-2 Miles","2-5 Miles","5-10 Miles","10+ Miles"})</f>
        <v>2</v>
      </c>
      <c r="T403" s="20">
        <f>_xlfn.XMATCH(tbl_Clean[[#This Row],[Education]],{"Partial High School","High School","Partial College","Bachelors","Graduate Degree"})</f>
        <v>4</v>
      </c>
      <c r="U403" s="20">
        <f>IF(tbl_Clean[[#This Row],[Purchased Bike]]="Yes",1,0)</f>
        <v>1</v>
      </c>
    </row>
    <row r="404" spans="1:21" x14ac:dyDescent="0.25">
      <c r="A404" s="20">
        <v>26167</v>
      </c>
      <c r="B404" s="3" t="s">
        <v>114</v>
      </c>
      <c r="C404" s="3" t="s">
        <v>112</v>
      </c>
      <c r="D404" s="19">
        <v>40000</v>
      </c>
      <c r="E404" s="20">
        <v>2</v>
      </c>
      <c r="F404" s="3" t="s">
        <v>15</v>
      </c>
      <c r="G404" s="3" t="s">
        <v>31</v>
      </c>
      <c r="H404" s="3" t="s">
        <v>20</v>
      </c>
      <c r="I404" s="20">
        <v>1</v>
      </c>
      <c r="J404" s="3" t="s">
        <v>26</v>
      </c>
      <c r="K404" s="3" t="s">
        <v>27</v>
      </c>
      <c r="L404" s="20">
        <v>53</v>
      </c>
      <c r="M404" s="3" t="s">
        <v>17</v>
      </c>
      <c r="N404" s="20" t="str" cm="1">
        <f t="array" ref="N404">_xlfn.IFS(tbl_Clean[[#This Row],[Age]]&lt;=30,"25-30",tbl_Clean[[#This Row],[Age]]&lt;=40,"31-40",tbl_Clean[[#This Row],[Age]]&lt;=50,"41-50",tbl_Clean[[#This Row],[Age]]&lt;=60,"51-60",TRUE,"61+")</f>
        <v>51-60</v>
      </c>
      <c r="O404" s="20">
        <f>_xlfn.XMATCH(tbl_Clean[[#This Row],[Age Band]],{"25-30","31-40","41-50","51-60","61+"})</f>
        <v>4</v>
      </c>
      <c r="P404" s="20" t="str" cm="1">
        <f t="array" ref="P404">_xlfn.IFS(tbl_Clean[[#This Row],[Income]]&lt;=30000,"$10k-30k",tbl_Clean[[#This Row],[Income]]&lt;=60000,"$40k-60k",tbl_Clean[[#This Row],[Income]]&lt;=90000,"$70k-90k",TRUE,"$100k+")</f>
        <v>$40k-60k</v>
      </c>
      <c r="Q404" s="20">
        <f>_xlfn.XMATCH(tbl_Clean[[#This Row],[Income Band]],{"$10k-30k","$40k-60k","$70k-90k","$100k+"})</f>
        <v>2</v>
      </c>
      <c r="R404" s="20" t="str">
        <f>IF(tbl_Clean[[#This Row],[Cars]]&lt;=1,"0-1 Cars","2+ Cars")</f>
        <v>0-1 Cars</v>
      </c>
      <c r="S404" s="20">
        <f>_xlfn.XMATCH(tbl_Clean[[#This Row],[Commute Distance]],{"0-1 Miles","1-2 Miles","2-5 Miles","5-10 Miles","10+ Miles"})</f>
        <v>4</v>
      </c>
      <c r="T404" s="20">
        <f>_xlfn.XMATCH(tbl_Clean[[#This Row],[Education]],{"Partial High School","High School","Partial College","Bachelors","Graduate Degree"})</f>
        <v>4</v>
      </c>
      <c r="U404" s="20">
        <f>IF(tbl_Clean[[#This Row],[Purchased Bike]]="Yes",1,0)</f>
        <v>1</v>
      </c>
    </row>
    <row r="405" spans="1:21" x14ac:dyDescent="0.25">
      <c r="A405" s="20">
        <v>25792</v>
      </c>
      <c r="B405" s="3" t="s">
        <v>114</v>
      </c>
      <c r="C405" s="3" t="s">
        <v>112</v>
      </c>
      <c r="D405" s="19">
        <v>110000</v>
      </c>
      <c r="E405" s="20">
        <v>3</v>
      </c>
      <c r="F405" s="3" t="s">
        <v>15</v>
      </c>
      <c r="G405" s="3" t="s">
        <v>31</v>
      </c>
      <c r="H405" s="3" t="s">
        <v>17</v>
      </c>
      <c r="I405" s="20">
        <v>4</v>
      </c>
      <c r="J405" s="3" t="s">
        <v>33</v>
      </c>
      <c r="K405" s="3" t="s">
        <v>19</v>
      </c>
      <c r="L405" s="20">
        <v>53</v>
      </c>
      <c r="M405" s="3" t="s">
        <v>20</v>
      </c>
      <c r="N405" s="20" t="str" cm="1">
        <f t="array" ref="N405">_xlfn.IFS(tbl_Clean[[#This Row],[Age]]&lt;=30,"25-30",tbl_Clean[[#This Row],[Age]]&lt;=40,"31-40",tbl_Clean[[#This Row],[Age]]&lt;=50,"41-50",tbl_Clean[[#This Row],[Age]]&lt;=60,"51-60",TRUE,"61+")</f>
        <v>51-60</v>
      </c>
      <c r="O405" s="20">
        <f>_xlfn.XMATCH(tbl_Clean[[#This Row],[Age Band]],{"25-30","31-40","41-50","51-60","61+"})</f>
        <v>4</v>
      </c>
      <c r="P405" s="20" t="str" cm="1">
        <f t="array" ref="P405">_xlfn.IFS(tbl_Clean[[#This Row],[Income]]&lt;=30000,"$10k-30k",tbl_Clean[[#This Row],[Income]]&lt;=60000,"$40k-60k",tbl_Clean[[#This Row],[Income]]&lt;=90000,"$70k-90k",TRUE,"$100k+")</f>
        <v>$100k+</v>
      </c>
      <c r="Q405" s="20">
        <f>_xlfn.XMATCH(tbl_Clean[[#This Row],[Income Band]],{"$10k-30k","$40k-60k","$70k-90k","$100k+"})</f>
        <v>4</v>
      </c>
      <c r="R405" s="20" t="str">
        <f>IF(tbl_Clean[[#This Row],[Cars]]&lt;=1,"0-1 Cars","2+ Cars")</f>
        <v>2+ Cars</v>
      </c>
      <c r="S405" s="20">
        <f>_xlfn.XMATCH(tbl_Clean[[#This Row],[Commute Distance]],{"0-1 Miles","1-2 Miles","2-5 Miles","5-10 Miles","10+ Miles"})</f>
        <v>5</v>
      </c>
      <c r="T405" s="20">
        <f>_xlfn.XMATCH(tbl_Clean[[#This Row],[Education]],{"Partial High School","High School","Partial College","Bachelors","Graduate Degree"})</f>
        <v>4</v>
      </c>
      <c r="U405" s="20">
        <f>IF(tbl_Clean[[#This Row],[Purchased Bike]]="Yes",1,0)</f>
        <v>0</v>
      </c>
    </row>
    <row r="406" spans="1:21" x14ac:dyDescent="0.25">
      <c r="A406" s="20">
        <v>11555</v>
      </c>
      <c r="B406" s="3" t="s">
        <v>111</v>
      </c>
      <c r="C406" s="3" t="s">
        <v>112</v>
      </c>
      <c r="D406" s="19">
        <v>40000</v>
      </c>
      <c r="E406" s="20">
        <v>1</v>
      </c>
      <c r="F406" s="3" t="s">
        <v>15</v>
      </c>
      <c r="G406" s="3" t="s">
        <v>22</v>
      </c>
      <c r="H406" s="3" t="s">
        <v>17</v>
      </c>
      <c r="I406" s="20">
        <v>0</v>
      </c>
      <c r="J406" s="3" t="s">
        <v>18</v>
      </c>
      <c r="K406" s="3" t="s">
        <v>19</v>
      </c>
      <c r="L406" s="20">
        <v>80</v>
      </c>
      <c r="M406" s="3" t="s">
        <v>20</v>
      </c>
      <c r="N406" s="20" t="str" cm="1">
        <f t="array" ref="N406">_xlfn.IFS(tbl_Clean[[#This Row],[Age]]&lt;=30,"25-30",tbl_Clean[[#This Row],[Age]]&lt;=40,"31-40",tbl_Clean[[#This Row],[Age]]&lt;=50,"41-50",tbl_Clean[[#This Row],[Age]]&lt;=60,"51-60",TRUE,"61+")</f>
        <v>61+</v>
      </c>
      <c r="O406" s="20">
        <f>_xlfn.XMATCH(tbl_Clean[[#This Row],[Age Band]],{"25-30","31-40","41-50","51-60","61+"})</f>
        <v>5</v>
      </c>
      <c r="P406" s="20" t="str" cm="1">
        <f t="array" ref="P406">_xlfn.IFS(tbl_Clean[[#This Row],[Income]]&lt;=30000,"$10k-30k",tbl_Clean[[#This Row],[Income]]&lt;=60000,"$40k-60k",tbl_Clean[[#This Row],[Income]]&lt;=90000,"$70k-90k",TRUE,"$100k+")</f>
        <v>$40k-60k</v>
      </c>
      <c r="Q406" s="20">
        <f>_xlfn.XMATCH(tbl_Clean[[#This Row],[Income Band]],{"$10k-30k","$40k-60k","$70k-90k","$100k+"})</f>
        <v>2</v>
      </c>
      <c r="R406" s="20" t="str">
        <f>IF(tbl_Clean[[#This Row],[Cars]]&lt;=1,"0-1 Cars","2+ Cars")</f>
        <v>0-1 Cars</v>
      </c>
      <c r="S406" s="20">
        <f>_xlfn.XMATCH(tbl_Clean[[#This Row],[Commute Distance]],{"0-1 Miles","1-2 Miles","2-5 Miles","5-10 Miles","10+ Miles"})</f>
        <v>1</v>
      </c>
      <c r="T406" s="20">
        <f>_xlfn.XMATCH(tbl_Clean[[#This Row],[Education]],{"Partial High School","High School","Partial College","Bachelors","Graduate Degree"})</f>
        <v>4</v>
      </c>
      <c r="U406" s="20">
        <f>IF(tbl_Clean[[#This Row],[Purchased Bike]]="Yes",1,0)</f>
        <v>0</v>
      </c>
    </row>
    <row r="407" spans="1:21" x14ac:dyDescent="0.25">
      <c r="A407" s="20">
        <v>22381</v>
      </c>
      <c r="B407" s="3" t="s">
        <v>111</v>
      </c>
      <c r="C407" s="3" t="s">
        <v>113</v>
      </c>
      <c r="D407" s="19">
        <v>10000</v>
      </c>
      <c r="E407" s="20">
        <v>1</v>
      </c>
      <c r="F407" s="3" t="s">
        <v>34</v>
      </c>
      <c r="G407" s="3" t="s">
        <v>28</v>
      </c>
      <c r="H407" s="3" t="s">
        <v>17</v>
      </c>
      <c r="I407" s="20">
        <v>0</v>
      </c>
      <c r="J407" s="3" t="s">
        <v>18</v>
      </c>
      <c r="K407" s="3" t="s">
        <v>19</v>
      </c>
      <c r="L407" s="20">
        <v>44</v>
      </c>
      <c r="M407" s="3" t="s">
        <v>20</v>
      </c>
      <c r="N407" s="20" t="str" cm="1">
        <f t="array" ref="N407">_xlfn.IFS(tbl_Clean[[#This Row],[Age]]&lt;=30,"25-30",tbl_Clean[[#This Row],[Age]]&lt;=40,"31-40",tbl_Clean[[#This Row],[Age]]&lt;=50,"41-50",tbl_Clean[[#This Row],[Age]]&lt;=60,"51-60",TRUE,"61+")</f>
        <v>41-50</v>
      </c>
      <c r="O407" s="20">
        <f>_xlfn.XMATCH(tbl_Clean[[#This Row],[Age Band]],{"25-30","31-40","41-50","51-60","61+"})</f>
        <v>3</v>
      </c>
      <c r="P407" s="20" t="str" cm="1">
        <f t="array" ref="P407">_xlfn.IFS(tbl_Clean[[#This Row],[Income]]&lt;=30000,"$10k-30k",tbl_Clean[[#This Row],[Income]]&lt;=60000,"$40k-60k",tbl_Clean[[#This Row],[Income]]&lt;=90000,"$70k-90k",TRUE,"$100k+")</f>
        <v>$10k-30k</v>
      </c>
      <c r="Q407" s="20">
        <f>_xlfn.XMATCH(tbl_Clean[[#This Row],[Income Band]],{"$10k-30k","$40k-60k","$70k-90k","$100k+"})</f>
        <v>1</v>
      </c>
      <c r="R407" s="20" t="str">
        <f>IF(tbl_Clean[[#This Row],[Cars]]&lt;=1,"0-1 Cars","2+ Cars")</f>
        <v>0-1 Cars</v>
      </c>
      <c r="S407" s="20">
        <f>_xlfn.XMATCH(tbl_Clean[[#This Row],[Commute Distance]],{"0-1 Miles","1-2 Miles","2-5 Miles","5-10 Miles","10+ Miles"})</f>
        <v>1</v>
      </c>
      <c r="T407" s="20">
        <f>_xlfn.XMATCH(tbl_Clean[[#This Row],[Education]],{"Partial High School","High School","Partial College","Bachelors","Graduate Degree"})</f>
        <v>5</v>
      </c>
      <c r="U407" s="20">
        <f>IF(tbl_Clean[[#This Row],[Purchased Bike]]="Yes",1,0)</f>
        <v>0</v>
      </c>
    </row>
    <row r="408" spans="1:21" x14ac:dyDescent="0.25">
      <c r="A408" s="20">
        <v>17882</v>
      </c>
      <c r="B408" s="3" t="s">
        <v>111</v>
      </c>
      <c r="C408" s="3" t="s">
        <v>113</v>
      </c>
      <c r="D408" s="19">
        <v>20000</v>
      </c>
      <c r="E408" s="20">
        <v>1</v>
      </c>
      <c r="F408" s="3" t="s">
        <v>34</v>
      </c>
      <c r="G408" s="3" t="s">
        <v>22</v>
      </c>
      <c r="H408" s="3" t="s">
        <v>17</v>
      </c>
      <c r="I408" s="20">
        <v>0</v>
      </c>
      <c r="J408" s="3" t="s">
        <v>18</v>
      </c>
      <c r="K408" s="3" t="s">
        <v>19</v>
      </c>
      <c r="L408" s="20">
        <v>44</v>
      </c>
      <c r="M408" s="3" t="s">
        <v>20</v>
      </c>
      <c r="N408" s="20" t="str" cm="1">
        <f t="array" ref="N408">_xlfn.IFS(tbl_Clean[[#This Row],[Age]]&lt;=30,"25-30",tbl_Clean[[#This Row],[Age]]&lt;=40,"31-40",tbl_Clean[[#This Row],[Age]]&lt;=50,"41-50",tbl_Clean[[#This Row],[Age]]&lt;=60,"51-60",TRUE,"61+")</f>
        <v>41-50</v>
      </c>
      <c r="O408" s="20">
        <f>_xlfn.XMATCH(tbl_Clean[[#This Row],[Age Band]],{"25-30","31-40","41-50","51-60","61+"})</f>
        <v>3</v>
      </c>
      <c r="P408" s="20" t="str" cm="1">
        <f t="array" ref="P408">_xlfn.IFS(tbl_Clean[[#This Row],[Income]]&lt;=30000,"$10k-30k",tbl_Clean[[#This Row],[Income]]&lt;=60000,"$40k-60k",tbl_Clean[[#This Row],[Income]]&lt;=90000,"$70k-90k",TRUE,"$100k+")</f>
        <v>$10k-30k</v>
      </c>
      <c r="Q408" s="20">
        <f>_xlfn.XMATCH(tbl_Clean[[#This Row],[Income Band]],{"$10k-30k","$40k-60k","$70k-90k","$100k+"})</f>
        <v>1</v>
      </c>
      <c r="R408" s="20" t="str">
        <f>IF(tbl_Clean[[#This Row],[Cars]]&lt;=1,"0-1 Cars","2+ Cars")</f>
        <v>0-1 Cars</v>
      </c>
      <c r="S408" s="20">
        <f>_xlfn.XMATCH(tbl_Clean[[#This Row],[Commute Distance]],{"0-1 Miles","1-2 Miles","2-5 Miles","5-10 Miles","10+ Miles"})</f>
        <v>1</v>
      </c>
      <c r="T408" s="20">
        <f>_xlfn.XMATCH(tbl_Clean[[#This Row],[Education]],{"Partial High School","High School","Partial College","Bachelors","Graduate Degree"})</f>
        <v>5</v>
      </c>
      <c r="U408" s="20">
        <f>IF(tbl_Clean[[#This Row],[Purchased Bike]]="Yes",1,0)</f>
        <v>0</v>
      </c>
    </row>
    <row r="409" spans="1:21" x14ac:dyDescent="0.25">
      <c r="A409" s="20">
        <v>22174</v>
      </c>
      <c r="B409" s="3" t="s">
        <v>111</v>
      </c>
      <c r="C409" s="3" t="s">
        <v>113</v>
      </c>
      <c r="D409" s="19">
        <v>30000</v>
      </c>
      <c r="E409" s="20">
        <v>3</v>
      </c>
      <c r="F409" s="3" t="s">
        <v>30</v>
      </c>
      <c r="G409" s="3" t="s">
        <v>16</v>
      </c>
      <c r="H409" s="3" t="s">
        <v>17</v>
      </c>
      <c r="I409" s="20">
        <v>2</v>
      </c>
      <c r="J409" s="3" t="s">
        <v>26</v>
      </c>
      <c r="K409" s="3" t="s">
        <v>27</v>
      </c>
      <c r="L409" s="20">
        <v>54</v>
      </c>
      <c r="M409" s="3" t="s">
        <v>17</v>
      </c>
      <c r="N409" s="20" t="str" cm="1">
        <f t="array" ref="N409">_xlfn.IFS(tbl_Clean[[#This Row],[Age]]&lt;=30,"25-30",tbl_Clean[[#This Row],[Age]]&lt;=40,"31-40",tbl_Clean[[#This Row],[Age]]&lt;=50,"41-50",tbl_Clean[[#This Row],[Age]]&lt;=60,"51-60",TRUE,"61+")</f>
        <v>51-60</v>
      </c>
      <c r="O409" s="20">
        <f>_xlfn.XMATCH(tbl_Clean[[#This Row],[Age Band]],{"25-30","31-40","41-50","51-60","61+"})</f>
        <v>4</v>
      </c>
      <c r="P409" s="20" t="str" cm="1">
        <f t="array" ref="P409">_xlfn.IFS(tbl_Clean[[#This Row],[Income]]&lt;=30000,"$10k-30k",tbl_Clean[[#This Row],[Income]]&lt;=60000,"$40k-60k",tbl_Clean[[#This Row],[Income]]&lt;=90000,"$70k-90k",TRUE,"$100k+")</f>
        <v>$10k-30k</v>
      </c>
      <c r="Q409" s="20">
        <f>_xlfn.XMATCH(tbl_Clean[[#This Row],[Income Band]],{"$10k-30k","$40k-60k","$70k-90k","$100k+"})</f>
        <v>1</v>
      </c>
      <c r="R409" s="20" t="str">
        <f>IF(tbl_Clean[[#This Row],[Cars]]&lt;=1,"0-1 Cars","2+ Cars")</f>
        <v>2+ Cars</v>
      </c>
      <c r="S409" s="20">
        <f>_xlfn.XMATCH(tbl_Clean[[#This Row],[Commute Distance]],{"0-1 Miles","1-2 Miles","2-5 Miles","5-10 Miles","10+ Miles"})</f>
        <v>4</v>
      </c>
      <c r="T409" s="20">
        <f>_xlfn.XMATCH(tbl_Clean[[#This Row],[Education]],{"Partial High School","High School","Partial College","Bachelors","Graduate Degree"})</f>
        <v>2</v>
      </c>
      <c r="U409" s="20">
        <f>IF(tbl_Clean[[#This Row],[Purchased Bike]]="Yes",1,0)</f>
        <v>1</v>
      </c>
    </row>
    <row r="410" spans="1:21" x14ac:dyDescent="0.25">
      <c r="A410" s="20">
        <v>22439</v>
      </c>
      <c r="B410" s="3" t="s">
        <v>111</v>
      </c>
      <c r="C410" s="3" t="s">
        <v>112</v>
      </c>
      <c r="D410" s="19">
        <v>30000</v>
      </c>
      <c r="E410" s="20">
        <v>0</v>
      </c>
      <c r="F410" s="3" t="s">
        <v>15</v>
      </c>
      <c r="G410" s="3" t="s">
        <v>22</v>
      </c>
      <c r="H410" s="3" t="s">
        <v>17</v>
      </c>
      <c r="I410" s="20">
        <v>0</v>
      </c>
      <c r="J410" s="3" t="s">
        <v>18</v>
      </c>
      <c r="K410" s="3" t="s">
        <v>19</v>
      </c>
      <c r="L410" s="20">
        <v>37</v>
      </c>
      <c r="M410" s="3" t="s">
        <v>17</v>
      </c>
      <c r="N410" s="20" t="str" cm="1">
        <f t="array" ref="N410">_xlfn.IFS(tbl_Clean[[#This Row],[Age]]&lt;=30,"25-30",tbl_Clean[[#This Row],[Age]]&lt;=40,"31-40",tbl_Clean[[#This Row],[Age]]&lt;=50,"41-50",tbl_Clean[[#This Row],[Age]]&lt;=60,"51-60",TRUE,"61+")</f>
        <v>31-40</v>
      </c>
      <c r="O410" s="20">
        <f>_xlfn.XMATCH(tbl_Clean[[#This Row],[Age Band]],{"25-30","31-40","41-50","51-60","61+"})</f>
        <v>2</v>
      </c>
      <c r="P410" s="20" t="str" cm="1">
        <f t="array" ref="P410">_xlfn.IFS(tbl_Clean[[#This Row],[Income]]&lt;=30000,"$10k-30k",tbl_Clean[[#This Row],[Income]]&lt;=60000,"$40k-60k",tbl_Clean[[#This Row],[Income]]&lt;=90000,"$70k-90k",TRUE,"$100k+")</f>
        <v>$10k-30k</v>
      </c>
      <c r="Q410" s="20">
        <f>_xlfn.XMATCH(tbl_Clean[[#This Row],[Income Band]],{"$10k-30k","$40k-60k","$70k-90k","$100k+"})</f>
        <v>1</v>
      </c>
      <c r="R410" s="20" t="str">
        <f>IF(tbl_Clean[[#This Row],[Cars]]&lt;=1,"0-1 Cars","2+ Cars")</f>
        <v>0-1 Cars</v>
      </c>
      <c r="S410" s="20">
        <f>_xlfn.XMATCH(tbl_Clean[[#This Row],[Commute Distance]],{"0-1 Miles","1-2 Miles","2-5 Miles","5-10 Miles","10+ Miles"})</f>
        <v>1</v>
      </c>
      <c r="T410" s="20">
        <f>_xlfn.XMATCH(tbl_Clean[[#This Row],[Education]],{"Partial High School","High School","Partial College","Bachelors","Graduate Degree"})</f>
        <v>4</v>
      </c>
      <c r="U410" s="20">
        <f>IF(tbl_Clean[[#This Row],[Purchased Bike]]="Yes",1,0)</f>
        <v>1</v>
      </c>
    </row>
    <row r="411" spans="1:21" x14ac:dyDescent="0.25">
      <c r="A411" s="20">
        <v>18012</v>
      </c>
      <c r="B411" s="3" t="s">
        <v>111</v>
      </c>
      <c r="C411" s="3" t="s">
        <v>112</v>
      </c>
      <c r="D411" s="19">
        <v>40000</v>
      </c>
      <c r="E411" s="20">
        <v>1</v>
      </c>
      <c r="F411" s="3" t="s">
        <v>15</v>
      </c>
      <c r="G411" s="3" t="s">
        <v>16</v>
      </c>
      <c r="H411" s="3" t="s">
        <v>17</v>
      </c>
      <c r="I411" s="20">
        <v>0</v>
      </c>
      <c r="J411" s="3" t="s">
        <v>18</v>
      </c>
      <c r="K411" s="3" t="s">
        <v>19</v>
      </c>
      <c r="L411" s="20">
        <v>41</v>
      </c>
      <c r="M411" s="3" t="s">
        <v>20</v>
      </c>
      <c r="N411" s="20" t="str" cm="1">
        <f t="array" ref="N411">_xlfn.IFS(tbl_Clean[[#This Row],[Age]]&lt;=30,"25-30",tbl_Clean[[#This Row],[Age]]&lt;=40,"31-40",tbl_Clean[[#This Row],[Age]]&lt;=50,"41-50",tbl_Clean[[#This Row],[Age]]&lt;=60,"51-60",TRUE,"61+")</f>
        <v>41-50</v>
      </c>
      <c r="O411" s="20">
        <f>_xlfn.XMATCH(tbl_Clean[[#This Row],[Age Band]],{"25-30","31-40","41-50","51-60","61+"})</f>
        <v>3</v>
      </c>
      <c r="P411" s="20" t="str" cm="1">
        <f t="array" ref="P411">_xlfn.IFS(tbl_Clean[[#This Row],[Income]]&lt;=30000,"$10k-30k",tbl_Clean[[#This Row],[Income]]&lt;=60000,"$40k-60k",tbl_Clean[[#This Row],[Income]]&lt;=90000,"$70k-90k",TRUE,"$100k+")</f>
        <v>$40k-60k</v>
      </c>
      <c r="Q411" s="20">
        <f>_xlfn.XMATCH(tbl_Clean[[#This Row],[Income Band]],{"$10k-30k","$40k-60k","$70k-90k","$100k+"})</f>
        <v>2</v>
      </c>
      <c r="R411" s="20" t="str">
        <f>IF(tbl_Clean[[#This Row],[Cars]]&lt;=1,"0-1 Cars","2+ Cars")</f>
        <v>0-1 Cars</v>
      </c>
      <c r="S411" s="20">
        <f>_xlfn.XMATCH(tbl_Clean[[#This Row],[Commute Distance]],{"0-1 Miles","1-2 Miles","2-5 Miles","5-10 Miles","10+ Miles"})</f>
        <v>1</v>
      </c>
      <c r="T411" s="20">
        <f>_xlfn.XMATCH(tbl_Clean[[#This Row],[Education]],{"Partial High School","High School","Partial College","Bachelors","Graduate Degree"})</f>
        <v>4</v>
      </c>
      <c r="U411" s="20">
        <f>IF(tbl_Clean[[#This Row],[Purchased Bike]]="Yes",1,0)</f>
        <v>0</v>
      </c>
    </row>
    <row r="412" spans="1:21" x14ac:dyDescent="0.25">
      <c r="A412" s="20">
        <v>27582</v>
      </c>
      <c r="B412" s="3" t="s">
        <v>114</v>
      </c>
      <c r="C412" s="3" t="s">
        <v>112</v>
      </c>
      <c r="D412" s="19">
        <v>90000</v>
      </c>
      <c r="E412" s="20">
        <v>2</v>
      </c>
      <c r="F412" s="3" t="s">
        <v>15</v>
      </c>
      <c r="G412" s="3" t="s">
        <v>23</v>
      </c>
      <c r="H412" s="3" t="s">
        <v>20</v>
      </c>
      <c r="I412" s="20">
        <v>0</v>
      </c>
      <c r="J412" s="3" t="s">
        <v>18</v>
      </c>
      <c r="K412" s="3" t="s">
        <v>27</v>
      </c>
      <c r="L412" s="20">
        <v>36</v>
      </c>
      <c r="M412" s="3" t="s">
        <v>17</v>
      </c>
      <c r="N412" s="20" t="str" cm="1">
        <f t="array" ref="N412">_xlfn.IFS(tbl_Clean[[#This Row],[Age]]&lt;=30,"25-30",tbl_Clean[[#This Row],[Age]]&lt;=40,"31-40",tbl_Clean[[#This Row],[Age]]&lt;=50,"41-50",tbl_Clean[[#This Row],[Age]]&lt;=60,"51-60",TRUE,"61+")</f>
        <v>31-40</v>
      </c>
      <c r="O412" s="20">
        <f>_xlfn.XMATCH(tbl_Clean[[#This Row],[Age Band]],{"25-30","31-40","41-50","51-60","61+"})</f>
        <v>2</v>
      </c>
      <c r="P412" s="20" t="str" cm="1">
        <f t="array" ref="P412">_xlfn.IFS(tbl_Clean[[#This Row],[Income]]&lt;=30000,"$10k-30k",tbl_Clean[[#This Row],[Income]]&lt;=60000,"$40k-60k",tbl_Clean[[#This Row],[Income]]&lt;=90000,"$70k-90k",TRUE,"$100k+")</f>
        <v>$70k-90k</v>
      </c>
      <c r="Q412" s="20">
        <f>_xlfn.XMATCH(tbl_Clean[[#This Row],[Income Band]],{"$10k-30k","$40k-60k","$70k-90k","$100k+"})</f>
        <v>3</v>
      </c>
      <c r="R412" s="20" t="str">
        <f>IF(tbl_Clean[[#This Row],[Cars]]&lt;=1,"0-1 Cars","2+ Cars")</f>
        <v>0-1 Cars</v>
      </c>
      <c r="S412" s="20">
        <f>_xlfn.XMATCH(tbl_Clean[[#This Row],[Commute Distance]],{"0-1 Miles","1-2 Miles","2-5 Miles","5-10 Miles","10+ Miles"})</f>
        <v>1</v>
      </c>
      <c r="T412" s="20">
        <f>_xlfn.XMATCH(tbl_Clean[[#This Row],[Education]],{"Partial High School","High School","Partial College","Bachelors","Graduate Degree"})</f>
        <v>4</v>
      </c>
      <c r="U412" s="20">
        <f>IF(tbl_Clean[[#This Row],[Purchased Bike]]="Yes",1,0)</f>
        <v>1</v>
      </c>
    </row>
    <row r="413" spans="1:21" x14ac:dyDescent="0.25">
      <c r="A413" s="20">
        <v>12744</v>
      </c>
      <c r="B413" s="3" t="s">
        <v>114</v>
      </c>
      <c r="C413" s="3" t="s">
        <v>112</v>
      </c>
      <c r="D413" s="19">
        <v>40000</v>
      </c>
      <c r="E413" s="20">
        <v>2</v>
      </c>
      <c r="F413" s="3" t="s">
        <v>21</v>
      </c>
      <c r="G413" s="3" t="s">
        <v>22</v>
      </c>
      <c r="H413" s="3" t="s">
        <v>17</v>
      </c>
      <c r="I413" s="20">
        <v>0</v>
      </c>
      <c r="J413" s="3" t="s">
        <v>18</v>
      </c>
      <c r="K413" s="3" t="s">
        <v>19</v>
      </c>
      <c r="L413" s="20">
        <v>33</v>
      </c>
      <c r="M413" s="3" t="s">
        <v>20</v>
      </c>
      <c r="N413" s="20" t="str" cm="1">
        <f t="array" ref="N413">_xlfn.IFS(tbl_Clean[[#This Row],[Age]]&lt;=30,"25-30",tbl_Clean[[#This Row],[Age]]&lt;=40,"31-40",tbl_Clean[[#This Row],[Age]]&lt;=50,"41-50",tbl_Clean[[#This Row],[Age]]&lt;=60,"51-60",TRUE,"61+")</f>
        <v>31-40</v>
      </c>
      <c r="O413" s="20">
        <f>_xlfn.XMATCH(tbl_Clean[[#This Row],[Age Band]],{"25-30","31-40","41-50","51-60","61+"})</f>
        <v>2</v>
      </c>
      <c r="P413" s="20" t="str" cm="1">
        <f t="array" ref="P413">_xlfn.IFS(tbl_Clean[[#This Row],[Income]]&lt;=30000,"$10k-30k",tbl_Clean[[#This Row],[Income]]&lt;=60000,"$40k-60k",tbl_Clean[[#This Row],[Income]]&lt;=90000,"$70k-90k",TRUE,"$100k+")</f>
        <v>$40k-60k</v>
      </c>
      <c r="Q413" s="20">
        <f>_xlfn.XMATCH(tbl_Clean[[#This Row],[Income Band]],{"$10k-30k","$40k-60k","$70k-90k","$100k+"})</f>
        <v>2</v>
      </c>
      <c r="R413" s="20" t="str">
        <f>IF(tbl_Clean[[#This Row],[Cars]]&lt;=1,"0-1 Cars","2+ Cars")</f>
        <v>0-1 Cars</v>
      </c>
      <c r="S413" s="20">
        <f>_xlfn.XMATCH(tbl_Clean[[#This Row],[Commute Distance]],{"0-1 Miles","1-2 Miles","2-5 Miles","5-10 Miles","10+ Miles"})</f>
        <v>1</v>
      </c>
      <c r="T413" s="20">
        <f>_xlfn.XMATCH(tbl_Clean[[#This Row],[Education]],{"Partial High School","High School","Partial College","Bachelors","Graduate Degree"})</f>
        <v>3</v>
      </c>
      <c r="U413" s="20">
        <f>IF(tbl_Clean[[#This Row],[Purchased Bike]]="Yes",1,0)</f>
        <v>0</v>
      </c>
    </row>
    <row r="414" spans="1:21" x14ac:dyDescent="0.25">
      <c r="A414" s="20">
        <v>22821</v>
      </c>
      <c r="B414" s="3" t="s">
        <v>111</v>
      </c>
      <c r="C414" s="3" t="s">
        <v>112</v>
      </c>
      <c r="D414" s="19">
        <v>130000</v>
      </c>
      <c r="E414" s="20">
        <v>3</v>
      </c>
      <c r="F414" s="3" t="s">
        <v>21</v>
      </c>
      <c r="G414" s="3" t="s">
        <v>23</v>
      </c>
      <c r="H414" s="3" t="s">
        <v>17</v>
      </c>
      <c r="I414" s="20">
        <v>4</v>
      </c>
      <c r="J414" s="3" t="s">
        <v>18</v>
      </c>
      <c r="K414" s="3" t="s">
        <v>19</v>
      </c>
      <c r="L414" s="20">
        <v>52</v>
      </c>
      <c r="M414" s="3" t="s">
        <v>20</v>
      </c>
      <c r="N414" s="20" t="str" cm="1">
        <f t="array" ref="N414">_xlfn.IFS(tbl_Clean[[#This Row],[Age]]&lt;=30,"25-30",tbl_Clean[[#This Row],[Age]]&lt;=40,"31-40",tbl_Clean[[#This Row],[Age]]&lt;=50,"41-50",tbl_Clean[[#This Row],[Age]]&lt;=60,"51-60",TRUE,"61+")</f>
        <v>51-60</v>
      </c>
      <c r="O414" s="20">
        <f>_xlfn.XMATCH(tbl_Clean[[#This Row],[Age Band]],{"25-30","31-40","41-50","51-60","61+"})</f>
        <v>4</v>
      </c>
      <c r="P414" s="20" t="str" cm="1">
        <f t="array" ref="P414">_xlfn.IFS(tbl_Clean[[#This Row],[Income]]&lt;=30000,"$10k-30k",tbl_Clean[[#This Row],[Income]]&lt;=60000,"$40k-60k",tbl_Clean[[#This Row],[Income]]&lt;=90000,"$70k-90k",TRUE,"$100k+")</f>
        <v>$100k+</v>
      </c>
      <c r="Q414" s="20">
        <f>_xlfn.XMATCH(tbl_Clean[[#This Row],[Income Band]],{"$10k-30k","$40k-60k","$70k-90k","$100k+"})</f>
        <v>4</v>
      </c>
      <c r="R414" s="20" t="str">
        <f>IF(tbl_Clean[[#This Row],[Cars]]&lt;=1,"0-1 Cars","2+ Cars")</f>
        <v>2+ Cars</v>
      </c>
      <c r="S414" s="20">
        <f>_xlfn.XMATCH(tbl_Clean[[#This Row],[Commute Distance]],{"0-1 Miles","1-2 Miles","2-5 Miles","5-10 Miles","10+ Miles"})</f>
        <v>1</v>
      </c>
      <c r="T414" s="20">
        <f>_xlfn.XMATCH(tbl_Clean[[#This Row],[Education]],{"Partial High School","High School","Partial College","Bachelors","Graduate Degree"})</f>
        <v>3</v>
      </c>
      <c r="U414" s="20">
        <f>IF(tbl_Clean[[#This Row],[Purchased Bike]]="Yes",1,0)</f>
        <v>0</v>
      </c>
    </row>
    <row r="415" spans="1:21" x14ac:dyDescent="0.25">
      <c r="A415" s="20">
        <v>20171</v>
      </c>
      <c r="B415" s="3" t="s">
        <v>111</v>
      </c>
      <c r="C415" s="3" t="s">
        <v>112</v>
      </c>
      <c r="D415" s="19">
        <v>20000</v>
      </c>
      <c r="E415" s="20">
        <v>2</v>
      </c>
      <c r="F415" s="3" t="s">
        <v>21</v>
      </c>
      <c r="G415" s="3" t="s">
        <v>28</v>
      </c>
      <c r="H415" s="3" t="s">
        <v>17</v>
      </c>
      <c r="I415" s="20">
        <v>1</v>
      </c>
      <c r="J415" s="3" t="s">
        <v>18</v>
      </c>
      <c r="K415" s="3" t="s">
        <v>19</v>
      </c>
      <c r="L415" s="20">
        <v>46</v>
      </c>
      <c r="M415" s="3" t="s">
        <v>17</v>
      </c>
      <c r="N415" s="20" t="str" cm="1">
        <f t="array" ref="N415">_xlfn.IFS(tbl_Clean[[#This Row],[Age]]&lt;=30,"25-30",tbl_Clean[[#This Row],[Age]]&lt;=40,"31-40",tbl_Clean[[#This Row],[Age]]&lt;=50,"41-50",tbl_Clean[[#This Row],[Age]]&lt;=60,"51-60",TRUE,"61+")</f>
        <v>41-50</v>
      </c>
      <c r="O415" s="20">
        <f>_xlfn.XMATCH(tbl_Clean[[#This Row],[Age Band]],{"25-30","31-40","41-50","51-60","61+"})</f>
        <v>3</v>
      </c>
      <c r="P415" s="20" t="str" cm="1">
        <f t="array" ref="P415">_xlfn.IFS(tbl_Clean[[#This Row],[Income]]&lt;=30000,"$10k-30k",tbl_Clean[[#This Row],[Income]]&lt;=60000,"$40k-60k",tbl_Clean[[#This Row],[Income]]&lt;=90000,"$70k-90k",TRUE,"$100k+")</f>
        <v>$10k-30k</v>
      </c>
      <c r="Q415" s="20">
        <f>_xlfn.XMATCH(tbl_Clean[[#This Row],[Income Band]],{"$10k-30k","$40k-60k","$70k-90k","$100k+"})</f>
        <v>1</v>
      </c>
      <c r="R415" s="20" t="str">
        <f>IF(tbl_Clean[[#This Row],[Cars]]&lt;=1,"0-1 Cars","2+ Cars")</f>
        <v>0-1 Cars</v>
      </c>
      <c r="S415" s="20">
        <f>_xlfn.XMATCH(tbl_Clean[[#This Row],[Commute Distance]],{"0-1 Miles","1-2 Miles","2-5 Miles","5-10 Miles","10+ Miles"})</f>
        <v>1</v>
      </c>
      <c r="T415" s="20">
        <f>_xlfn.XMATCH(tbl_Clean[[#This Row],[Education]],{"Partial High School","High School","Partial College","Bachelors","Graduate Degree"})</f>
        <v>3</v>
      </c>
      <c r="U415" s="20">
        <f>IF(tbl_Clean[[#This Row],[Purchased Bike]]="Yes",1,0)</f>
        <v>1</v>
      </c>
    </row>
    <row r="416" spans="1:21" x14ac:dyDescent="0.25">
      <c r="A416" s="20">
        <v>11116</v>
      </c>
      <c r="B416" s="3" t="s">
        <v>111</v>
      </c>
      <c r="C416" s="3" t="s">
        <v>113</v>
      </c>
      <c r="D416" s="19">
        <v>70000</v>
      </c>
      <c r="E416" s="20">
        <v>5</v>
      </c>
      <c r="F416" s="3" t="s">
        <v>21</v>
      </c>
      <c r="G416" s="3" t="s">
        <v>16</v>
      </c>
      <c r="H416" s="3" t="s">
        <v>17</v>
      </c>
      <c r="I416" s="20">
        <v>2</v>
      </c>
      <c r="J416" s="3" t="s">
        <v>26</v>
      </c>
      <c r="K416" s="3" t="s">
        <v>27</v>
      </c>
      <c r="L416" s="20">
        <v>43</v>
      </c>
      <c r="M416" s="3" t="s">
        <v>20</v>
      </c>
      <c r="N416" s="20" t="str" cm="1">
        <f t="array" ref="N416">_xlfn.IFS(tbl_Clean[[#This Row],[Age]]&lt;=30,"25-30",tbl_Clean[[#This Row],[Age]]&lt;=40,"31-40",tbl_Clean[[#This Row],[Age]]&lt;=50,"41-50",tbl_Clean[[#This Row],[Age]]&lt;=60,"51-60",TRUE,"61+")</f>
        <v>41-50</v>
      </c>
      <c r="O416" s="20">
        <f>_xlfn.XMATCH(tbl_Clean[[#This Row],[Age Band]],{"25-30","31-40","41-50","51-60","61+"})</f>
        <v>3</v>
      </c>
      <c r="P416" s="20" t="str" cm="1">
        <f t="array" ref="P416">_xlfn.IFS(tbl_Clean[[#This Row],[Income]]&lt;=30000,"$10k-30k",tbl_Clean[[#This Row],[Income]]&lt;=60000,"$40k-60k",tbl_Clean[[#This Row],[Income]]&lt;=90000,"$70k-90k",TRUE,"$100k+")</f>
        <v>$70k-90k</v>
      </c>
      <c r="Q416" s="20">
        <f>_xlfn.XMATCH(tbl_Clean[[#This Row],[Income Band]],{"$10k-30k","$40k-60k","$70k-90k","$100k+"})</f>
        <v>3</v>
      </c>
      <c r="R416" s="20" t="str">
        <f>IF(tbl_Clean[[#This Row],[Cars]]&lt;=1,"0-1 Cars","2+ Cars")</f>
        <v>2+ Cars</v>
      </c>
      <c r="S416" s="20">
        <f>_xlfn.XMATCH(tbl_Clean[[#This Row],[Commute Distance]],{"0-1 Miles","1-2 Miles","2-5 Miles","5-10 Miles","10+ Miles"})</f>
        <v>4</v>
      </c>
      <c r="T416" s="20">
        <f>_xlfn.XMATCH(tbl_Clean[[#This Row],[Education]],{"Partial High School","High School","Partial College","Bachelors","Graduate Degree"})</f>
        <v>3</v>
      </c>
      <c r="U416" s="20">
        <f>IF(tbl_Clean[[#This Row],[Purchased Bike]]="Yes",1,0)</f>
        <v>0</v>
      </c>
    </row>
    <row r="417" spans="1:21" x14ac:dyDescent="0.25">
      <c r="A417" s="20">
        <v>20053</v>
      </c>
      <c r="B417" s="3" t="s">
        <v>114</v>
      </c>
      <c r="C417" s="3" t="s">
        <v>113</v>
      </c>
      <c r="D417" s="19">
        <v>40000</v>
      </c>
      <c r="E417" s="20">
        <v>2</v>
      </c>
      <c r="F417" s="3" t="s">
        <v>21</v>
      </c>
      <c r="G417" s="3" t="s">
        <v>22</v>
      </c>
      <c r="H417" s="3" t="s">
        <v>17</v>
      </c>
      <c r="I417" s="20">
        <v>0</v>
      </c>
      <c r="J417" s="3" t="s">
        <v>18</v>
      </c>
      <c r="K417" s="3" t="s">
        <v>19</v>
      </c>
      <c r="L417" s="20">
        <v>34</v>
      </c>
      <c r="M417" s="3" t="s">
        <v>20</v>
      </c>
      <c r="N417" s="20" t="str" cm="1">
        <f t="array" ref="N417">_xlfn.IFS(tbl_Clean[[#This Row],[Age]]&lt;=30,"25-30",tbl_Clean[[#This Row],[Age]]&lt;=40,"31-40",tbl_Clean[[#This Row],[Age]]&lt;=50,"41-50",tbl_Clean[[#This Row],[Age]]&lt;=60,"51-60",TRUE,"61+")</f>
        <v>31-40</v>
      </c>
      <c r="O417" s="20">
        <f>_xlfn.XMATCH(tbl_Clean[[#This Row],[Age Band]],{"25-30","31-40","41-50","51-60","61+"})</f>
        <v>2</v>
      </c>
      <c r="P417" s="20" t="str" cm="1">
        <f t="array" ref="P417">_xlfn.IFS(tbl_Clean[[#This Row],[Income]]&lt;=30000,"$10k-30k",tbl_Clean[[#This Row],[Income]]&lt;=60000,"$40k-60k",tbl_Clean[[#This Row],[Income]]&lt;=90000,"$70k-90k",TRUE,"$100k+")</f>
        <v>$40k-60k</v>
      </c>
      <c r="Q417" s="20">
        <f>_xlfn.XMATCH(tbl_Clean[[#This Row],[Income Band]],{"$10k-30k","$40k-60k","$70k-90k","$100k+"})</f>
        <v>2</v>
      </c>
      <c r="R417" s="20" t="str">
        <f>IF(tbl_Clean[[#This Row],[Cars]]&lt;=1,"0-1 Cars","2+ Cars")</f>
        <v>0-1 Cars</v>
      </c>
      <c r="S417" s="20">
        <f>_xlfn.XMATCH(tbl_Clean[[#This Row],[Commute Distance]],{"0-1 Miles","1-2 Miles","2-5 Miles","5-10 Miles","10+ Miles"})</f>
        <v>1</v>
      </c>
      <c r="T417" s="20">
        <f>_xlfn.XMATCH(tbl_Clean[[#This Row],[Education]],{"Partial High School","High School","Partial College","Bachelors","Graduate Degree"})</f>
        <v>3</v>
      </c>
      <c r="U417" s="20">
        <f>IF(tbl_Clean[[#This Row],[Purchased Bike]]="Yes",1,0)</f>
        <v>0</v>
      </c>
    </row>
    <row r="418" spans="1:21" x14ac:dyDescent="0.25">
      <c r="A418" s="20">
        <v>25266</v>
      </c>
      <c r="B418" s="3" t="s">
        <v>114</v>
      </c>
      <c r="C418" s="3" t="s">
        <v>112</v>
      </c>
      <c r="D418" s="19">
        <v>30000</v>
      </c>
      <c r="E418" s="20">
        <v>2</v>
      </c>
      <c r="F418" s="3" t="s">
        <v>21</v>
      </c>
      <c r="G418" s="3" t="s">
        <v>22</v>
      </c>
      <c r="H418" s="3" t="s">
        <v>20</v>
      </c>
      <c r="I418" s="20">
        <v>2</v>
      </c>
      <c r="J418" s="3" t="s">
        <v>26</v>
      </c>
      <c r="K418" s="3" t="s">
        <v>27</v>
      </c>
      <c r="L418" s="20">
        <v>67</v>
      </c>
      <c r="M418" s="3" t="s">
        <v>20</v>
      </c>
      <c r="N418" s="20" t="str" cm="1">
        <f t="array" ref="N418">_xlfn.IFS(tbl_Clean[[#This Row],[Age]]&lt;=30,"25-30",tbl_Clean[[#This Row],[Age]]&lt;=40,"31-40",tbl_Clean[[#This Row],[Age]]&lt;=50,"41-50",tbl_Clean[[#This Row],[Age]]&lt;=60,"51-60",TRUE,"61+")</f>
        <v>61+</v>
      </c>
      <c r="O418" s="20">
        <f>_xlfn.XMATCH(tbl_Clean[[#This Row],[Age Band]],{"25-30","31-40","41-50","51-60","61+"})</f>
        <v>5</v>
      </c>
      <c r="P418" s="20" t="str" cm="1">
        <f t="array" ref="P418">_xlfn.IFS(tbl_Clean[[#This Row],[Income]]&lt;=30000,"$10k-30k",tbl_Clean[[#This Row],[Income]]&lt;=60000,"$40k-60k",tbl_Clean[[#This Row],[Income]]&lt;=90000,"$70k-90k",TRUE,"$100k+")</f>
        <v>$10k-30k</v>
      </c>
      <c r="Q418" s="20">
        <f>_xlfn.XMATCH(tbl_Clean[[#This Row],[Income Band]],{"$10k-30k","$40k-60k","$70k-90k","$100k+"})</f>
        <v>1</v>
      </c>
      <c r="R418" s="20" t="str">
        <f>IF(tbl_Clean[[#This Row],[Cars]]&lt;=1,"0-1 Cars","2+ Cars")</f>
        <v>2+ Cars</v>
      </c>
      <c r="S418" s="20">
        <f>_xlfn.XMATCH(tbl_Clean[[#This Row],[Commute Distance]],{"0-1 Miles","1-2 Miles","2-5 Miles","5-10 Miles","10+ Miles"})</f>
        <v>4</v>
      </c>
      <c r="T418" s="20">
        <f>_xlfn.XMATCH(tbl_Clean[[#This Row],[Education]],{"Partial High School","High School","Partial College","Bachelors","Graduate Degree"})</f>
        <v>3</v>
      </c>
      <c r="U418" s="20">
        <f>IF(tbl_Clean[[#This Row],[Purchased Bike]]="Yes",1,0)</f>
        <v>0</v>
      </c>
    </row>
    <row r="419" spans="1:21" x14ac:dyDescent="0.25">
      <c r="A419" s="20">
        <v>17960</v>
      </c>
      <c r="B419" s="3" t="s">
        <v>111</v>
      </c>
      <c r="C419" s="3" t="s">
        <v>112</v>
      </c>
      <c r="D419" s="19">
        <v>40000</v>
      </c>
      <c r="E419" s="20">
        <v>0</v>
      </c>
      <c r="F419" s="3" t="s">
        <v>34</v>
      </c>
      <c r="G419" s="3" t="s">
        <v>22</v>
      </c>
      <c r="H419" s="3" t="s">
        <v>17</v>
      </c>
      <c r="I419" s="20">
        <v>0</v>
      </c>
      <c r="J419" s="3" t="s">
        <v>18</v>
      </c>
      <c r="K419" s="3" t="s">
        <v>19</v>
      </c>
      <c r="L419" s="20">
        <v>35</v>
      </c>
      <c r="M419" s="3" t="s">
        <v>17</v>
      </c>
      <c r="N419" s="20" t="str" cm="1">
        <f t="array" ref="N419">_xlfn.IFS(tbl_Clean[[#This Row],[Age]]&lt;=30,"25-30",tbl_Clean[[#This Row],[Age]]&lt;=40,"31-40",tbl_Clean[[#This Row],[Age]]&lt;=50,"41-50",tbl_Clean[[#This Row],[Age]]&lt;=60,"51-60",TRUE,"61+")</f>
        <v>31-40</v>
      </c>
      <c r="O419" s="20">
        <f>_xlfn.XMATCH(tbl_Clean[[#This Row],[Age Band]],{"25-30","31-40","41-50","51-60","61+"})</f>
        <v>2</v>
      </c>
      <c r="P419" s="20" t="str" cm="1">
        <f t="array" ref="P419">_xlfn.IFS(tbl_Clean[[#This Row],[Income]]&lt;=30000,"$10k-30k",tbl_Clean[[#This Row],[Income]]&lt;=60000,"$40k-60k",tbl_Clean[[#This Row],[Income]]&lt;=90000,"$70k-90k",TRUE,"$100k+")</f>
        <v>$40k-60k</v>
      </c>
      <c r="Q419" s="20">
        <f>_xlfn.XMATCH(tbl_Clean[[#This Row],[Income Band]],{"$10k-30k","$40k-60k","$70k-90k","$100k+"})</f>
        <v>2</v>
      </c>
      <c r="R419" s="20" t="str">
        <f>IF(tbl_Clean[[#This Row],[Cars]]&lt;=1,"0-1 Cars","2+ Cars")</f>
        <v>0-1 Cars</v>
      </c>
      <c r="S419" s="20">
        <f>_xlfn.XMATCH(tbl_Clean[[#This Row],[Commute Distance]],{"0-1 Miles","1-2 Miles","2-5 Miles","5-10 Miles","10+ Miles"})</f>
        <v>1</v>
      </c>
      <c r="T419" s="20">
        <f>_xlfn.XMATCH(tbl_Clean[[#This Row],[Education]],{"Partial High School","High School","Partial College","Bachelors","Graduate Degree"})</f>
        <v>5</v>
      </c>
      <c r="U419" s="20">
        <f>IF(tbl_Clean[[#This Row],[Purchased Bike]]="Yes",1,0)</f>
        <v>1</v>
      </c>
    </row>
    <row r="420" spans="1:21" x14ac:dyDescent="0.25">
      <c r="A420" s="20">
        <v>13961</v>
      </c>
      <c r="B420" s="3" t="s">
        <v>111</v>
      </c>
      <c r="C420" s="3" t="s">
        <v>112</v>
      </c>
      <c r="D420" s="19">
        <v>80000</v>
      </c>
      <c r="E420" s="20">
        <v>5</v>
      </c>
      <c r="F420" s="3" t="s">
        <v>34</v>
      </c>
      <c r="G420" s="3" t="s">
        <v>31</v>
      </c>
      <c r="H420" s="3" t="s">
        <v>17</v>
      </c>
      <c r="I420" s="20">
        <v>3</v>
      </c>
      <c r="J420" s="3" t="s">
        <v>18</v>
      </c>
      <c r="K420" s="3" t="s">
        <v>27</v>
      </c>
      <c r="L420" s="20">
        <v>40</v>
      </c>
      <c r="M420" s="3" t="s">
        <v>20</v>
      </c>
      <c r="N420" s="20" t="str" cm="1">
        <f t="array" ref="N420">_xlfn.IFS(tbl_Clean[[#This Row],[Age]]&lt;=30,"25-30",tbl_Clean[[#This Row],[Age]]&lt;=40,"31-40",tbl_Clean[[#This Row],[Age]]&lt;=50,"41-50",tbl_Clean[[#This Row],[Age]]&lt;=60,"51-60",TRUE,"61+")</f>
        <v>31-40</v>
      </c>
      <c r="O420" s="20">
        <f>_xlfn.XMATCH(tbl_Clean[[#This Row],[Age Band]],{"25-30","31-40","41-50","51-60","61+"})</f>
        <v>2</v>
      </c>
      <c r="P420" s="20" t="str" cm="1">
        <f t="array" ref="P420">_xlfn.IFS(tbl_Clean[[#This Row],[Income]]&lt;=30000,"$10k-30k",tbl_Clean[[#This Row],[Income]]&lt;=60000,"$40k-60k",tbl_Clean[[#This Row],[Income]]&lt;=90000,"$70k-90k",TRUE,"$100k+")</f>
        <v>$70k-90k</v>
      </c>
      <c r="Q420" s="20">
        <f>_xlfn.XMATCH(tbl_Clean[[#This Row],[Income Band]],{"$10k-30k","$40k-60k","$70k-90k","$100k+"})</f>
        <v>3</v>
      </c>
      <c r="R420" s="20" t="str">
        <f>IF(tbl_Clean[[#This Row],[Cars]]&lt;=1,"0-1 Cars","2+ Cars")</f>
        <v>2+ Cars</v>
      </c>
      <c r="S420" s="20">
        <f>_xlfn.XMATCH(tbl_Clean[[#This Row],[Commute Distance]],{"0-1 Miles","1-2 Miles","2-5 Miles","5-10 Miles","10+ Miles"})</f>
        <v>1</v>
      </c>
      <c r="T420" s="20">
        <f>_xlfn.XMATCH(tbl_Clean[[#This Row],[Education]],{"Partial High School","High School","Partial College","Bachelors","Graduate Degree"})</f>
        <v>5</v>
      </c>
      <c r="U420" s="20">
        <f>IF(tbl_Clean[[#This Row],[Purchased Bike]]="Yes",1,0)</f>
        <v>0</v>
      </c>
    </row>
    <row r="421" spans="1:21" x14ac:dyDescent="0.25">
      <c r="A421" s="20">
        <v>11897</v>
      </c>
      <c r="B421" s="3" t="s">
        <v>114</v>
      </c>
      <c r="C421" s="3" t="s">
        <v>113</v>
      </c>
      <c r="D421" s="19">
        <v>60000</v>
      </c>
      <c r="E421" s="20">
        <v>2</v>
      </c>
      <c r="F421" s="3" t="s">
        <v>15</v>
      </c>
      <c r="G421" s="3" t="s">
        <v>23</v>
      </c>
      <c r="H421" s="3" t="s">
        <v>20</v>
      </c>
      <c r="I421" s="20">
        <v>1</v>
      </c>
      <c r="J421" s="3" t="s">
        <v>18</v>
      </c>
      <c r="K421" s="3" t="s">
        <v>27</v>
      </c>
      <c r="L421" s="20">
        <v>37</v>
      </c>
      <c r="M421" s="3" t="s">
        <v>17</v>
      </c>
      <c r="N421" s="20" t="str" cm="1">
        <f t="array" ref="N421">_xlfn.IFS(tbl_Clean[[#This Row],[Age]]&lt;=30,"25-30",tbl_Clean[[#This Row],[Age]]&lt;=40,"31-40",tbl_Clean[[#This Row],[Age]]&lt;=50,"41-50",tbl_Clean[[#This Row],[Age]]&lt;=60,"51-60",TRUE,"61+")</f>
        <v>31-40</v>
      </c>
      <c r="O421" s="20">
        <f>_xlfn.XMATCH(tbl_Clean[[#This Row],[Age Band]],{"25-30","31-40","41-50","51-60","61+"})</f>
        <v>2</v>
      </c>
      <c r="P421" s="20" t="str" cm="1">
        <f t="array" ref="P421">_xlfn.IFS(tbl_Clean[[#This Row],[Income]]&lt;=30000,"$10k-30k",tbl_Clean[[#This Row],[Income]]&lt;=60000,"$40k-60k",tbl_Clean[[#This Row],[Income]]&lt;=90000,"$70k-90k",TRUE,"$100k+")</f>
        <v>$40k-60k</v>
      </c>
      <c r="Q421" s="20">
        <f>_xlfn.XMATCH(tbl_Clean[[#This Row],[Income Band]],{"$10k-30k","$40k-60k","$70k-90k","$100k+"})</f>
        <v>2</v>
      </c>
      <c r="R421" s="20" t="str">
        <f>IF(tbl_Clean[[#This Row],[Cars]]&lt;=1,"0-1 Cars","2+ Cars")</f>
        <v>0-1 Cars</v>
      </c>
      <c r="S421" s="20">
        <f>_xlfn.XMATCH(tbl_Clean[[#This Row],[Commute Distance]],{"0-1 Miles","1-2 Miles","2-5 Miles","5-10 Miles","10+ Miles"})</f>
        <v>1</v>
      </c>
      <c r="T421" s="20">
        <f>_xlfn.XMATCH(tbl_Clean[[#This Row],[Education]],{"Partial High School","High School","Partial College","Bachelors","Graduate Degree"})</f>
        <v>4</v>
      </c>
      <c r="U421" s="20">
        <f>IF(tbl_Clean[[#This Row],[Purchased Bike]]="Yes",1,0)</f>
        <v>1</v>
      </c>
    </row>
    <row r="422" spans="1:21" x14ac:dyDescent="0.25">
      <c r="A422" s="20">
        <v>11139</v>
      </c>
      <c r="B422" s="3" t="s">
        <v>114</v>
      </c>
      <c r="C422" s="3" t="s">
        <v>112</v>
      </c>
      <c r="D422" s="19">
        <v>30000</v>
      </c>
      <c r="E422" s="20">
        <v>2</v>
      </c>
      <c r="F422" s="3" t="s">
        <v>21</v>
      </c>
      <c r="G422" s="3" t="s">
        <v>22</v>
      </c>
      <c r="H422" s="3" t="s">
        <v>20</v>
      </c>
      <c r="I422" s="20">
        <v>2</v>
      </c>
      <c r="J422" s="3" t="s">
        <v>26</v>
      </c>
      <c r="K422" s="3" t="s">
        <v>27</v>
      </c>
      <c r="L422" s="20">
        <v>67</v>
      </c>
      <c r="M422" s="3" t="s">
        <v>20</v>
      </c>
      <c r="N422" s="20" t="str" cm="1">
        <f t="array" ref="N422">_xlfn.IFS(tbl_Clean[[#This Row],[Age]]&lt;=30,"25-30",tbl_Clean[[#This Row],[Age]]&lt;=40,"31-40",tbl_Clean[[#This Row],[Age]]&lt;=50,"41-50",tbl_Clean[[#This Row],[Age]]&lt;=60,"51-60",TRUE,"61+")</f>
        <v>61+</v>
      </c>
      <c r="O422" s="20">
        <f>_xlfn.XMATCH(tbl_Clean[[#This Row],[Age Band]],{"25-30","31-40","41-50","51-60","61+"})</f>
        <v>5</v>
      </c>
      <c r="P422" s="20" t="str" cm="1">
        <f t="array" ref="P422">_xlfn.IFS(tbl_Clean[[#This Row],[Income]]&lt;=30000,"$10k-30k",tbl_Clean[[#This Row],[Income]]&lt;=60000,"$40k-60k",tbl_Clean[[#This Row],[Income]]&lt;=90000,"$70k-90k",TRUE,"$100k+")</f>
        <v>$10k-30k</v>
      </c>
      <c r="Q422" s="20">
        <f>_xlfn.XMATCH(tbl_Clean[[#This Row],[Income Band]],{"$10k-30k","$40k-60k","$70k-90k","$100k+"})</f>
        <v>1</v>
      </c>
      <c r="R422" s="20" t="str">
        <f>IF(tbl_Clean[[#This Row],[Cars]]&lt;=1,"0-1 Cars","2+ Cars")</f>
        <v>2+ Cars</v>
      </c>
      <c r="S422" s="20">
        <f>_xlfn.XMATCH(tbl_Clean[[#This Row],[Commute Distance]],{"0-1 Miles","1-2 Miles","2-5 Miles","5-10 Miles","10+ Miles"})</f>
        <v>4</v>
      </c>
      <c r="T422" s="20">
        <f>_xlfn.XMATCH(tbl_Clean[[#This Row],[Education]],{"Partial High School","High School","Partial College","Bachelors","Graduate Degree"})</f>
        <v>3</v>
      </c>
      <c r="U422" s="20">
        <f>IF(tbl_Clean[[#This Row],[Purchased Bike]]="Yes",1,0)</f>
        <v>0</v>
      </c>
    </row>
    <row r="423" spans="1:21" x14ac:dyDescent="0.25">
      <c r="A423" s="20">
        <v>11576</v>
      </c>
      <c r="B423" s="3" t="s">
        <v>111</v>
      </c>
      <c r="C423" s="3" t="s">
        <v>113</v>
      </c>
      <c r="D423" s="19">
        <v>30000</v>
      </c>
      <c r="E423" s="20">
        <v>1</v>
      </c>
      <c r="F423" s="3" t="s">
        <v>15</v>
      </c>
      <c r="G423" s="3" t="s">
        <v>16</v>
      </c>
      <c r="H423" s="3" t="s">
        <v>17</v>
      </c>
      <c r="I423" s="20">
        <v>2</v>
      </c>
      <c r="J423" s="3" t="s">
        <v>18</v>
      </c>
      <c r="K423" s="3" t="s">
        <v>19</v>
      </c>
      <c r="L423" s="20">
        <v>41</v>
      </c>
      <c r="M423" s="3" t="s">
        <v>17</v>
      </c>
      <c r="N423" s="20" t="str" cm="1">
        <f t="array" ref="N423">_xlfn.IFS(tbl_Clean[[#This Row],[Age]]&lt;=30,"25-30",tbl_Clean[[#This Row],[Age]]&lt;=40,"31-40",tbl_Clean[[#This Row],[Age]]&lt;=50,"41-50",tbl_Clean[[#This Row],[Age]]&lt;=60,"51-60",TRUE,"61+")</f>
        <v>41-50</v>
      </c>
      <c r="O423" s="20">
        <f>_xlfn.XMATCH(tbl_Clean[[#This Row],[Age Band]],{"25-30","31-40","41-50","51-60","61+"})</f>
        <v>3</v>
      </c>
      <c r="P423" s="20" t="str" cm="1">
        <f t="array" ref="P423">_xlfn.IFS(tbl_Clean[[#This Row],[Income]]&lt;=30000,"$10k-30k",tbl_Clean[[#This Row],[Income]]&lt;=60000,"$40k-60k",tbl_Clean[[#This Row],[Income]]&lt;=90000,"$70k-90k",TRUE,"$100k+")</f>
        <v>$10k-30k</v>
      </c>
      <c r="Q423" s="20">
        <f>_xlfn.XMATCH(tbl_Clean[[#This Row],[Income Band]],{"$10k-30k","$40k-60k","$70k-90k","$100k+"})</f>
        <v>1</v>
      </c>
      <c r="R423" s="20" t="str">
        <f>IF(tbl_Clean[[#This Row],[Cars]]&lt;=1,"0-1 Cars","2+ Cars")</f>
        <v>2+ Cars</v>
      </c>
      <c r="S423" s="20">
        <f>_xlfn.XMATCH(tbl_Clean[[#This Row],[Commute Distance]],{"0-1 Miles","1-2 Miles","2-5 Miles","5-10 Miles","10+ Miles"})</f>
        <v>1</v>
      </c>
      <c r="T423" s="20">
        <f>_xlfn.XMATCH(tbl_Clean[[#This Row],[Education]],{"Partial High School","High School","Partial College","Bachelors","Graduate Degree"})</f>
        <v>4</v>
      </c>
      <c r="U423" s="20">
        <f>IF(tbl_Clean[[#This Row],[Purchased Bike]]="Yes",1,0)</f>
        <v>1</v>
      </c>
    </row>
    <row r="424" spans="1:21" x14ac:dyDescent="0.25">
      <c r="A424" s="20">
        <v>19255</v>
      </c>
      <c r="B424" s="3" t="s">
        <v>114</v>
      </c>
      <c r="C424" s="3" t="s">
        <v>113</v>
      </c>
      <c r="D424" s="19">
        <v>10000</v>
      </c>
      <c r="E424" s="20">
        <v>2</v>
      </c>
      <c r="F424" s="3" t="s">
        <v>21</v>
      </c>
      <c r="G424" s="3" t="s">
        <v>28</v>
      </c>
      <c r="H424" s="3" t="s">
        <v>17</v>
      </c>
      <c r="I424" s="20">
        <v>1</v>
      </c>
      <c r="J424" s="3" t="s">
        <v>18</v>
      </c>
      <c r="K424" s="3" t="s">
        <v>19</v>
      </c>
      <c r="L424" s="20">
        <v>51</v>
      </c>
      <c r="M424" s="3" t="s">
        <v>17</v>
      </c>
      <c r="N424" s="20" t="str" cm="1">
        <f t="array" ref="N424">_xlfn.IFS(tbl_Clean[[#This Row],[Age]]&lt;=30,"25-30",tbl_Clean[[#This Row],[Age]]&lt;=40,"31-40",tbl_Clean[[#This Row],[Age]]&lt;=50,"41-50",tbl_Clean[[#This Row],[Age]]&lt;=60,"51-60",TRUE,"61+")</f>
        <v>51-60</v>
      </c>
      <c r="O424" s="20">
        <f>_xlfn.XMATCH(tbl_Clean[[#This Row],[Age Band]],{"25-30","31-40","41-50","51-60","61+"})</f>
        <v>4</v>
      </c>
      <c r="P424" s="20" t="str" cm="1">
        <f t="array" ref="P424">_xlfn.IFS(tbl_Clean[[#This Row],[Income]]&lt;=30000,"$10k-30k",tbl_Clean[[#This Row],[Income]]&lt;=60000,"$40k-60k",tbl_Clean[[#This Row],[Income]]&lt;=90000,"$70k-90k",TRUE,"$100k+")</f>
        <v>$10k-30k</v>
      </c>
      <c r="Q424" s="20">
        <f>_xlfn.XMATCH(tbl_Clean[[#This Row],[Income Band]],{"$10k-30k","$40k-60k","$70k-90k","$100k+"})</f>
        <v>1</v>
      </c>
      <c r="R424" s="20" t="str">
        <f>IF(tbl_Clean[[#This Row],[Cars]]&lt;=1,"0-1 Cars","2+ Cars")</f>
        <v>0-1 Cars</v>
      </c>
      <c r="S424" s="20">
        <f>_xlfn.XMATCH(tbl_Clean[[#This Row],[Commute Distance]],{"0-1 Miles","1-2 Miles","2-5 Miles","5-10 Miles","10+ Miles"})</f>
        <v>1</v>
      </c>
      <c r="T424" s="20">
        <f>_xlfn.XMATCH(tbl_Clean[[#This Row],[Education]],{"Partial High School","High School","Partial College","Bachelors","Graduate Degree"})</f>
        <v>3</v>
      </c>
      <c r="U424" s="20">
        <f>IF(tbl_Clean[[#This Row],[Purchased Bike]]="Yes",1,0)</f>
        <v>1</v>
      </c>
    </row>
    <row r="425" spans="1:21" x14ac:dyDescent="0.25">
      <c r="A425" s="20">
        <v>18153</v>
      </c>
      <c r="B425" s="3" t="s">
        <v>111</v>
      </c>
      <c r="C425" s="3" t="s">
        <v>112</v>
      </c>
      <c r="D425" s="19">
        <v>100000</v>
      </c>
      <c r="E425" s="20">
        <v>2</v>
      </c>
      <c r="F425" s="3" t="s">
        <v>15</v>
      </c>
      <c r="G425" s="3" t="s">
        <v>31</v>
      </c>
      <c r="H425" s="3" t="s">
        <v>17</v>
      </c>
      <c r="I425" s="20">
        <v>4</v>
      </c>
      <c r="J425" s="3" t="s">
        <v>33</v>
      </c>
      <c r="K425" s="3" t="s">
        <v>19</v>
      </c>
      <c r="L425" s="20">
        <v>59</v>
      </c>
      <c r="M425" s="3" t="s">
        <v>20</v>
      </c>
      <c r="N425" s="20" t="str" cm="1">
        <f t="array" ref="N425">_xlfn.IFS(tbl_Clean[[#This Row],[Age]]&lt;=30,"25-30",tbl_Clean[[#This Row],[Age]]&lt;=40,"31-40",tbl_Clean[[#This Row],[Age]]&lt;=50,"41-50",tbl_Clean[[#This Row],[Age]]&lt;=60,"51-60",TRUE,"61+")</f>
        <v>51-60</v>
      </c>
      <c r="O425" s="20">
        <f>_xlfn.XMATCH(tbl_Clean[[#This Row],[Age Band]],{"25-30","31-40","41-50","51-60","61+"})</f>
        <v>4</v>
      </c>
      <c r="P425" s="20" t="str" cm="1">
        <f t="array" ref="P425">_xlfn.IFS(tbl_Clean[[#This Row],[Income]]&lt;=30000,"$10k-30k",tbl_Clean[[#This Row],[Income]]&lt;=60000,"$40k-60k",tbl_Clean[[#This Row],[Income]]&lt;=90000,"$70k-90k",TRUE,"$100k+")</f>
        <v>$100k+</v>
      </c>
      <c r="Q425" s="20">
        <f>_xlfn.XMATCH(tbl_Clean[[#This Row],[Income Band]],{"$10k-30k","$40k-60k","$70k-90k","$100k+"})</f>
        <v>4</v>
      </c>
      <c r="R425" s="20" t="str">
        <f>IF(tbl_Clean[[#This Row],[Cars]]&lt;=1,"0-1 Cars","2+ Cars")</f>
        <v>2+ Cars</v>
      </c>
      <c r="S425" s="20">
        <f>_xlfn.XMATCH(tbl_Clean[[#This Row],[Commute Distance]],{"0-1 Miles","1-2 Miles","2-5 Miles","5-10 Miles","10+ Miles"})</f>
        <v>5</v>
      </c>
      <c r="T425" s="20">
        <f>_xlfn.XMATCH(tbl_Clean[[#This Row],[Education]],{"Partial High School","High School","Partial College","Bachelors","Graduate Degree"})</f>
        <v>4</v>
      </c>
      <c r="U425" s="20">
        <f>IF(tbl_Clean[[#This Row],[Purchased Bike]]="Yes",1,0)</f>
        <v>0</v>
      </c>
    </row>
    <row r="426" spans="1:21" x14ac:dyDescent="0.25">
      <c r="A426" s="20">
        <v>14547</v>
      </c>
      <c r="B426" s="3" t="s">
        <v>111</v>
      </c>
      <c r="C426" s="3" t="s">
        <v>113</v>
      </c>
      <c r="D426" s="19">
        <v>10000</v>
      </c>
      <c r="E426" s="20">
        <v>2</v>
      </c>
      <c r="F426" s="3" t="s">
        <v>21</v>
      </c>
      <c r="G426" s="3" t="s">
        <v>28</v>
      </c>
      <c r="H426" s="3" t="s">
        <v>17</v>
      </c>
      <c r="I426" s="20">
        <v>0</v>
      </c>
      <c r="J426" s="3" t="s">
        <v>29</v>
      </c>
      <c r="K426" s="3" t="s">
        <v>19</v>
      </c>
      <c r="L426" s="20">
        <v>51</v>
      </c>
      <c r="M426" s="3" t="s">
        <v>20</v>
      </c>
      <c r="N426" s="20" t="str" cm="1">
        <f t="array" ref="N426">_xlfn.IFS(tbl_Clean[[#This Row],[Age]]&lt;=30,"25-30",tbl_Clean[[#This Row],[Age]]&lt;=40,"31-40",tbl_Clean[[#This Row],[Age]]&lt;=50,"41-50",tbl_Clean[[#This Row],[Age]]&lt;=60,"51-60",TRUE,"61+")</f>
        <v>51-60</v>
      </c>
      <c r="O426" s="20">
        <f>_xlfn.XMATCH(tbl_Clean[[#This Row],[Age Band]],{"25-30","31-40","41-50","51-60","61+"})</f>
        <v>4</v>
      </c>
      <c r="P426" s="20" t="str" cm="1">
        <f t="array" ref="P426">_xlfn.IFS(tbl_Clean[[#This Row],[Income]]&lt;=30000,"$10k-30k",tbl_Clean[[#This Row],[Income]]&lt;=60000,"$40k-60k",tbl_Clean[[#This Row],[Income]]&lt;=90000,"$70k-90k",TRUE,"$100k+")</f>
        <v>$10k-30k</v>
      </c>
      <c r="Q426" s="20">
        <f>_xlfn.XMATCH(tbl_Clean[[#This Row],[Income Band]],{"$10k-30k","$40k-60k","$70k-90k","$100k+"})</f>
        <v>1</v>
      </c>
      <c r="R426" s="20" t="str">
        <f>IF(tbl_Clean[[#This Row],[Cars]]&lt;=1,"0-1 Cars","2+ Cars")</f>
        <v>0-1 Cars</v>
      </c>
      <c r="S426" s="20">
        <f>_xlfn.XMATCH(tbl_Clean[[#This Row],[Commute Distance]],{"0-1 Miles","1-2 Miles","2-5 Miles","5-10 Miles","10+ Miles"})</f>
        <v>2</v>
      </c>
      <c r="T426" s="20">
        <f>_xlfn.XMATCH(tbl_Clean[[#This Row],[Education]],{"Partial High School","High School","Partial College","Bachelors","Graduate Degree"})</f>
        <v>3</v>
      </c>
      <c r="U426" s="20">
        <f>IF(tbl_Clean[[#This Row],[Purchased Bike]]="Yes",1,0)</f>
        <v>0</v>
      </c>
    </row>
    <row r="427" spans="1:21" x14ac:dyDescent="0.25">
      <c r="A427" s="20">
        <v>24901</v>
      </c>
      <c r="B427" s="3" t="s">
        <v>114</v>
      </c>
      <c r="C427" s="3" t="s">
        <v>113</v>
      </c>
      <c r="D427" s="19">
        <v>110000</v>
      </c>
      <c r="E427" s="20">
        <v>0</v>
      </c>
      <c r="F427" s="3" t="s">
        <v>21</v>
      </c>
      <c r="G427" s="3" t="s">
        <v>31</v>
      </c>
      <c r="H427" s="3" t="s">
        <v>20</v>
      </c>
      <c r="I427" s="20">
        <v>3</v>
      </c>
      <c r="J427" s="3" t="s">
        <v>33</v>
      </c>
      <c r="K427" s="3" t="s">
        <v>27</v>
      </c>
      <c r="L427" s="20">
        <v>32</v>
      </c>
      <c r="M427" s="3" t="s">
        <v>17</v>
      </c>
      <c r="N427" s="20" t="str" cm="1">
        <f t="array" ref="N427">_xlfn.IFS(tbl_Clean[[#This Row],[Age]]&lt;=30,"25-30",tbl_Clean[[#This Row],[Age]]&lt;=40,"31-40",tbl_Clean[[#This Row],[Age]]&lt;=50,"41-50",tbl_Clean[[#This Row],[Age]]&lt;=60,"51-60",TRUE,"61+")</f>
        <v>31-40</v>
      </c>
      <c r="O427" s="20">
        <f>_xlfn.XMATCH(tbl_Clean[[#This Row],[Age Band]],{"25-30","31-40","41-50","51-60","61+"})</f>
        <v>2</v>
      </c>
      <c r="P427" s="20" t="str" cm="1">
        <f t="array" ref="P427">_xlfn.IFS(tbl_Clean[[#This Row],[Income]]&lt;=30000,"$10k-30k",tbl_Clean[[#This Row],[Income]]&lt;=60000,"$40k-60k",tbl_Clean[[#This Row],[Income]]&lt;=90000,"$70k-90k",TRUE,"$100k+")</f>
        <v>$100k+</v>
      </c>
      <c r="Q427" s="20">
        <f>_xlfn.XMATCH(tbl_Clean[[#This Row],[Income Band]],{"$10k-30k","$40k-60k","$70k-90k","$100k+"})</f>
        <v>4</v>
      </c>
      <c r="R427" s="20" t="str">
        <f>IF(tbl_Clean[[#This Row],[Cars]]&lt;=1,"0-1 Cars","2+ Cars")</f>
        <v>2+ Cars</v>
      </c>
      <c r="S427" s="20">
        <f>_xlfn.XMATCH(tbl_Clean[[#This Row],[Commute Distance]],{"0-1 Miles","1-2 Miles","2-5 Miles","5-10 Miles","10+ Miles"})</f>
        <v>5</v>
      </c>
      <c r="T427" s="20">
        <f>_xlfn.XMATCH(tbl_Clean[[#This Row],[Education]],{"Partial High School","High School","Partial College","Bachelors","Graduate Degree"})</f>
        <v>3</v>
      </c>
      <c r="U427" s="20">
        <f>IF(tbl_Clean[[#This Row],[Purchased Bike]]="Yes",1,0)</f>
        <v>1</v>
      </c>
    </row>
    <row r="428" spans="1:21" x14ac:dyDescent="0.25">
      <c r="A428" s="20">
        <v>27169</v>
      </c>
      <c r="B428" s="3" t="s">
        <v>114</v>
      </c>
      <c r="C428" s="3" t="s">
        <v>113</v>
      </c>
      <c r="D428" s="19">
        <v>30000</v>
      </c>
      <c r="E428" s="20">
        <v>0</v>
      </c>
      <c r="F428" s="3" t="s">
        <v>30</v>
      </c>
      <c r="G428" s="3" t="s">
        <v>28</v>
      </c>
      <c r="H428" s="3" t="s">
        <v>17</v>
      </c>
      <c r="I428" s="20">
        <v>1</v>
      </c>
      <c r="J428" s="3" t="s">
        <v>24</v>
      </c>
      <c r="K428" s="3" t="s">
        <v>19</v>
      </c>
      <c r="L428" s="20">
        <v>34</v>
      </c>
      <c r="M428" s="3" t="s">
        <v>17</v>
      </c>
      <c r="N428" s="20" t="str" cm="1">
        <f t="array" ref="N428">_xlfn.IFS(tbl_Clean[[#This Row],[Age]]&lt;=30,"25-30",tbl_Clean[[#This Row],[Age]]&lt;=40,"31-40",tbl_Clean[[#This Row],[Age]]&lt;=50,"41-50",tbl_Clean[[#This Row],[Age]]&lt;=60,"51-60",TRUE,"61+")</f>
        <v>31-40</v>
      </c>
      <c r="O428" s="20">
        <f>_xlfn.XMATCH(tbl_Clean[[#This Row],[Age Band]],{"25-30","31-40","41-50","51-60","61+"})</f>
        <v>2</v>
      </c>
      <c r="P428" s="20" t="str" cm="1">
        <f t="array" ref="P428">_xlfn.IFS(tbl_Clean[[#This Row],[Income]]&lt;=30000,"$10k-30k",tbl_Clean[[#This Row],[Income]]&lt;=60000,"$40k-60k",tbl_Clean[[#This Row],[Income]]&lt;=90000,"$70k-90k",TRUE,"$100k+")</f>
        <v>$10k-30k</v>
      </c>
      <c r="Q428" s="20">
        <f>_xlfn.XMATCH(tbl_Clean[[#This Row],[Income Band]],{"$10k-30k","$40k-60k","$70k-90k","$100k+"})</f>
        <v>1</v>
      </c>
      <c r="R428" s="20" t="str">
        <f>IF(tbl_Clean[[#This Row],[Cars]]&lt;=1,"0-1 Cars","2+ Cars")</f>
        <v>0-1 Cars</v>
      </c>
      <c r="S428" s="20">
        <f>_xlfn.XMATCH(tbl_Clean[[#This Row],[Commute Distance]],{"0-1 Miles","1-2 Miles","2-5 Miles","5-10 Miles","10+ Miles"})</f>
        <v>3</v>
      </c>
      <c r="T428" s="20">
        <f>_xlfn.XMATCH(tbl_Clean[[#This Row],[Education]],{"Partial High School","High School","Partial College","Bachelors","Graduate Degree"})</f>
        <v>2</v>
      </c>
      <c r="U428" s="20">
        <f>IF(tbl_Clean[[#This Row],[Purchased Bike]]="Yes",1,0)</f>
        <v>1</v>
      </c>
    </row>
    <row r="429" spans="1:21" x14ac:dyDescent="0.25">
      <c r="A429" s="20">
        <v>14805</v>
      </c>
      <c r="B429" s="3" t="s">
        <v>114</v>
      </c>
      <c r="C429" s="3" t="s">
        <v>112</v>
      </c>
      <c r="D429" s="19">
        <v>10000</v>
      </c>
      <c r="E429" s="20">
        <v>3</v>
      </c>
      <c r="F429" s="3" t="s">
        <v>32</v>
      </c>
      <c r="G429" s="3" t="s">
        <v>28</v>
      </c>
      <c r="H429" s="3" t="s">
        <v>17</v>
      </c>
      <c r="I429" s="20">
        <v>2</v>
      </c>
      <c r="J429" s="3" t="s">
        <v>18</v>
      </c>
      <c r="K429" s="3" t="s">
        <v>19</v>
      </c>
      <c r="L429" s="20">
        <v>43</v>
      </c>
      <c r="M429" s="3" t="s">
        <v>20</v>
      </c>
      <c r="N429" s="20" t="str" cm="1">
        <f t="array" ref="N429">_xlfn.IFS(tbl_Clean[[#This Row],[Age]]&lt;=30,"25-30",tbl_Clean[[#This Row],[Age]]&lt;=40,"31-40",tbl_Clean[[#This Row],[Age]]&lt;=50,"41-50",tbl_Clean[[#This Row],[Age]]&lt;=60,"51-60",TRUE,"61+")</f>
        <v>41-50</v>
      </c>
      <c r="O429" s="20">
        <f>_xlfn.XMATCH(tbl_Clean[[#This Row],[Age Band]],{"25-30","31-40","41-50","51-60","61+"})</f>
        <v>3</v>
      </c>
      <c r="P429" s="20" t="str" cm="1">
        <f t="array" ref="P429">_xlfn.IFS(tbl_Clean[[#This Row],[Income]]&lt;=30000,"$10k-30k",tbl_Clean[[#This Row],[Income]]&lt;=60000,"$40k-60k",tbl_Clean[[#This Row],[Income]]&lt;=90000,"$70k-90k",TRUE,"$100k+")</f>
        <v>$10k-30k</v>
      </c>
      <c r="Q429" s="20">
        <f>_xlfn.XMATCH(tbl_Clean[[#This Row],[Income Band]],{"$10k-30k","$40k-60k","$70k-90k","$100k+"})</f>
        <v>1</v>
      </c>
      <c r="R429" s="20" t="str">
        <f>IF(tbl_Clean[[#This Row],[Cars]]&lt;=1,"0-1 Cars","2+ Cars")</f>
        <v>2+ Cars</v>
      </c>
      <c r="S429" s="20">
        <f>_xlfn.XMATCH(tbl_Clean[[#This Row],[Commute Distance]],{"0-1 Miles","1-2 Miles","2-5 Miles","5-10 Miles","10+ Miles"})</f>
        <v>1</v>
      </c>
      <c r="T429" s="20">
        <f>_xlfn.XMATCH(tbl_Clean[[#This Row],[Education]],{"Partial High School","High School","Partial College","Bachelors","Graduate Degree"})</f>
        <v>1</v>
      </c>
      <c r="U429" s="20">
        <f>IF(tbl_Clean[[#This Row],[Purchased Bike]]="Yes",1,0)</f>
        <v>0</v>
      </c>
    </row>
    <row r="430" spans="1:21" x14ac:dyDescent="0.25">
      <c r="A430" s="20">
        <v>15822</v>
      </c>
      <c r="B430" s="3" t="s">
        <v>111</v>
      </c>
      <c r="C430" s="3" t="s">
        <v>113</v>
      </c>
      <c r="D430" s="19">
        <v>40000</v>
      </c>
      <c r="E430" s="20">
        <v>2</v>
      </c>
      <c r="F430" s="3" t="s">
        <v>15</v>
      </c>
      <c r="G430" s="3" t="s">
        <v>31</v>
      </c>
      <c r="H430" s="3" t="s">
        <v>17</v>
      </c>
      <c r="I430" s="20">
        <v>2</v>
      </c>
      <c r="J430" s="3" t="s">
        <v>18</v>
      </c>
      <c r="K430" s="3" t="s">
        <v>27</v>
      </c>
      <c r="L430" s="20">
        <v>67</v>
      </c>
      <c r="M430" s="3" t="s">
        <v>20</v>
      </c>
      <c r="N430" s="20" t="str" cm="1">
        <f t="array" ref="N430">_xlfn.IFS(tbl_Clean[[#This Row],[Age]]&lt;=30,"25-30",tbl_Clean[[#This Row],[Age]]&lt;=40,"31-40",tbl_Clean[[#This Row],[Age]]&lt;=50,"41-50",tbl_Clean[[#This Row],[Age]]&lt;=60,"51-60",TRUE,"61+")</f>
        <v>61+</v>
      </c>
      <c r="O430" s="20">
        <f>_xlfn.XMATCH(tbl_Clean[[#This Row],[Age Band]],{"25-30","31-40","41-50","51-60","61+"})</f>
        <v>5</v>
      </c>
      <c r="P430" s="20" t="str" cm="1">
        <f t="array" ref="P430">_xlfn.IFS(tbl_Clean[[#This Row],[Income]]&lt;=30000,"$10k-30k",tbl_Clean[[#This Row],[Income]]&lt;=60000,"$40k-60k",tbl_Clean[[#This Row],[Income]]&lt;=90000,"$70k-90k",TRUE,"$100k+")</f>
        <v>$40k-60k</v>
      </c>
      <c r="Q430" s="20">
        <f>_xlfn.XMATCH(tbl_Clean[[#This Row],[Income Band]],{"$10k-30k","$40k-60k","$70k-90k","$100k+"})</f>
        <v>2</v>
      </c>
      <c r="R430" s="20" t="str">
        <f>IF(tbl_Clean[[#This Row],[Cars]]&lt;=1,"0-1 Cars","2+ Cars")</f>
        <v>2+ Cars</v>
      </c>
      <c r="S430" s="20">
        <f>_xlfn.XMATCH(tbl_Clean[[#This Row],[Commute Distance]],{"0-1 Miles","1-2 Miles","2-5 Miles","5-10 Miles","10+ Miles"})</f>
        <v>1</v>
      </c>
      <c r="T430" s="20">
        <f>_xlfn.XMATCH(tbl_Clean[[#This Row],[Education]],{"Partial High School","High School","Partial College","Bachelors","Graduate Degree"})</f>
        <v>4</v>
      </c>
      <c r="U430" s="20">
        <f>IF(tbl_Clean[[#This Row],[Purchased Bike]]="Yes",1,0)</f>
        <v>0</v>
      </c>
    </row>
    <row r="431" spans="1:21" x14ac:dyDescent="0.25">
      <c r="A431" s="20">
        <v>19389</v>
      </c>
      <c r="B431" s="3" t="s">
        <v>114</v>
      </c>
      <c r="C431" s="3" t="s">
        <v>113</v>
      </c>
      <c r="D431" s="19">
        <v>30000</v>
      </c>
      <c r="E431" s="20">
        <v>0</v>
      </c>
      <c r="F431" s="3" t="s">
        <v>21</v>
      </c>
      <c r="G431" s="3" t="s">
        <v>22</v>
      </c>
      <c r="H431" s="3" t="s">
        <v>20</v>
      </c>
      <c r="I431" s="20">
        <v>1</v>
      </c>
      <c r="J431" s="3" t="s">
        <v>24</v>
      </c>
      <c r="K431" s="3" t="s">
        <v>19</v>
      </c>
      <c r="L431" s="20">
        <v>28</v>
      </c>
      <c r="M431" s="3" t="s">
        <v>20</v>
      </c>
      <c r="N431" s="20" t="str" cm="1">
        <f t="array" ref="N431">_xlfn.IFS(tbl_Clean[[#This Row],[Age]]&lt;=30,"25-30",tbl_Clean[[#This Row],[Age]]&lt;=40,"31-40",tbl_Clean[[#This Row],[Age]]&lt;=50,"41-50",tbl_Clean[[#This Row],[Age]]&lt;=60,"51-60",TRUE,"61+")</f>
        <v>25-30</v>
      </c>
      <c r="O431" s="20">
        <f>_xlfn.XMATCH(tbl_Clean[[#This Row],[Age Band]],{"25-30","31-40","41-50","51-60","61+"})</f>
        <v>1</v>
      </c>
      <c r="P431" s="20" t="str" cm="1">
        <f t="array" ref="P431">_xlfn.IFS(tbl_Clean[[#This Row],[Income]]&lt;=30000,"$10k-30k",tbl_Clean[[#This Row],[Income]]&lt;=60000,"$40k-60k",tbl_Clean[[#This Row],[Income]]&lt;=90000,"$70k-90k",TRUE,"$100k+")</f>
        <v>$10k-30k</v>
      </c>
      <c r="Q431" s="20">
        <f>_xlfn.XMATCH(tbl_Clean[[#This Row],[Income Band]],{"$10k-30k","$40k-60k","$70k-90k","$100k+"})</f>
        <v>1</v>
      </c>
      <c r="R431" s="20" t="str">
        <f>IF(tbl_Clean[[#This Row],[Cars]]&lt;=1,"0-1 Cars","2+ Cars")</f>
        <v>0-1 Cars</v>
      </c>
      <c r="S431" s="20">
        <f>_xlfn.XMATCH(tbl_Clean[[#This Row],[Commute Distance]],{"0-1 Miles","1-2 Miles","2-5 Miles","5-10 Miles","10+ Miles"})</f>
        <v>3</v>
      </c>
      <c r="T431" s="20">
        <f>_xlfn.XMATCH(tbl_Clean[[#This Row],[Education]],{"Partial High School","High School","Partial College","Bachelors","Graduate Degree"})</f>
        <v>3</v>
      </c>
      <c r="U431" s="20">
        <f>IF(tbl_Clean[[#This Row],[Purchased Bike]]="Yes",1,0)</f>
        <v>0</v>
      </c>
    </row>
    <row r="432" spans="1:21" x14ac:dyDescent="0.25">
      <c r="A432" s="20">
        <v>17048</v>
      </c>
      <c r="B432" s="3" t="s">
        <v>114</v>
      </c>
      <c r="C432" s="3" t="s">
        <v>112</v>
      </c>
      <c r="D432" s="19">
        <v>90000</v>
      </c>
      <c r="E432" s="20">
        <v>1</v>
      </c>
      <c r="F432" s="3" t="s">
        <v>34</v>
      </c>
      <c r="G432" s="3" t="s">
        <v>31</v>
      </c>
      <c r="H432" s="3" t="s">
        <v>17</v>
      </c>
      <c r="I432" s="20">
        <v>0</v>
      </c>
      <c r="J432" s="3" t="s">
        <v>18</v>
      </c>
      <c r="K432" s="3" t="s">
        <v>27</v>
      </c>
      <c r="L432" s="20">
        <v>36</v>
      </c>
      <c r="M432" s="3" t="s">
        <v>17</v>
      </c>
      <c r="N432" s="20" t="str" cm="1">
        <f t="array" ref="N432">_xlfn.IFS(tbl_Clean[[#This Row],[Age]]&lt;=30,"25-30",tbl_Clean[[#This Row],[Age]]&lt;=40,"31-40",tbl_Clean[[#This Row],[Age]]&lt;=50,"41-50",tbl_Clean[[#This Row],[Age]]&lt;=60,"51-60",TRUE,"61+")</f>
        <v>31-40</v>
      </c>
      <c r="O432" s="20">
        <f>_xlfn.XMATCH(tbl_Clean[[#This Row],[Age Band]],{"25-30","31-40","41-50","51-60","61+"})</f>
        <v>2</v>
      </c>
      <c r="P432" s="20" t="str" cm="1">
        <f t="array" ref="P432">_xlfn.IFS(tbl_Clean[[#This Row],[Income]]&lt;=30000,"$10k-30k",tbl_Clean[[#This Row],[Income]]&lt;=60000,"$40k-60k",tbl_Clean[[#This Row],[Income]]&lt;=90000,"$70k-90k",TRUE,"$100k+")</f>
        <v>$70k-90k</v>
      </c>
      <c r="Q432" s="20">
        <f>_xlfn.XMATCH(tbl_Clean[[#This Row],[Income Band]],{"$10k-30k","$40k-60k","$70k-90k","$100k+"})</f>
        <v>3</v>
      </c>
      <c r="R432" s="20" t="str">
        <f>IF(tbl_Clean[[#This Row],[Cars]]&lt;=1,"0-1 Cars","2+ Cars")</f>
        <v>0-1 Cars</v>
      </c>
      <c r="S432" s="20">
        <f>_xlfn.XMATCH(tbl_Clean[[#This Row],[Commute Distance]],{"0-1 Miles","1-2 Miles","2-5 Miles","5-10 Miles","10+ Miles"})</f>
        <v>1</v>
      </c>
      <c r="T432" s="20">
        <f>_xlfn.XMATCH(tbl_Clean[[#This Row],[Education]],{"Partial High School","High School","Partial College","Bachelors","Graduate Degree"})</f>
        <v>5</v>
      </c>
      <c r="U432" s="20">
        <f>IF(tbl_Clean[[#This Row],[Purchased Bike]]="Yes",1,0)</f>
        <v>1</v>
      </c>
    </row>
    <row r="433" spans="1:21" x14ac:dyDescent="0.25">
      <c r="A433" s="20">
        <v>22204</v>
      </c>
      <c r="B433" s="3" t="s">
        <v>111</v>
      </c>
      <c r="C433" s="3" t="s">
        <v>113</v>
      </c>
      <c r="D433" s="19">
        <v>110000</v>
      </c>
      <c r="E433" s="20">
        <v>4</v>
      </c>
      <c r="F433" s="3" t="s">
        <v>15</v>
      </c>
      <c r="G433" s="3" t="s">
        <v>31</v>
      </c>
      <c r="H433" s="3" t="s">
        <v>17</v>
      </c>
      <c r="I433" s="20">
        <v>3</v>
      </c>
      <c r="J433" s="3" t="s">
        <v>24</v>
      </c>
      <c r="K433" s="3" t="s">
        <v>27</v>
      </c>
      <c r="L433" s="20">
        <v>48</v>
      </c>
      <c r="M433" s="3" t="s">
        <v>20</v>
      </c>
      <c r="N433" s="20" t="str" cm="1">
        <f t="array" ref="N433">_xlfn.IFS(tbl_Clean[[#This Row],[Age]]&lt;=30,"25-30",tbl_Clean[[#This Row],[Age]]&lt;=40,"31-40",tbl_Clean[[#This Row],[Age]]&lt;=50,"41-50",tbl_Clean[[#This Row],[Age]]&lt;=60,"51-60",TRUE,"61+")</f>
        <v>41-50</v>
      </c>
      <c r="O433" s="20">
        <f>_xlfn.XMATCH(tbl_Clean[[#This Row],[Age Band]],{"25-30","31-40","41-50","51-60","61+"})</f>
        <v>3</v>
      </c>
      <c r="P433" s="20" t="str" cm="1">
        <f t="array" ref="P433">_xlfn.IFS(tbl_Clean[[#This Row],[Income]]&lt;=30000,"$10k-30k",tbl_Clean[[#This Row],[Income]]&lt;=60000,"$40k-60k",tbl_Clean[[#This Row],[Income]]&lt;=90000,"$70k-90k",TRUE,"$100k+")</f>
        <v>$100k+</v>
      </c>
      <c r="Q433" s="20">
        <f>_xlfn.XMATCH(tbl_Clean[[#This Row],[Income Band]],{"$10k-30k","$40k-60k","$70k-90k","$100k+"})</f>
        <v>4</v>
      </c>
      <c r="R433" s="20" t="str">
        <f>IF(tbl_Clean[[#This Row],[Cars]]&lt;=1,"0-1 Cars","2+ Cars")</f>
        <v>2+ Cars</v>
      </c>
      <c r="S433" s="20">
        <f>_xlfn.XMATCH(tbl_Clean[[#This Row],[Commute Distance]],{"0-1 Miles","1-2 Miles","2-5 Miles","5-10 Miles","10+ Miles"})</f>
        <v>3</v>
      </c>
      <c r="T433" s="20">
        <f>_xlfn.XMATCH(tbl_Clean[[#This Row],[Education]],{"Partial High School","High School","Partial College","Bachelors","Graduate Degree"})</f>
        <v>4</v>
      </c>
      <c r="U433" s="20">
        <f>IF(tbl_Clean[[#This Row],[Purchased Bike]]="Yes",1,0)</f>
        <v>0</v>
      </c>
    </row>
    <row r="434" spans="1:21" x14ac:dyDescent="0.25">
      <c r="A434" s="20">
        <v>12718</v>
      </c>
      <c r="B434" s="3" t="s">
        <v>114</v>
      </c>
      <c r="C434" s="3" t="s">
        <v>112</v>
      </c>
      <c r="D434" s="19">
        <v>30000</v>
      </c>
      <c r="E434" s="20">
        <v>0</v>
      </c>
      <c r="F434" s="3" t="s">
        <v>21</v>
      </c>
      <c r="G434" s="3" t="s">
        <v>22</v>
      </c>
      <c r="H434" s="3" t="s">
        <v>17</v>
      </c>
      <c r="I434" s="20">
        <v>1</v>
      </c>
      <c r="J434" s="3" t="s">
        <v>24</v>
      </c>
      <c r="K434" s="3" t="s">
        <v>19</v>
      </c>
      <c r="L434" s="20">
        <v>31</v>
      </c>
      <c r="M434" s="3" t="s">
        <v>20</v>
      </c>
      <c r="N434" s="20" t="str" cm="1">
        <f t="array" ref="N434">_xlfn.IFS(tbl_Clean[[#This Row],[Age]]&lt;=30,"25-30",tbl_Clean[[#This Row],[Age]]&lt;=40,"31-40",tbl_Clean[[#This Row],[Age]]&lt;=50,"41-50",tbl_Clean[[#This Row],[Age]]&lt;=60,"51-60",TRUE,"61+")</f>
        <v>31-40</v>
      </c>
      <c r="O434" s="20">
        <f>_xlfn.XMATCH(tbl_Clean[[#This Row],[Age Band]],{"25-30","31-40","41-50","51-60","61+"})</f>
        <v>2</v>
      </c>
      <c r="P434" s="20" t="str" cm="1">
        <f t="array" ref="P434">_xlfn.IFS(tbl_Clean[[#This Row],[Income]]&lt;=30000,"$10k-30k",tbl_Clean[[#This Row],[Income]]&lt;=60000,"$40k-60k",tbl_Clean[[#This Row],[Income]]&lt;=90000,"$70k-90k",TRUE,"$100k+")</f>
        <v>$10k-30k</v>
      </c>
      <c r="Q434" s="20">
        <f>_xlfn.XMATCH(tbl_Clean[[#This Row],[Income Band]],{"$10k-30k","$40k-60k","$70k-90k","$100k+"})</f>
        <v>1</v>
      </c>
      <c r="R434" s="20" t="str">
        <f>IF(tbl_Clean[[#This Row],[Cars]]&lt;=1,"0-1 Cars","2+ Cars")</f>
        <v>0-1 Cars</v>
      </c>
      <c r="S434" s="20">
        <f>_xlfn.XMATCH(tbl_Clean[[#This Row],[Commute Distance]],{"0-1 Miles","1-2 Miles","2-5 Miles","5-10 Miles","10+ Miles"})</f>
        <v>3</v>
      </c>
      <c r="T434" s="20">
        <f>_xlfn.XMATCH(tbl_Clean[[#This Row],[Education]],{"Partial High School","High School","Partial College","Bachelors","Graduate Degree"})</f>
        <v>3</v>
      </c>
      <c r="U434" s="20">
        <f>IF(tbl_Clean[[#This Row],[Purchased Bike]]="Yes",1,0)</f>
        <v>0</v>
      </c>
    </row>
    <row r="435" spans="1:21" x14ac:dyDescent="0.25">
      <c r="A435" s="20">
        <v>15019</v>
      </c>
      <c r="B435" s="3" t="s">
        <v>114</v>
      </c>
      <c r="C435" s="3" t="s">
        <v>112</v>
      </c>
      <c r="D435" s="19">
        <v>30000</v>
      </c>
      <c r="E435" s="20">
        <v>3</v>
      </c>
      <c r="F435" s="3" t="s">
        <v>30</v>
      </c>
      <c r="G435" s="3" t="s">
        <v>16</v>
      </c>
      <c r="H435" s="3" t="s">
        <v>17</v>
      </c>
      <c r="I435" s="20">
        <v>2</v>
      </c>
      <c r="J435" s="3" t="s">
        <v>26</v>
      </c>
      <c r="K435" s="3" t="s">
        <v>27</v>
      </c>
      <c r="L435" s="20">
        <v>55</v>
      </c>
      <c r="M435" s="3" t="s">
        <v>20</v>
      </c>
      <c r="N435" s="20" t="str" cm="1">
        <f t="array" ref="N435">_xlfn.IFS(tbl_Clean[[#This Row],[Age]]&lt;=30,"25-30",tbl_Clean[[#This Row],[Age]]&lt;=40,"31-40",tbl_Clean[[#This Row],[Age]]&lt;=50,"41-50",tbl_Clean[[#This Row],[Age]]&lt;=60,"51-60",TRUE,"61+")</f>
        <v>51-60</v>
      </c>
      <c r="O435" s="20">
        <f>_xlfn.XMATCH(tbl_Clean[[#This Row],[Age Band]],{"25-30","31-40","41-50","51-60","61+"})</f>
        <v>4</v>
      </c>
      <c r="P435" s="20" t="str" cm="1">
        <f t="array" ref="P435">_xlfn.IFS(tbl_Clean[[#This Row],[Income]]&lt;=30000,"$10k-30k",tbl_Clean[[#This Row],[Income]]&lt;=60000,"$40k-60k",tbl_Clean[[#This Row],[Income]]&lt;=90000,"$70k-90k",TRUE,"$100k+")</f>
        <v>$10k-30k</v>
      </c>
      <c r="Q435" s="20">
        <f>_xlfn.XMATCH(tbl_Clean[[#This Row],[Income Band]],{"$10k-30k","$40k-60k","$70k-90k","$100k+"})</f>
        <v>1</v>
      </c>
      <c r="R435" s="20" t="str">
        <f>IF(tbl_Clean[[#This Row],[Cars]]&lt;=1,"0-1 Cars","2+ Cars")</f>
        <v>2+ Cars</v>
      </c>
      <c r="S435" s="20">
        <f>_xlfn.XMATCH(tbl_Clean[[#This Row],[Commute Distance]],{"0-1 Miles","1-2 Miles","2-5 Miles","5-10 Miles","10+ Miles"})</f>
        <v>4</v>
      </c>
      <c r="T435" s="20">
        <f>_xlfn.XMATCH(tbl_Clean[[#This Row],[Education]],{"Partial High School","High School","Partial College","Bachelors","Graduate Degree"})</f>
        <v>2</v>
      </c>
      <c r="U435" s="20">
        <f>IF(tbl_Clean[[#This Row],[Purchased Bike]]="Yes",1,0)</f>
        <v>0</v>
      </c>
    </row>
    <row r="436" spans="1:21" x14ac:dyDescent="0.25">
      <c r="A436" s="20">
        <v>28488</v>
      </c>
      <c r="B436" s="3" t="s">
        <v>114</v>
      </c>
      <c r="C436" s="3" t="s">
        <v>113</v>
      </c>
      <c r="D436" s="19">
        <v>20000</v>
      </c>
      <c r="E436" s="20">
        <v>0</v>
      </c>
      <c r="F436" s="3" t="s">
        <v>21</v>
      </c>
      <c r="G436" s="3" t="s">
        <v>28</v>
      </c>
      <c r="H436" s="3" t="s">
        <v>17</v>
      </c>
      <c r="I436" s="20">
        <v>0</v>
      </c>
      <c r="J436" s="3" t="s">
        <v>18</v>
      </c>
      <c r="K436" s="3" t="s">
        <v>27</v>
      </c>
      <c r="L436" s="20">
        <v>28</v>
      </c>
      <c r="M436" s="3" t="s">
        <v>17</v>
      </c>
      <c r="N436" s="20" t="str" cm="1">
        <f t="array" ref="N436">_xlfn.IFS(tbl_Clean[[#This Row],[Age]]&lt;=30,"25-30",tbl_Clean[[#This Row],[Age]]&lt;=40,"31-40",tbl_Clean[[#This Row],[Age]]&lt;=50,"41-50",tbl_Clean[[#This Row],[Age]]&lt;=60,"51-60",TRUE,"61+")</f>
        <v>25-30</v>
      </c>
      <c r="O436" s="20">
        <f>_xlfn.XMATCH(tbl_Clean[[#This Row],[Age Band]],{"25-30","31-40","41-50","51-60","61+"})</f>
        <v>1</v>
      </c>
      <c r="P436" s="20" t="str" cm="1">
        <f t="array" ref="P436">_xlfn.IFS(tbl_Clean[[#This Row],[Income]]&lt;=30000,"$10k-30k",tbl_Clean[[#This Row],[Income]]&lt;=60000,"$40k-60k",tbl_Clean[[#This Row],[Income]]&lt;=90000,"$70k-90k",TRUE,"$100k+")</f>
        <v>$10k-30k</v>
      </c>
      <c r="Q436" s="20">
        <f>_xlfn.XMATCH(tbl_Clean[[#This Row],[Income Band]],{"$10k-30k","$40k-60k","$70k-90k","$100k+"})</f>
        <v>1</v>
      </c>
      <c r="R436" s="20" t="str">
        <f>IF(tbl_Clean[[#This Row],[Cars]]&lt;=1,"0-1 Cars","2+ Cars")</f>
        <v>0-1 Cars</v>
      </c>
      <c r="S436" s="20">
        <f>_xlfn.XMATCH(tbl_Clean[[#This Row],[Commute Distance]],{"0-1 Miles","1-2 Miles","2-5 Miles","5-10 Miles","10+ Miles"})</f>
        <v>1</v>
      </c>
      <c r="T436" s="20">
        <f>_xlfn.XMATCH(tbl_Clean[[#This Row],[Education]],{"Partial High School","High School","Partial College","Bachelors","Graduate Degree"})</f>
        <v>3</v>
      </c>
      <c r="U436" s="20">
        <f>IF(tbl_Clean[[#This Row],[Purchased Bike]]="Yes",1,0)</f>
        <v>1</v>
      </c>
    </row>
    <row r="437" spans="1:21" x14ac:dyDescent="0.25">
      <c r="A437" s="20">
        <v>21891</v>
      </c>
      <c r="B437" s="3" t="s">
        <v>111</v>
      </c>
      <c r="C437" s="3" t="s">
        <v>112</v>
      </c>
      <c r="D437" s="19">
        <v>110000</v>
      </c>
      <c r="E437" s="20">
        <v>0</v>
      </c>
      <c r="F437" s="3" t="s">
        <v>30</v>
      </c>
      <c r="G437" s="3" t="s">
        <v>31</v>
      </c>
      <c r="H437" s="3" t="s">
        <v>17</v>
      </c>
      <c r="I437" s="20">
        <v>3</v>
      </c>
      <c r="J437" s="3" t="s">
        <v>33</v>
      </c>
      <c r="K437" s="3" t="s">
        <v>27</v>
      </c>
      <c r="L437" s="20">
        <v>34</v>
      </c>
      <c r="M437" s="3" t="s">
        <v>17</v>
      </c>
      <c r="N437" s="20" t="str" cm="1">
        <f t="array" ref="N437">_xlfn.IFS(tbl_Clean[[#This Row],[Age]]&lt;=30,"25-30",tbl_Clean[[#This Row],[Age]]&lt;=40,"31-40",tbl_Clean[[#This Row],[Age]]&lt;=50,"41-50",tbl_Clean[[#This Row],[Age]]&lt;=60,"51-60",TRUE,"61+")</f>
        <v>31-40</v>
      </c>
      <c r="O437" s="20">
        <f>_xlfn.XMATCH(tbl_Clean[[#This Row],[Age Band]],{"25-30","31-40","41-50","51-60","61+"})</f>
        <v>2</v>
      </c>
      <c r="P437" s="20" t="str" cm="1">
        <f t="array" ref="P437">_xlfn.IFS(tbl_Clean[[#This Row],[Income]]&lt;=30000,"$10k-30k",tbl_Clean[[#This Row],[Income]]&lt;=60000,"$40k-60k",tbl_Clean[[#This Row],[Income]]&lt;=90000,"$70k-90k",TRUE,"$100k+")</f>
        <v>$100k+</v>
      </c>
      <c r="Q437" s="20">
        <f>_xlfn.XMATCH(tbl_Clean[[#This Row],[Income Band]],{"$10k-30k","$40k-60k","$70k-90k","$100k+"})</f>
        <v>4</v>
      </c>
      <c r="R437" s="20" t="str">
        <f>IF(tbl_Clean[[#This Row],[Cars]]&lt;=1,"0-1 Cars","2+ Cars")</f>
        <v>2+ Cars</v>
      </c>
      <c r="S437" s="20">
        <f>_xlfn.XMATCH(tbl_Clean[[#This Row],[Commute Distance]],{"0-1 Miles","1-2 Miles","2-5 Miles","5-10 Miles","10+ Miles"})</f>
        <v>5</v>
      </c>
      <c r="T437" s="20">
        <f>_xlfn.XMATCH(tbl_Clean[[#This Row],[Education]],{"Partial High School","High School","Partial College","Bachelors","Graduate Degree"})</f>
        <v>2</v>
      </c>
      <c r="U437" s="20">
        <f>IF(tbl_Clean[[#This Row],[Purchased Bike]]="Yes",1,0)</f>
        <v>1</v>
      </c>
    </row>
    <row r="438" spans="1:21" x14ac:dyDescent="0.25">
      <c r="A438" s="20">
        <v>27814</v>
      </c>
      <c r="B438" s="3" t="s">
        <v>114</v>
      </c>
      <c r="C438" s="3" t="s">
        <v>112</v>
      </c>
      <c r="D438" s="19">
        <v>30000</v>
      </c>
      <c r="E438" s="20">
        <v>3</v>
      </c>
      <c r="F438" s="3" t="s">
        <v>21</v>
      </c>
      <c r="G438" s="3" t="s">
        <v>22</v>
      </c>
      <c r="H438" s="3" t="s">
        <v>20</v>
      </c>
      <c r="I438" s="20">
        <v>1</v>
      </c>
      <c r="J438" s="3" t="s">
        <v>18</v>
      </c>
      <c r="K438" s="3" t="s">
        <v>19</v>
      </c>
      <c r="L438" s="20">
        <v>26</v>
      </c>
      <c r="M438" s="3" t="s">
        <v>20</v>
      </c>
      <c r="N438" s="20" t="str" cm="1">
        <f t="array" ref="N438">_xlfn.IFS(tbl_Clean[[#This Row],[Age]]&lt;=30,"25-30",tbl_Clean[[#This Row],[Age]]&lt;=40,"31-40",tbl_Clean[[#This Row],[Age]]&lt;=50,"41-50",tbl_Clean[[#This Row],[Age]]&lt;=60,"51-60",TRUE,"61+")</f>
        <v>25-30</v>
      </c>
      <c r="O438" s="20">
        <f>_xlfn.XMATCH(tbl_Clean[[#This Row],[Age Band]],{"25-30","31-40","41-50","51-60","61+"})</f>
        <v>1</v>
      </c>
      <c r="P438" s="20" t="str" cm="1">
        <f t="array" ref="P438">_xlfn.IFS(tbl_Clean[[#This Row],[Income]]&lt;=30000,"$10k-30k",tbl_Clean[[#This Row],[Income]]&lt;=60000,"$40k-60k",tbl_Clean[[#This Row],[Income]]&lt;=90000,"$70k-90k",TRUE,"$100k+")</f>
        <v>$10k-30k</v>
      </c>
      <c r="Q438" s="20">
        <f>_xlfn.XMATCH(tbl_Clean[[#This Row],[Income Band]],{"$10k-30k","$40k-60k","$70k-90k","$100k+"})</f>
        <v>1</v>
      </c>
      <c r="R438" s="20" t="str">
        <f>IF(tbl_Clean[[#This Row],[Cars]]&lt;=1,"0-1 Cars","2+ Cars")</f>
        <v>0-1 Cars</v>
      </c>
      <c r="S438" s="20">
        <f>_xlfn.XMATCH(tbl_Clean[[#This Row],[Commute Distance]],{"0-1 Miles","1-2 Miles","2-5 Miles","5-10 Miles","10+ Miles"})</f>
        <v>1</v>
      </c>
      <c r="T438" s="20">
        <f>_xlfn.XMATCH(tbl_Clean[[#This Row],[Education]],{"Partial High School","High School","Partial College","Bachelors","Graduate Degree"})</f>
        <v>3</v>
      </c>
      <c r="U438" s="20">
        <f>IF(tbl_Clean[[#This Row],[Purchased Bike]]="Yes",1,0)</f>
        <v>0</v>
      </c>
    </row>
    <row r="439" spans="1:21" x14ac:dyDescent="0.25">
      <c r="A439" s="20">
        <v>22175</v>
      </c>
      <c r="B439" s="3" t="s">
        <v>111</v>
      </c>
      <c r="C439" s="3" t="s">
        <v>112</v>
      </c>
      <c r="D439" s="19">
        <v>30000</v>
      </c>
      <c r="E439" s="20">
        <v>3</v>
      </c>
      <c r="F439" s="3" t="s">
        <v>30</v>
      </c>
      <c r="G439" s="3" t="s">
        <v>16</v>
      </c>
      <c r="H439" s="3" t="s">
        <v>17</v>
      </c>
      <c r="I439" s="20">
        <v>2</v>
      </c>
      <c r="J439" s="3" t="s">
        <v>26</v>
      </c>
      <c r="K439" s="3" t="s">
        <v>27</v>
      </c>
      <c r="L439" s="20">
        <v>53</v>
      </c>
      <c r="M439" s="3" t="s">
        <v>17</v>
      </c>
      <c r="N439" s="20" t="str" cm="1">
        <f t="array" ref="N439">_xlfn.IFS(tbl_Clean[[#This Row],[Age]]&lt;=30,"25-30",tbl_Clean[[#This Row],[Age]]&lt;=40,"31-40",tbl_Clean[[#This Row],[Age]]&lt;=50,"41-50",tbl_Clean[[#This Row],[Age]]&lt;=60,"51-60",TRUE,"61+")</f>
        <v>51-60</v>
      </c>
      <c r="O439" s="20">
        <f>_xlfn.XMATCH(tbl_Clean[[#This Row],[Age Band]],{"25-30","31-40","41-50","51-60","61+"})</f>
        <v>4</v>
      </c>
      <c r="P439" s="20" t="str" cm="1">
        <f t="array" ref="P439">_xlfn.IFS(tbl_Clean[[#This Row],[Income]]&lt;=30000,"$10k-30k",tbl_Clean[[#This Row],[Income]]&lt;=60000,"$40k-60k",tbl_Clean[[#This Row],[Income]]&lt;=90000,"$70k-90k",TRUE,"$100k+")</f>
        <v>$10k-30k</v>
      </c>
      <c r="Q439" s="20">
        <f>_xlfn.XMATCH(tbl_Clean[[#This Row],[Income Band]],{"$10k-30k","$40k-60k","$70k-90k","$100k+"})</f>
        <v>1</v>
      </c>
      <c r="R439" s="20" t="str">
        <f>IF(tbl_Clean[[#This Row],[Cars]]&lt;=1,"0-1 Cars","2+ Cars")</f>
        <v>2+ Cars</v>
      </c>
      <c r="S439" s="20">
        <f>_xlfn.XMATCH(tbl_Clean[[#This Row],[Commute Distance]],{"0-1 Miles","1-2 Miles","2-5 Miles","5-10 Miles","10+ Miles"})</f>
        <v>4</v>
      </c>
      <c r="T439" s="20">
        <f>_xlfn.XMATCH(tbl_Clean[[#This Row],[Education]],{"Partial High School","High School","Partial College","Bachelors","Graduate Degree"})</f>
        <v>2</v>
      </c>
      <c r="U439" s="20">
        <f>IF(tbl_Clean[[#This Row],[Purchased Bike]]="Yes",1,0)</f>
        <v>1</v>
      </c>
    </row>
    <row r="440" spans="1:21" x14ac:dyDescent="0.25">
      <c r="A440" s="20">
        <v>29447</v>
      </c>
      <c r="B440" s="3" t="s">
        <v>114</v>
      </c>
      <c r="C440" s="3" t="s">
        <v>112</v>
      </c>
      <c r="D440" s="19">
        <v>10000</v>
      </c>
      <c r="E440" s="20">
        <v>2</v>
      </c>
      <c r="F440" s="3" t="s">
        <v>15</v>
      </c>
      <c r="G440" s="3" t="s">
        <v>22</v>
      </c>
      <c r="H440" s="3" t="s">
        <v>20</v>
      </c>
      <c r="I440" s="20">
        <v>1</v>
      </c>
      <c r="J440" s="3" t="s">
        <v>24</v>
      </c>
      <c r="K440" s="3" t="s">
        <v>19</v>
      </c>
      <c r="L440" s="20">
        <v>68</v>
      </c>
      <c r="M440" s="3" t="s">
        <v>20</v>
      </c>
      <c r="N440" s="20" t="str" cm="1">
        <f t="array" ref="N440">_xlfn.IFS(tbl_Clean[[#This Row],[Age]]&lt;=30,"25-30",tbl_Clean[[#This Row],[Age]]&lt;=40,"31-40",tbl_Clean[[#This Row],[Age]]&lt;=50,"41-50",tbl_Clean[[#This Row],[Age]]&lt;=60,"51-60",TRUE,"61+")</f>
        <v>61+</v>
      </c>
      <c r="O440" s="20">
        <f>_xlfn.XMATCH(tbl_Clean[[#This Row],[Age Band]],{"25-30","31-40","41-50","51-60","61+"})</f>
        <v>5</v>
      </c>
      <c r="P440" s="20" t="str" cm="1">
        <f t="array" ref="P440">_xlfn.IFS(tbl_Clean[[#This Row],[Income]]&lt;=30000,"$10k-30k",tbl_Clean[[#This Row],[Income]]&lt;=60000,"$40k-60k",tbl_Clean[[#This Row],[Income]]&lt;=90000,"$70k-90k",TRUE,"$100k+")</f>
        <v>$10k-30k</v>
      </c>
      <c r="Q440" s="20">
        <f>_xlfn.XMATCH(tbl_Clean[[#This Row],[Income Band]],{"$10k-30k","$40k-60k","$70k-90k","$100k+"})</f>
        <v>1</v>
      </c>
      <c r="R440" s="20" t="str">
        <f>IF(tbl_Clean[[#This Row],[Cars]]&lt;=1,"0-1 Cars","2+ Cars")</f>
        <v>0-1 Cars</v>
      </c>
      <c r="S440" s="20">
        <f>_xlfn.XMATCH(tbl_Clean[[#This Row],[Commute Distance]],{"0-1 Miles","1-2 Miles","2-5 Miles","5-10 Miles","10+ Miles"})</f>
        <v>3</v>
      </c>
      <c r="T440" s="20">
        <f>_xlfn.XMATCH(tbl_Clean[[#This Row],[Education]],{"Partial High School","High School","Partial College","Bachelors","Graduate Degree"})</f>
        <v>4</v>
      </c>
      <c r="U440" s="20">
        <f>IF(tbl_Clean[[#This Row],[Purchased Bike]]="Yes",1,0)</f>
        <v>0</v>
      </c>
    </row>
    <row r="441" spans="1:21" x14ac:dyDescent="0.25">
      <c r="A441" s="20">
        <v>19784</v>
      </c>
      <c r="B441" s="3" t="s">
        <v>111</v>
      </c>
      <c r="C441" s="3" t="s">
        <v>112</v>
      </c>
      <c r="D441" s="19">
        <v>80000</v>
      </c>
      <c r="E441" s="20">
        <v>2</v>
      </c>
      <c r="F441" s="3" t="s">
        <v>30</v>
      </c>
      <c r="G441" s="3" t="s">
        <v>16</v>
      </c>
      <c r="H441" s="3" t="s">
        <v>17</v>
      </c>
      <c r="I441" s="20">
        <v>2</v>
      </c>
      <c r="J441" s="3" t="s">
        <v>26</v>
      </c>
      <c r="K441" s="3" t="s">
        <v>27</v>
      </c>
      <c r="L441" s="20">
        <v>50</v>
      </c>
      <c r="M441" s="3" t="s">
        <v>17</v>
      </c>
      <c r="N441" s="20" t="str" cm="1">
        <f t="array" ref="N441">_xlfn.IFS(tbl_Clean[[#This Row],[Age]]&lt;=30,"25-30",tbl_Clean[[#This Row],[Age]]&lt;=40,"31-40",tbl_Clean[[#This Row],[Age]]&lt;=50,"41-50",tbl_Clean[[#This Row],[Age]]&lt;=60,"51-60",TRUE,"61+")</f>
        <v>41-50</v>
      </c>
      <c r="O441" s="20">
        <f>_xlfn.XMATCH(tbl_Clean[[#This Row],[Age Band]],{"25-30","31-40","41-50","51-60","61+"})</f>
        <v>3</v>
      </c>
      <c r="P441" s="20" t="str" cm="1">
        <f t="array" ref="P441">_xlfn.IFS(tbl_Clean[[#This Row],[Income]]&lt;=30000,"$10k-30k",tbl_Clean[[#This Row],[Income]]&lt;=60000,"$40k-60k",tbl_Clean[[#This Row],[Income]]&lt;=90000,"$70k-90k",TRUE,"$100k+")</f>
        <v>$70k-90k</v>
      </c>
      <c r="Q441" s="20">
        <f>_xlfn.XMATCH(tbl_Clean[[#This Row],[Income Band]],{"$10k-30k","$40k-60k","$70k-90k","$100k+"})</f>
        <v>3</v>
      </c>
      <c r="R441" s="20" t="str">
        <f>IF(tbl_Clean[[#This Row],[Cars]]&lt;=1,"0-1 Cars","2+ Cars")</f>
        <v>2+ Cars</v>
      </c>
      <c r="S441" s="20">
        <f>_xlfn.XMATCH(tbl_Clean[[#This Row],[Commute Distance]],{"0-1 Miles","1-2 Miles","2-5 Miles","5-10 Miles","10+ Miles"})</f>
        <v>4</v>
      </c>
      <c r="T441" s="20">
        <f>_xlfn.XMATCH(tbl_Clean[[#This Row],[Education]],{"Partial High School","High School","Partial College","Bachelors","Graduate Degree"})</f>
        <v>2</v>
      </c>
      <c r="U441" s="20">
        <f>IF(tbl_Clean[[#This Row],[Purchased Bike]]="Yes",1,0)</f>
        <v>1</v>
      </c>
    </row>
    <row r="442" spans="1:21" x14ac:dyDescent="0.25">
      <c r="A442" s="20">
        <v>27824</v>
      </c>
      <c r="B442" s="3" t="s">
        <v>114</v>
      </c>
      <c r="C442" s="3" t="s">
        <v>112</v>
      </c>
      <c r="D442" s="19">
        <v>30000</v>
      </c>
      <c r="E442" s="20">
        <v>3</v>
      </c>
      <c r="F442" s="3" t="s">
        <v>21</v>
      </c>
      <c r="G442" s="3" t="s">
        <v>22</v>
      </c>
      <c r="H442" s="3" t="s">
        <v>17</v>
      </c>
      <c r="I442" s="20">
        <v>2</v>
      </c>
      <c r="J442" s="3" t="s">
        <v>18</v>
      </c>
      <c r="K442" s="3" t="s">
        <v>19</v>
      </c>
      <c r="L442" s="20">
        <v>28</v>
      </c>
      <c r="M442" s="3" t="s">
        <v>17</v>
      </c>
      <c r="N442" s="20" t="str" cm="1">
        <f t="array" ref="N442">_xlfn.IFS(tbl_Clean[[#This Row],[Age]]&lt;=30,"25-30",tbl_Clean[[#This Row],[Age]]&lt;=40,"31-40",tbl_Clean[[#This Row],[Age]]&lt;=50,"41-50",tbl_Clean[[#This Row],[Age]]&lt;=60,"51-60",TRUE,"61+")</f>
        <v>25-30</v>
      </c>
      <c r="O442" s="20">
        <f>_xlfn.XMATCH(tbl_Clean[[#This Row],[Age Band]],{"25-30","31-40","41-50","51-60","61+"})</f>
        <v>1</v>
      </c>
      <c r="P442" s="20" t="str" cm="1">
        <f t="array" ref="P442">_xlfn.IFS(tbl_Clean[[#This Row],[Income]]&lt;=30000,"$10k-30k",tbl_Clean[[#This Row],[Income]]&lt;=60000,"$40k-60k",tbl_Clean[[#This Row],[Income]]&lt;=90000,"$70k-90k",TRUE,"$100k+")</f>
        <v>$10k-30k</v>
      </c>
      <c r="Q442" s="20">
        <f>_xlfn.XMATCH(tbl_Clean[[#This Row],[Income Band]],{"$10k-30k","$40k-60k","$70k-90k","$100k+"})</f>
        <v>1</v>
      </c>
      <c r="R442" s="20" t="str">
        <f>IF(tbl_Clean[[#This Row],[Cars]]&lt;=1,"0-1 Cars","2+ Cars")</f>
        <v>2+ Cars</v>
      </c>
      <c r="S442" s="20">
        <f>_xlfn.XMATCH(tbl_Clean[[#This Row],[Commute Distance]],{"0-1 Miles","1-2 Miles","2-5 Miles","5-10 Miles","10+ Miles"})</f>
        <v>1</v>
      </c>
      <c r="T442" s="20">
        <f>_xlfn.XMATCH(tbl_Clean[[#This Row],[Education]],{"Partial High School","High School","Partial College","Bachelors","Graduate Degree"})</f>
        <v>3</v>
      </c>
      <c r="U442" s="20">
        <f>IF(tbl_Clean[[#This Row],[Purchased Bike]]="Yes",1,0)</f>
        <v>1</v>
      </c>
    </row>
    <row r="443" spans="1:21" x14ac:dyDescent="0.25">
      <c r="A443" s="20">
        <v>24093</v>
      </c>
      <c r="B443" s="3" t="s">
        <v>114</v>
      </c>
      <c r="C443" s="3" t="s">
        <v>112</v>
      </c>
      <c r="D443" s="19">
        <v>80000</v>
      </c>
      <c r="E443" s="20">
        <v>0</v>
      </c>
      <c r="F443" s="3" t="s">
        <v>34</v>
      </c>
      <c r="G443" s="3" t="s">
        <v>16</v>
      </c>
      <c r="H443" s="3" t="s">
        <v>20</v>
      </c>
      <c r="I443" s="20">
        <v>0</v>
      </c>
      <c r="J443" s="3" t="s">
        <v>18</v>
      </c>
      <c r="K443" s="3" t="s">
        <v>19</v>
      </c>
      <c r="L443" s="20">
        <v>40</v>
      </c>
      <c r="M443" s="3" t="s">
        <v>17</v>
      </c>
      <c r="N443" s="20" t="str" cm="1">
        <f t="array" ref="N443">_xlfn.IFS(tbl_Clean[[#This Row],[Age]]&lt;=30,"25-30",tbl_Clean[[#This Row],[Age]]&lt;=40,"31-40",tbl_Clean[[#This Row],[Age]]&lt;=50,"41-50",tbl_Clean[[#This Row],[Age]]&lt;=60,"51-60",TRUE,"61+")</f>
        <v>31-40</v>
      </c>
      <c r="O443" s="20">
        <f>_xlfn.XMATCH(tbl_Clean[[#This Row],[Age Band]],{"25-30","31-40","41-50","51-60","61+"})</f>
        <v>2</v>
      </c>
      <c r="P443" s="20" t="str" cm="1">
        <f t="array" ref="P443">_xlfn.IFS(tbl_Clean[[#This Row],[Income]]&lt;=30000,"$10k-30k",tbl_Clean[[#This Row],[Income]]&lt;=60000,"$40k-60k",tbl_Clean[[#This Row],[Income]]&lt;=90000,"$70k-90k",TRUE,"$100k+")</f>
        <v>$70k-90k</v>
      </c>
      <c r="Q443" s="20">
        <f>_xlfn.XMATCH(tbl_Clean[[#This Row],[Income Band]],{"$10k-30k","$40k-60k","$70k-90k","$100k+"})</f>
        <v>3</v>
      </c>
      <c r="R443" s="20" t="str">
        <f>IF(tbl_Clean[[#This Row],[Cars]]&lt;=1,"0-1 Cars","2+ Cars")</f>
        <v>0-1 Cars</v>
      </c>
      <c r="S443" s="20">
        <f>_xlfn.XMATCH(tbl_Clean[[#This Row],[Commute Distance]],{"0-1 Miles","1-2 Miles","2-5 Miles","5-10 Miles","10+ Miles"})</f>
        <v>1</v>
      </c>
      <c r="T443" s="20">
        <f>_xlfn.XMATCH(tbl_Clean[[#This Row],[Education]],{"Partial High School","High School","Partial College","Bachelors","Graduate Degree"})</f>
        <v>5</v>
      </c>
      <c r="U443" s="20">
        <f>IF(tbl_Clean[[#This Row],[Purchased Bike]]="Yes",1,0)</f>
        <v>1</v>
      </c>
    </row>
    <row r="444" spans="1:21" x14ac:dyDescent="0.25">
      <c r="A444" s="20">
        <v>19618</v>
      </c>
      <c r="B444" s="3" t="s">
        <v>111</v>
      </c>
      <c r="C444" s="3" t="s">
        <v>113</v>
      </c>
      <c r="D444" s="19">
        <v>70000</v>
      </c>
      <c r="E444" s="20">
        <v>5</v>
      </c>
      <c r="F444" s="3" t="s">
        <v>21</v>
      </c>
      <c r="G444" s="3" t="s">
        <v>16</v>
      </c>
      <c r="H444" s="3" t="s">
        <v>17</v>
      </c>
      <c r="I444" s="20">
        <v>2</v>
      </c>
      <c r="J444" s="3" t="s">
        <v>18</v>
      </c>
      <c r="K444" s="3" t="s">
        <v>27</v>
      </c>
      <c r="L444" s="20">
        <v>44</v>
      </c>
      <c r="M444" s="3" t="s">
        <v>20</v>
      </c>
      <c r="N444" s="20" t="str" cm="1">
        <f t="array" ref="N444">_xlfn.IFS(tbl_Clean[[#This Row],[Age]]&lt;=30,"25-30",tbl_Clean[[#This Row],[Age]]&lt;=40,"31-40",tbl_Clean[[#This Row],[Age]]&lt;=50,"41-50",tbl_Clean[[#This Row],[Age]]&lt;=60,"51-60",TRUE,"61+")</f>
        <v>41-50</v>
      </c>
      <c r="O444" s="20">
        <f>_xlfn.XMATCH(tbl_Clean[[#This Row],[Age Band]],{"25-30","31-40","41-50","51-60","61+"})</f>
        <v>3</v>
      </c>
      <c r="P444" s="20" t="str" cm="1">
        <f t="array" ref="P444">_xlfn.IFS(tbl_Clean[[#This Row],[Income]]&lt;=30000,"$10k-30k",tbl_Clean[[#This Row],[Income]]&lt;=60000,"$40k-60k",tbl_Clean[[#This Row],[Income]]&lt;=90000,"$70k-90k",TRUE,"$100k+")</f>
        <v>$70k-90k</v>
      </c>
      <c r="Q444" s="20">
        <f>_xlfn.XMATCH(tbl_Clean[[#This Row],[Income Band]],{"$10k-30k","$40k-60k","$70k-90k","$100k+"})</f>
        <v>3</v>
      </c>
      <c r="R444" s="20" t="str">
        <f>IF(tbl_Clean[[#This Row],[Cars]]&lt;=1,"0-1 Cars","2+ Cars")</f>
        <v>2+ Cars</v>
      </c>
      <c r="S444" s="20">
        <f>_xlfn.XMATCH(tbl_Clean[[#This Row],[Commute Distance]],{"0-1 Miles","1-2 Miles","2-5 Miles","5-10 Miles","10+ Miles"})</f>
        <v>1</v>
      </c>
      <c r="T444" s="20">
        <f>_xlfn.XMATCH(tbl_Clean[[#This Row],[Education]],{"Partial High School","High School","Partial College","Bachelors","Graduate Degree"})</f>
        <v>3</v>
      </c>
      <c r="U444" s="20">
        <f>IF(tbl_Clean[[#This Row],[Purchased Bike]]="Yes",1,0)</f>
        <v>0</v>
      </c>
    </row>
    <row r="445" spans="1:21" x14ac:dyDescent="0.25">
      <c r="A445" s="20">
        <v>21561</v>
      </c>
      <c r="B445" s="3" t="s">
        <v>114</v>
      </c>
      <c r="C445" s="3" t="s">
        <v>113</v>
      </c>
      <c r="D445" s="19">
        <v>90000</v>
      </c>
      <c r="E445" s="20">
        <v>0</v>
      </c>
      <c r="F445" s="3" t="s">
        <v>15</v>
      </c>
      <c r="G445" s="3" t="s">
        <v>23</v>
      </c>
      <c r="H445" s="3" t="s">
        <v>20</v>
      </c>
      <c r="I445" s="20">
        <v>3</v>
      </c>
      <c r="J445" s="3" t="s">
        <v>33</v>
      </c>
      <c r="K445" s="3" t="s">
        <v>27</v>
      </c>
      <c r="L445" s="20">
        <v>34</v>
      </c>
      <c r="M445" s="3" t="s">
        <v>17</v>
      </c>
      <c r="N445" s="20" t="str" cm="1">
        <f t="array" ref="N445">_xlfn.IFS(tbl_Clean[[#This Row],[Age]]&lt;=30,"25-30",tbl_Clean[[#This Row],[Age]]&lt;=40,"31-40",tbl_Clean[[#This Row],[Age]]&lt;=50,"41-50",tbl_Clean[[#This Row],[Age]]&lt;=60,"51-60",TRUE,"61+")</f>
        <v>31-40</v>
      </c>
      <c r="O445" s="20">
        <f>_xlfn.XMATCH(tbl_Clean[[#This Row],[Age Band]],{"25-30","31-40","41-50","51-60","61+"})</f>
        <v>2</v>
      </c>
      <c r="P445" s="20" t="str" cm="1">
        <f t="array" ref="P445">_xlfn.IFS(tbl_Clean[[#This Row],[Income]]&lt;=30000,"$10k-30k",tbl_Clean[[#This Row],[Income]]&lt;=60000,"$40k-60k",tbl_Clean[[#This Row],[Income]]&lt;=90000,"$70k-90k",TRUE,"$100k+")</f>
        <v>$70k-90k</v>
      </c>
      <c r="Q445" s="20">
        <f>_xlfn.XMATCH(tbl_Clean[[#This Row],[Income Band]],{"$10k-30k","$40k-60k","$70k-90k","$100k+"})</f>
        <v>3</v>
      </c>
      <c r="R445" s="20" t="str">
        <f>IF(tbl_Clean[[#This Row],[Cars]]&lt;=1,"0-1 Cars","2+ Cars")</f>
        <v>2+ Cars</v>
      </c>
      <c r="S445" s="20">
        <f>_xlfn.XMATCH(tbl_Clean[[#This Row],[Commute Distance]],{"0-1 Miles","1-2 Miles","2-5 Miles","5-10 Miles","10+ Miles"})</f>
        <v>5</v>
      </c>
      <c r="T445" s="20">
        <f>_xlfn.XMATCH(tbl_Clean[[#This Row],[Education]],{"Partial High School","High School","Partial College","Bachelors","Graduate Degree"})</f>
        <v>4</v>
      </c>
      <c r="U445" s="20">
        <f>IF(tbl_Clean[[#This Row],[Purchased Bike]]="Yes",1,0)</f>
        <v>1</v>
      </c>
    </row>
    <row r="446" spans="1:21" x14ac:dyDescent="0.25">
      <c r="A446" s="20">
        <v>11061</v>
      </c>
      <c r="B446" s="3" t="s">
        <v>111</v>
      </c>
      <c r="C446" s="3" t="s">
        <v>113</v>
      </c>
      <c r="D446" s="19">
        <v>70000</v>
      </c>
      <c r="E446" s="20">
        <v>2</v>
      </c>
      <c r="F446" s="3" t="s">
        <v>21</v>
      </c>
      <c r="G446" s="3" t="s">
        <v>16</v>
      </c>
      <c r="H446" s="3" t="s">
        <v>17</v>
      </c>
      <c r="I446" s="20">
        <v>2</v>
      </c>
      <c r="J446" s="3" t="s">
        <v>26</v>
      </c>
      <c r="K446" s="3" t="s">
        <v>27</v>
      </c>
      <c r="L446" s="20">
        <v>52</v>
      </c>
      <c r="M446" s="3" t="s">
        <v>17</v>
      </c>
      <c r="N446" s="20" t="str" cm="1">
        <f t="array" ref="N446">_xlfn.IFS(tbl_Clean[[#This Row],[Age]]&lt;=30,"25-30",tbl_Clean[[#This Row],[Age]]&lt;=40,"31-40",tbl_Clean[[#This Row],[Age]]&lt;=50,"41-50",tbl_Clean[[#This Row],[Age]]&lt;=60,"51-60",TRUE,"61+")</f>
        <v>51-60</v>
      </c>
      <c r="O446" s="20">
        <f>_xlfn.XMATCH(tbl_Clean[[#This Row],[Age Band]],{"25-30","31-40","41-50","51-60","61+"})</f>
        <v>4</v>
      </c>
      <c r="P446" s="20" t="str" cm="1">
        <f t="array" ref="P446">_xlfn.IFS(tbl_Clean[[#This Row],[Income]]&lt;=30000,"$10k-30k",tbl_Clean[[#This Row],[Income]]&lt;=60000,"$40k-60k",tbl_Clean[[#This Row],[Income]]&lt;=90000,"$70k-90k",TRUE,"$100k+")</f>
        <v>$70k-90k</v>
      </c>
      <c r="Q446" s="20">
        <f>_xlfn.XMATCH(tbl_Clean[[#This Row],[Income Band]],{"$10k-30k","$40k-60k","$70k-90k","$100k+"})</f>
        <v>3</v>
      </c>
      <c r="R446" s="20" t="str">
        <f>IF(tbl_Clean[[#This Row],[Cars]]&lt;=1,"0-1 Cars","2+ Cars")</f>
        <v>2+ Cars</v>
      </c>
      <c r="S446" s="20">
        <f>_xlfn.XMATCH(tbl_Clean[[#This Row],[Commute Distance]],{"0-1 Miles","1-2 Miles","2-5 Miles","5-10 Miles","10+ Miles"})</f>
        <v>4</v>
      </c>
      <c r="T446" s="20">
        <f>_xlfn.XMATCH(tbl_Clean[[#This Row],[Education]],{"Partial High School","High School","Partial College","Bachelors","Graduate Degree"})</f>
        <v>3</v>
      </c>
      <c r="U446" s="20">
        <f>IF(tbl_Clean[[#This Row],[Purchased Bike]]="Yes",1,0)</f>
        <v>1</v>
      </c>
    </row>
    <row r="447" spans="1:21" x14ac:dyDescent="0.25">
      <c r="A447" s="20">
        <v>26651</v>
      </c>
      <c r="B447" s="3" t="s">
        <v>114</v>
      </c>
      <c r="C447" s="3" t="s">
        <v>113</v>
      </c>
      <c r="D447" s="19">
        <v>80000</v>
      </c>
      <c r="E447" s="20">
        <v>4</v>
      </c>
      <c r="F447" s="3" t="s">
        <v>34</v>
      </c>
      <c r="G447" s="3" t="s">
        <v>31</v>
      </c>
      <c r="H447" s="3" t="s">
        <v>17</v>
      </c>
      <c r="I447" s="20">
        <v>0</v>
      </c>
      <c r="J447" s="3" t="s">
        <v>18</v>
      </c>
      <c r="K447" s="3" t="s">
        <v>27</v>
      </c>
      <c r="L447" s="20">
        <v>36</v>
      </c>
      <c r="M447" s="3" t="s">
        <v>17</v>
      </c>
      <c r="N447" s="20" t="str" cm="1">
        <f t="array" ref="N447">_xlfn.IFS(tbl_Clean[[#This Row],[Age]]&lt;=30,"25-30",tbl_Clean[[#This Row],[Age]]&lt;=40,"31-40",tbl_Clean[[#This Row],[Age]]&lt;=50,"41-50",tbl_Clean[[#This Row],[Age]]&lt;=60,"51-60",TRUE,"61+")</f>
        <v>31-40</v>
      </c>
      <c r="O447" s="20">
        <f>_xlfn.XMATCH(tbl_Clean[[#This Row],[Age Band]],{"25-30","31-40","41-50","51-60","61+"})</f>
        <v>2</v>
      </c>
      <c r="P447" s="20" t="str" cm="1">
        <f t="array" ref="P447">_xlfn.IFS(tbl_Clean[[#This Row],[Income]]&lt;=30000,"$10k-30k",tbl_Clean[[#This Row],[Income]]&lt;=60000,"$40k-60k",tbl_Clean[[#This Row],[Income]]&lt;=90000,"$70k-90k",TRUE,"$100k+")</f>
        <v>$70k-90k</v>
      </c>
      <c r="Q447" s="20">
        <f>_xlfn.XMATCH(tbl_Clean[[#This Row],[Income Band]],{"$10k-30k","$40k-60k","$70k-90k","$100k+"})</f>
        <v>3</v>
      </c>
      <c r="R447" s="20" t="str">
        <f>IF(tbl_Clean[[#This Row],[Cars]]&lt;=1,"0-1 Cars","2+ Cars")</f>
        <v>0-1 Cars</v>
      </c>
      <c r="S447" s="20">
        <f>_xlfn.XMATCH(tbl_Clean[[#This Row],[Commute Distance]],{"0-1 Miles","1-2 Miles","2-5 Miles","5-10 Miles","10+ Miles"})</f>
        <v>1</v>
      </c>
      <c r="T447" s="20">
        <f>_xlfn.XMATCH(tbl_Clean[[#This Row],[Education]],{"Partial High School","High School","Partial College","Bachelors","Graduate Degree"})</f>
        <v>5</v>
      </c>
      <c r="U447" s="20">
        <f>IF(tbl_Clean[[#This Row],[Purchased Bike]]="Yes",1,0)</f>
        <v>1</v>
      </c>
    </row>
    <row r="448" spans="1:21" x14ac:dyDescent="0.25">
      <c r="A448" s="20">
        <v>21108</v>
      </c>
      <c r="B448" s="3" t="s">
        <v>111</v>
      </c>
      <c r="C448" s="3" t="s">
        <v>112</v>
      </c>
      <c r="D448" s="19">
        <v>40000</v>
      </c>
      <c r="E448" s="20">
        <v>1</v>
      </c>
      <c r="F448" s="3" t="s">
        <v>15</v>
      </c>
      <c r="G448" s="3" t="s">
        <v>16</v>
      </c>
      <c r="H448" s="3" t="s">
        <v>17</v>
      </c>
      <c r="I448" s="20">
        <v>1</v>
      </c>
      <c r="J448" s="3" t="s">
        <v>18</v>
      </c>
      <c r="K448" s="3" t="s">
        <v>19</v>
      </c>
      <c r="L448" s="20">
        <v>43</v>
      </c>
      <c r="M448" s="3" t="s">
        <v>17</v>
      </c>
      <c r="N448" s="20" t="str" cm="1">
        <f t="array" ref="N448">_xlfn.IFS(tbl_Clean[[#This Row],[Age]]&lt;=30,"25-30",tbl_Clean[[#This Row],[Age]]&lt;=40,"31-40",tbl_Clean[[#This Row],[Age]]&lt;=50,"41-50",tbl_Clean[[#This Row],[Age]]&lt;=60,"51-60",TRUE,"61+")</f>
        <v>41-50</v>
      </c>
      <c r="O448" s="20">
        <f>_xlfn.XMATCH(tbl_Clean[[#This Row],[Age Band]],{"25-30","31-40","41-50","51-60","61+"})</f>
        <v>3</v>
      </c>
      <c r="P448" s="20" t="str" cm="1">
        <f t="array" ref="P448">_xlfn.IFS(tbl_Clean[[#This Row],[Income]]&lt;=30000,"$10k-30k",tbl_Clean[[#This Row],[Income]]&lt;=60000,"$40k-60k",tbl_Clean[[#This Row],[Income]]&lt;=90000,"$70k-90k",TRUE,"$100k+")</f>
        <v>$40k-60k</v>
      </c>
      <c r="Q448" s="20">
        <f>_xlfn.XMATCH(tbl_Clean[[#This Row],[Income Band]],{"$10k-30k","$40k-60k","$70k-90k","$100k+"})</f>
        <v>2</v>
      </c>
      <c r="R448" s="20" t="str">
        <f>IF(tbl_Clean[[#This Row],[Cars]]&lt;=1,"0-1 Cars","2+ Cars")</f>
        <v>0-1 Cars</v>
      </c>
      <c r="S448" s="20">
        <f>_xlfn.XMATCH(tbl_Clean[[#This Row],[Commute Distance]],{"0-1 Miles","1-2 Miles","2-5 Miles","5-10 Miles","10+ Miles"})</f>
        <v>1</v>
      </c>
      <c r="T448" s="20">
        <f>_xlfn.XMATCH(tbl_Clean[[#This Row],[Education]],{"Partial High School","High School","Partial College","Bachelors","Graduate Degree"})</f>
        <v>4</v>
      </c>
      <c r="U448" s="20">
        <f>IF(tbl_Clean[[#This Row],[Purchased Bike]]="Yes",1,0)</f>
        <v>1</v>
      </c>
    </row>
    <row r="449" spans="1:21" x14ac:dyDescent="0.25">
      <c r="A449" s="20">
        <v>12731</v>
      </c>
      <c r="B449" s="3" t="s">
        <v>114</v>
      </c>
      <c r="C449" s="3" t="s">
        <v>113</v>
      </c>
      <c r="D449" s="19">
        <v>30000</v>
      </c>
      <c r="E449" s="20">
        <v>0</v>
      </c>
      <c r="F449" s="3" t="s">
        <v>30</v>
      </c>
      <c r="G449" s="3" t="s">
        <v>28</v>
      </c>
      <c r="H449" s="3" t="s">
        <v>20</v>
      </c>
      <c r="I449" s="20">
        <v>1</v>
      </c>
      <c r="J449" s="3" t="s">
        <v>29</v>
      </c>
      <c r="K449" s="3" t="s">
        <v>19</v>
      </c>
      <c r="L449" s="20">
        <v>32</v>
      </c>
      <c r="M449" s="3" t="s">
        <v>20</v>
      </c>
      <c r="N449" s="20" t="str" cm="1">
        <f t="array" ref="N449">_xlfn.IFS(tbl_Clean[[#This Row],[Age]]&lt;=30,"25-30",tbl_Clean[[#This Row],[Age]]&lt;=40,"31-40",tbl_Clean[[#This Row],[Age]]&lt;=50,"41-50",tbl_Clean[[#This Row],[Age]]&lt;=60,"51-60",TRUE,"61+")</f>
        <v>31-40</v>
      </c>
      <c r="O449" s="20">
        <f>_xlfn.XMATCH(tbl_Clean[[#This Row],[Age Band]],{"25-30","31-40","41-50","51-60","61+"})</f>
        <v>2</v>
      </c>
      <c r="P449" s="20" t="str" cm="1">
        <f t="array" ref="P449">_xlfn.IFS(tbl_Clean[[#This Row],[Income]]&lt;=30000,"$10k-30k",tbl_Clean[[#This Row],[Income]]&lt;=60000,"$40k-60k",tbl_Clean[[#This Row],[Income]]&lt;=90000,"$70k-90k",TRUE,"$100k+")</f>
        <v>$10k-30k</v>
      </c>
      <c r="Q449" s="20">
        <f>_xlfn.XMATCH(tbl_Clean[[#This Row],[Income Band]],{"$10k-30k","$40k-60k","$70k-90k","$100k+"})</f>
        <v>1</v>
      </c>
      <c r="R449" s="20" t="str">
        <f>IF(tbl_Clean[[#This Row],[Cars]]&lt;=1,"0-1 Cars","2+ Cars")</f>
        <v>0-1 Cars</v>
      </c>
      <c r="S449" s="20">
        <f>_xlfn.XMATCH(tbl_Clean[[#This Row],[Commute Distance]],{"0-1 Miles","1-2 Miles","2-5 Miles","5-10 Miles","10+ Miles"})</f>
        <v>2</v>
      </c>
      <c r="T449" s="20">
        <f>_xlfn.XMATCH(tbl_Clean[[#This Row],[Education]],{"Partial High School","High School","Partial College","Bachelors","Graduate Degree"})</f>
        <v>2</v>
      </c>
      <c r="U449" s="20">
        <f>IF(tbl_Clean[[#This Row],[Purchased Bike]]="Yes",1,0)</f>
        <v>0</v>
      </c>
    </row>
    <row r="450" spans="1:21" x14ac:dyDescent="0.25">
      <c r="A450" s="20">
        <v>25307</v>
      </c>
      <c r="B450" s="3" t="s">
        <v>111</v>
      </c>
      <c r="C450" s="3" t="s">
        <v>112</v>
      </c>
      <c r="D450" s="19">
        <v>40000</v>
      </c>
      <c r="E450" s="20">
        <v>1</v>
      </c>
      <c r="F450" s="3" t="s">
        <v>15</v>
      </c>
      <c r="G450" s="3" t="s">
        <v>16</v>
      </c>
      <c r="H450" s="3" t="s">
        <v>17</v>
      </c>
      <c r="I450" s="20">
        <v>1</v>
      </c>
      <c r="J450" s="3" t="s">
        <v>29</v>
      </c>
      <c r="K450" s="3" t="s">
        <v>19</v>
      </c>
      <c r="L450" s="20">
        <v>32</v>
      </c>
      <c r="M450" s="3" t="s">
        <v>17</v>
      </c>
      <c r="N450" s="20" t="str" cm="1">
        <f t="array" ref="N450">_xlfn.IFS(tbl_Clean[[#This Row],[Age]]&lt;=30,"25-30",tbl_Clean[[#This Row],[Age]]&lt;=40,"31-40",tbl_Clean[[#This Row],[Age]]&lt;=50,"41-50",tbl_Clean[[#This Row],[Age]]&lt;=60,"51-60",TRUE,"61+")</f>
        <v>31-40</v>
      </c>
      <c r="O450" s="20">
        <f>_xlfn.XMATCH(tbl_Clean[[#This Row],[Age Band]],{"25-30","31-40","41-50","51-60","61+"})</f>
        <v>2</v>
      </c>
      <c r="P450" s="20" t="str" cm="1">
        <f t="array" ref="P450">_xlfn.IFS(tbl_Clean[[#This Row],[Income]]&lt;=30000,"$10k-30k",tbl_Clean[[#This Row],[Income]]&lt;=60000,"$40k-60k",tbl_Clean[[#This Row],[Income]]&lt;=90000,"$70k-90k",TRUE,"$100k+")</f>
        <v>$40k-60k</v>
      </c>
      <c r="Q450" s="20">
        <f>_xlfn.XMATCH(tbl_Clean[[#This Row],[Income Band]],{"$10k-30k","$40k-60k","$70k-90k","$100k+"})</f>
        <v>2</v>
      </c>
      <c r="R450" s="20" t="str">
        <f>IF(tbl_Clean[[#This Row],[Cars]]&lt;=1,"0-1 Cars","2+ Cars")</f>
        <v>0-1 Cars</v>
      </c>
      <c r="S450" s="20">
        <f>_xlfn.XMATCH(tbl_Clean[[#This Row],[Commute Distance]],{"0-1 Miles","1-2 Miles","2-5 Miles","5-10 Miles","10+ Miles"})</f>
        <v>2</v>
      </c>
      <c r="T450" s="20">
        <f>_xlfn.XMATCH(tbl_Clean[[#This Row],[Education]],{"Partial High School","High School","Partial College","Bachelors","Graduate Degree"})</f>
        <v>4</v>
      </c>
      <c r="U450" s="20">
        <f>IF(tbl_Clean[[#This Row],[Purchased Bike]]="Yes",1,0)</f>
        <v>1</v>
      </c>
    </row>
    <row r="451" spans="1:21" x14ac:dyDescent="0.25">
      <c r="A451" s="20">
        <v>14278</v>
      </c>
      <c r="B451" s="3" t="s">
        <v>111</v>
      </c>
      <c r="C451" s="3" t="s">
        <v>112</v>
      </c>
      <c r="D451" s="19">
        <v>130000</v>
      </c>
      <c r="E451" s="20">
        <v>0</v>
      </c>
      <c r="F451" s="3" t="s">
        <v>34</v>
      </c>
      <c r="G451" s="3" t="s">
        <v>31</v>
      </c>
      <c r="H451" s="3" t="s">
        <v>17</v>
      </c>
      <c r="I451" s="20">
        <v>1</v>
      </c>
      <c r="J451" s="3" t="s">
        <v>33</v>
      </c>
      <c r="K451" s="3" t="s">
        <v>27</v>
      </c>
      <c r="L451" s="20">
        <v>48</v>
      </c>
      <c r="M451" s="3" t="s">
        <v>20</v>
      </c>
      <c r="N451" s="20" t="str" cm="1">
        <f t="array" ref="N451">_xlfn.IFS(tbl_Clean[[#This Row],[Age]]&lt;=30,"25-30",tbl_Clean[[#This Row],[Age]]&lt;=40,"31-40",tbl_Clean[[#This Row],[Age]]&lt;=50,"41-50",tbl_Clean[[#This Row],[Age]]&lt;=60,"51-60",TRUE,"61+")</f>
        <v>41-50</v>
      </c>
      <c r="O451" s="20">
        <f>_xlfn.XMATCH(tbl_Clean[[#This Row],[Age Band]],{"25-30","31-40","41-50","51-60","61+"})</f>
        <v>3</v>
      </c>
      <c r="P451" s="20" t="str" cm="1">
        <f t="array" ref="P451">_xlfn.IFS(tbl_Clean[[#This Row],[Income]]&lt;=30000,"$10k-30k",tbl_Clean[[#This Row],[Income]]&lt;=60000,"$40k-60k",tbl_Clean[[#This Row],[Income]]&lt;=90000,"$70k-90k",TRUE,"$100k+")</f>
        <v>$100k+</v>
      </c>
      <c r="Q451" s="20">
        <f>_xlfn.XMATCH(tbl_Clean[[#This Row],[Income Band]],{"$10k-30k","$40k-60k","$70k-90k","$100k+"})</f>
        <v>4</v>
      </c>
      <c r="R451" s="20" t="str">
        <f>IF(tbl_Clean[[#This Row],[Cars]]&lt;=1,"0-1 Cars","2+ Cars")</f>
        <v>0-1 Cars</v>
      </c>
      <c r="S451" s="20">
        <f>_xlfn.XMATCH(tbl_Clean[[#This Row],[Commute Distance]],{"0-1 Miles","1-2 Miles","2-5 Miles","5-10 Miles","10+ Miles"})</f>
        <v>5</v>
      </c>
      <c r="T451" s="20">
        <f>_xlfn.XMATCH(tbl_Clean[[#This Row],[Education]],{"Partial High School","High School","Partial College","Bachelors","Graduate Degree"})</f>
        <v>5</v>
      </c>
      <c r="U451" s="20">
        <f>IF(tbl_Clean[[#This Row],[Purchased Bike]]="Yes",1,0)</f>
        <v>0</v>
      </c>
    </row>
    <row r="452" spans="1:21" x14ac:dyDescent="0.25">
      <c r="A452" s="20">
        <v>20711</v>
      </c>
      <c r="B452" s="3" t="s">
        <v>111</v>
      </c>
      <c r="C452" s="3" t="s">
        <v>112</v>
      </c>
      <c r="D452" s="19">
        <v>40000</v>
      </c>
      <c r="E452" s="20">
        <v>1</v>
      </c>
      <c r="F452" s="3" t="s">
        <v>15</v>
      </c>
      <c r="G452" s="3" t="s">
        <v>16</v>
      </c>
      <c r="H452" s="3" t="s">
        <v>17</v>
      </c>
      <c r="I452" s="20">
        <v>0</v>
      </c>
      <c r="J452" s="3" t="s">
        <v>29</v>
      </c>
      <c r="K452" s="3" t="s">
        <v>19</v>
      </c>
      <c r="L452" s="20">
        <v>32</v>
      </c>
      <c r="M452" s="3" t="s">
        <v>17</v>
      </c>
      <c r="N452" s="20" t="str" cm="1">
        <f t="array" ref="N452">_xlfn.IFS(tbl_Clean[[#This Row],[Age]]&lt;=30,"25-30",tbl_Clean[[#This Row],[Age]]&lt;=40,"31-40",tbl_Clean[[#This Row],[Age]]&lt;=50,"41-50",tbl_Clean[[#This Row],[Age]]&lt;=60,"51-60",TRUE,"61+")</f>
        <v>31-40</v>
      </c>
      <c r="O452" s="20">
        <f>_xlfn.XMATCH(tbl_Clean[[#This Row],[Age Band]],{"25-30","31-40","41-50","51-60","61+"})</f>
        <v>2</v>
      </c>
      <c r="P452" s="20" t="str" cm="1">
        <f t="array" ref="P452">_xlfn.IFS(tbl_Clean[[#This Row],[Income]]&lt;=30000,"$10k-30k",tbl_Clean[[#This Row],[Income]]&lt;=60000,"$40k-60k",tbl_Clean[[#This Row],[Income]]&lt;=90000,"$70k-90k",TRUE,"$100k+")</f>
        <v>$40k-60k</v>
      </c>
      <c r="Q452" s="20">
        <f>_xlfn.XMATCH(tbl_Clean[[#This Row],[Income Band]],{"$10k-30k","$40k-60k","$70k-90k","$100k+"})</f>
        <v>2</v>
      </c>
      <c r="R452" s="20" t="str">
        <f>IF(tbl_Clean[[#This Row],[Cars]]&lt;=1,"0-1 Cars","2+ Cars")</f>
        <v>0-1 Cars</v>
      </c>
      <c r="S452" s="20">
        <f>_xlfn.XMATCH(tbl_Clean[[#This Row],[Commute Distance]],{"0-1 Miles","1-2 Miles","2-5 Miles","5-10 Miles","10+ Miles"})</f>
        <v>2</v>
      </c>
      <c r="T452" s="20">
        <f>_xlfn.XMATCH(tbl_Clean[[#This Row],[Education]],{"Partial High School","High School","Partial College","Bachelors","Graduate Degree"})</f>
        <v>4</v>
      </c>
      <c r="U452" s="20">
        <f>IF(tbl_Clean[[#This Row],[Purchased Bike]]="Yes",1,0)</f>
        <v>1</v>
      </c>
    </row>
    <row r="453" spans="1:21" x14ac:dyDescent="0.25">
      <c r="A453" s="20">
        <v>11383</v>
      </c>
      <c r="B453" s="3" t="s">
        <v>111</v>
      </c>
      <c r="C453" s="3" t="s">
        <v>112</v>
      </c>
      <c r="D453" s="19">
        <v>30000</v>
      </c>
      <c r="E453" s="20">
        <v>3</v>
      </c>
      <c r="F453" s="3" t="s">
        <v>34</v>
      </c>
      <c r="G453" s="3" t="s">
        <v>22</v>
      </c>
      <c r="H453" s="3" t="s">
        <v>17</v>
      </c>
      <c r="I453" s="20">
        <v>0</v>
      </c>
      <c r="J453" s="3" t="s">
        <v>18</v>
      </c>
      <c r="K453" s="3" t="s">
        <v>19</v>
      </c>
      <c r="L453" s="20">
        <v>46</v>
      </c>
      <c r="M453" s="3" t="s">
        <v>20</v>
      </c>
      <c r="N453" s="20" t="str" cm="1">
        <f t="array" ref="N453">_xlfn.IFS(tbl_Clean[[#This Row],[Age]]&lt;=30,"25-30",tbl_Clean[[#This Row],[Age]]&lt;=40,"31-40",tbl_Clean[[#This Row],[Age]]&lt;=50,"41-50",tbl_Clean[[#This Row],[Age]]&lt;=60,"51-60",TRUE,"61+")</f>
        <v>41-50</v>
      </c>
      <c r="O453" s="20">
        <f>_xlfn.XMATCH(tbl_Clean[[#This Row],[Age Band]],{"25-30","31-40","41-50","51-60","61+"})</f>
        <v>3</v>
      </c>
      <c r="P453" s="20" t="str" cm="1">
        <f t="array" ref="P453">_xlfn.IFS(tbl_Clean[[#This Row],[Income]]&lt;=30000,"$10k-30k",tbl_Clean[[#This Row],[Income]]&lt;=60000,"$40k-60k",tbl_Clean[[#This Row],[Income]]&lt;=90000,"$70k-90k",TRUE,"$100k+")</f>
        <v>$10k-30k</v>
      </c>
      <c r="Q453" s="20">
        <f>_xlfn.XMATCH(tbl_Clean[[#This Row],[Income Band]],{"$10k-30k","$40k-60k","$70k-90k","$100k+"})</f>
        <v>1</v>
      </c>
      <c r="R453" s="20" t="str">
        <f>IF(tbl_Clean[[#This Row],[Cars]]&lt;=1,"0-1 Cars","2+ Cars")</f>
        <v>0-1 Cars</v>
      </c>
      <c r="S453" s="20">
        <f>_xlfn.XMATCH(tbl_Clean[[#This Row],[Commute Distance]],{"0-1 Miles","1-2 Miles","2-5 Miles","5-10 Miles","10+ Miles"})</f>
        <v>1</v>
      </c>
      <c r="T453" s="20">
        <f>_xlfn.XMATCH(tbl_Clean[[#This Row],[Education]],{"Partial High School","High School","Partial College","Bachelors","Graduate Degree"})</f>
        <v>5</v>
      </c>
      <c r="U453" s="20">
        <f>IF(tbl_Clean[[#This Row],[Purchased Bike]]="Yes",1,0)</f>
        <v>0</v>
      </c>
    </row>
    <row r="454" spans="1:21" x14ac:dyDescent="0.25">
      <c r="A454" s="20">
        <v>12497</v>
      </c>
      <c r="B454" s="3" t="s">
        <v>111</v>
      </c>
      <c r="C454" s="3" t="s">
        <v>112</v>
      </c>
      <c r="D454" s="19">
        <v>40000</v>
      </c>
      <c r="E454" s="20">
        <v>1</v>
      </c>
      <c r="F454" s="3" t="s">
        <v>15</v>
      </c>
      <c r="G454" s="3" t="s">
        <v>16</v>
      </c>
      <c r="H454" s="3" t="s">
        <v>17</v>
      </c>
      <c r="I454" s="20">
        <v>0</v>
      </c>
      <c r="J454" s="3" t="s">
        <v>18</v>
      </c>
      <c r="K454" s="3" t="s">
        <v>19</v>
      </c>
      <c r="L454" s="20">
        <v>42</v>
      </c>
      <c r="M454" s="3" t="s">
        <v>20</v>
      </c>
      <c r="N454" s="20" t="str" cm="1">
        <f t="array" ref="N454">_xlfn.IFS(tbl_Clean[[#This Row],[Age]]&lt;=30,"25-30",tbl_Clean[[#This Row],[Age]]&lt;=40,"31-40",tbl_Clean[[#This Row],[Age]]&lt;=50,"41-50",tbl_Clean[[#This Row],[Age]]&lt;=60,"51-60",TRUE,"61+")</f>
        <v>41-50</v>
      </c>
      <c r="O454" s="20">
        <f>_xlfn.XMATCH(tbl_Clean[[#This Row],[Age Band]],{"25-30","31-40","41-50","51-60","61+"})</f>
        <v>3</v>
      </c>
      <c r="P454" s="20" t="str" cm="1">
        <f t="array" ref="P454">_xlfn.IFS(tbl_Clean[[#This Row],[Income]]&lt;=30000,"$10k-30k",tbl_Clean[[#This Row],[Income]]&lt;=60000,"$40k-60k",tbl_Clean[[#This Row],[Income]]&lt;=90000,"$70k-90k",TRUE,"$100k+")</f>
        <v>$40k-60k</v>
      </c>
      <c r="Q454" s="20">
        <f>_xlfn.XMATCH(tbl_Clean[[#This Row],[Income Band]],{"$10k-30k","$40k-60k","$70k-90k","$100k+"})</f>
        <v>2</v>
      </c>
      <c r="R454" s="20" t="str">
        <f>IF(tbl_Clean[[#This Row],[Cars]]&lt;=1,"0-1 Cars","2+ Cars")</f>
        <v>0-1 Cars</v>
      </c>
      <c r="S454" s="20">
        <f>_xlfn.XMATCH(tbl_Clean[[#This Row],[Commute Distance]],{"0-1 Miles","1-2 Miles","2-5 Miles","5-10 Miles","10+ Miles"})</f>
        <v>1</v>
      </c>
      <c r="T454" s="20">
        <f>_xlfn.XMATCH(tbl_Clean[[#This Row],[Education]],{"Partial High School","High School","Partial College","Bachelors","Graduate Degree"})</f>
        <v>4</v>
      </c>
      <c r="U454" s="20">
        <f>IF(tbl_Clean[[#This Row],[Purchased Bike]]="Yes",1,0)</f>
        <v>0</v>
      </c>
    </row>
    <row r="455" spans="1:21" x14ac:dyDescent="0.25">
      <c r="A455" s="20">
        <v>16559</v>
      </c>
      <c r="B455" s="3" t="s">
        <v>114</v>
      </c>
      <c r="C455" s="3" t="s">
        <v>112</v>
      </c>
      <c r="D455" s="19">
        <v>10000</v>
      </c>
      <c r="E455" s="20">
        <v>2</v>
      </c>
      <c r="F455" s="3" t="s">
        <v>30</v>
      </c>
      <c r="G455" s="3" t="s">
        <v>28</v>
      </c>
      <c r="H455" s="3" t="s">
        <v>17</v>
      </c>
      <c r="I455" s="20">
        <v>0</v>
      </c>
      <c r="J455" s="3" t="s">
        <v>18</v>
      </c>
      <c r="K455" s="3" t="s">
        <v>19</v>
      </c>
      <c r="L455" s="20">
        <v>36</v>
      </c>
      <c r="M455" s="3" t="s">
        <v>17</v>
      </c>
      <c r="N455" s="20" t="str" cm="1">
        <f t="array" ref="N455">_xlfn.IFS(tbl_Clean[[#This Row],[Age]]&lt;=30,"25-30",tbl_Clean[[#This Row],[Age]]&lt;=40,"31-40",tbl_Clean[[#This Row],[Age]]&lt;=50,"41-50",tbl_Clean[[#This Row],[Age]]&lt;=60,"51-60",TRUE,"61+")</f>
        <v>31-40</v>
      </c>
      <c r="O455" s="20">
        <f>_xlfn.XMATCH(tbl_Clean[[#This Row],[Age Band]],{"25-30","31-40","41-50","51-60","61+"})</f>
        <v>2</v>
      </c>
      <c r="P455" s="20" t="str" cm="1">
        <f t="array" ref="P455">_xlfn.IFS(tbl_Clean[[#This Row],[Income]]&lt;=30000,"$10k-30k",tbl_Clean[[#This Row],[Income]]&lt;=60000,"$40k-60k",tbl_Clean[[#This Row],[Income]]&lt;=90000,"$70k-90k",TRUE,"$100k+")</f>
        <v>$10k-30k</v>
      </c>
      <c r="Q455" s="20">
        <f>_xlfn.XMATCH(tbl_Clean[[#This Row],[Income Band]],{"$10k-30k","$40k-60k","$70k-90k","$100k+"})</f>
        <v>1</v>
      </c>
      <c r="R455" s="20" t="str">
        <f>IF(tbl_Clean[[#This Row],[Cars]]&lt;=1,"0-1 Cars","2+ Cars")</f>
        <v>0-1 Cars</v>
      </c>
      <c r="S455" s="20">
        <f>_xlfn.XMATCH(tbl_Clean[[#This Row],[Commute Distance]],{"0-1 Miles","1-2 Miles","2-5 Miles","5-10 Miles","10+ Miles"})</f>
        <v>1</v>
      </c>
      <c r="T455" s="20">
        <f>_xlfn.XMATCH(tbl_Clean[[#This Row],[Education]],{"Partial High School","High School","Partial College","Bachelors","Graduate Degree"})</f>
        <v>2</v>
      </c>
      <c r="U455" s="20">
        <f>IF(tbl_Clean[[#This Row],[Purchased Bike]]="Yes",1,0)</f>
        <v>1</v>
      </c>
    </row>
    <row r="456" spans="1:21" x14ac:dyDescent="0.25">
      <c r="A456" s="20">
        <v>11585</v>
      </c>
      <c r="B456" s="3" t="s">
        <v>111</v>
      </c>
      <c r="C456" s="3" t="s">
        <v>112</v>
      </c>
      <c r="D456" s="19">
        <v>40000</v>
      </c>
      <c r="E456" s="20">
        <v>1</v>
      </c>
      <c r="F456" s="3" t="s">
        <v>15</v>
      </c>
      <c r="G456" s="3" t="s">
        <v>16</v>
      </c>
      <c r="H456" s="3" t="s">
        <v>17</v>
      </c>
      <c r="I456" s="20">
        <v>0</v>
      </c>
      <c r="J456" s="3" t="s">
        <v>18</v>
      </c>
      <c r="K456" s="3" t="s">
        <v>19</v>
      </c>
      <c r="L456" s="20">
        <v>41</v>
      </c>
      <c r="M456" s="3" t="s">
        <v>20</v>
      </c>
      <c r="N456" s="20" t="str" cm="1">
        <f t="array" ref="N456">_xlfn.IFS(tbl_Clean[[#This Row],[Age]]&lt;=30,"25-30",tbl_Clean[[#This Row],[Age]]&lt;=40,"31-40",tbl_Clean[[#This Row],[Age]]&lt;=50,"41-50",tbl_Clean[[#This Row],[Age]]&lt;=60,"51-60",TRUE,"61+")</f>
        <v>41-50</v>
      </c>
      <c r="O456" s="20">
        <f>_xlfn.XMATCH(tbl_Clean[[#This Row],[Age Band]],{"25-30","31-40","41-50","51-60","61+"})</f>
        <v>3</v>
      </c>
      <c r="P456" s="20" t="str" cm="1">
        <f t="array" ref="P456">_xlfn.IFS(tbl_Clean[[#This Row],[Income]]&lt;=30000,"$10k-30k",tbl_Clean[[#This Row],[Income]]&lt;=60000,"$40k-60k",tbl_Clean[[#This Row],[Income]]&lt;=90000,"$70k-90k",TRUE,"$100k+")</f>
        <v>$40k-60k</v>
      </c>
      <c r="Q456" s="20">
        <f>_xlfn.XMATCH(tbl_Clean[[#This Row],[Income Band]],{"$10k-30k","$40k-60k","$70k-90k","$100k+"})</f>
        <v>2</v>
      </c>
      <c r="R456" s="20" t="str">
        <f>IF(tbl_Clean[[#This Row],[Cars]]&lt;=1,"0-1 Cars","2+ Cars")</f>
        <v>0-1 Cars</v>
      </c>
      <c r="S456" s="20">
        <f>_xlfn.XMATCH(tbl_Clean[[#This Row],[Commute Distance]],{"0-1 Miles","1-2 Miles","2-5 Miles","5-10 Miles","10+ Miles"})</f>
        <v>1</v>
      </c>
      <c r="T456" s="20">
        <f>_xlfn.XMATCH(tbl_Clean[[#This Row],[Education]],{"Partial High School","High School","Partial College","Bachelors","Graduate Degree"})</f>
        <v>4</v>
      </c>
      <c r="U456" s="20">
        <f>IF(tbl_Clean[[#This Row],[Purchased Bike]]="Yes",1,0)</f>
        <v>0</v>
      </c>
    </row>
    <row r="457" spans="1:21" x14ac:dyDescent="0.25">
      <c r="A457" s="20">
        <v>20277</v>
      </c>
      <c r="B457" s="3" t="s">
        <v>111</v>
      </c>
      <c r="C457" s="3" t="s">
        <v>112</v>
      </c>
      <c r="D457" s="19">
        <v>30000</v>
      </c>
      <c r="E457" s="20">
        <v>2</v>
      </c>
      <c r="F457" s="3" t="s">
        <v>21</v>
      </c>
      <c r="G457" s="3" t="s">
        <v>22</v>
      </c>
      <c r="H457" s="3" t="s">
        <v>20</v>
      </c>
      <c r="I457" s="20">
        <v>2</v>
      </c>
      <c r="J457" s="3" t="s">
        <v>18</v>
      </c>
      <c r="K457" s="3" t="s">
        <v>27</v>
      </c>
      <c r="L457" s="20">
        <v>69</v>
      </c>
      <c r="M457" s="3" t="s">
        <v>20</v>
      </c>
      <c r="N457" s="20" t="str" cm="1">
        <f t="array" ref="N457">_xlfn.IFS(tbl_Clean[[#This Row],[Age]]&lt;=30,"25-30",tbl_Clean[[#This Row],[Age]]&lt;=40,"31-40",tbl_Clean[[#This Row],[Age]]&lt;=50,"41-50",tbl_Clean[[#This Row],[Age]]&lt;=60,"51-60",TRUE,"61+")</f>
        <v>61+</v>
      </c>
      <c r="O457" s="20">
        <f>_xlfn.XMATCH(tbl_Clean[[#This Row],[Age Band]],{"25-30","31-40","41-50","51-60","61+"})</f>
        <v>5</v>
      </c>
      <c r="P457" s="20" t="str" cm="1">
        <f t="array" ref="P457">_xlfn.IFS(tbl_Clean[[#This Row],[Income]]&lt;=30000,"$10k-30k",tbl_Clean[[#This Row],[Income]]&lt;=60000,"$40k-60k",tbl_Clean[[#This Row],[Income]]&lt;=90000,"$70k-90k",TRUE,"$100k+")</f>
        <v>$10k-30k</v>
      </c>
      <c r="Q457" s="20">
        <f>_xlfn.XMATCH(tbl_Clean[[#This Row],[Income Band]],{"$10k-30k","$40k-60k","$70k-90k","$100k+"})</f>
        <v>1</v>
      </c>
      <c r="R457" s="20" t="str">
        <f>IF(tbl_Clean[[#This Row],[Cars]]&lt;=1,"0-1 Cars","2+ Cars")</f>
        <v>2+ Cars</v>
      </c>
      <c r="S457" s="20">
        <f>_xlfn.XMATCH(tbl_Clean[[#This Row],[Commute Distance]],{"0-1 Miles","1-2 Miles","2-5 Miles","5-10 Miles","10+ Miles"})</f>
        <v>1</v>
      </c>
      <c r="T457" s="20">
        <f>_xlfn.XMATCH(tbl_Clean[[#This Row],[Education]],{"Partial High School","High School","Partial College","Bachelors","Graduate Degree"})</f>
        <v>3</v>
      </c>
      <c r="U457" s="20">
        <f>IF(tbl_Clean[[#This Row],[Purchased Bike]]="Yes",1,0)</f>
        <v>0</v>
      </c>
    </row>
    <row r="458" spans="1:21" x14ac:dyDescent="0.25">
      <c r="A458" s="20">
        <v>26765</v>
      </c>
      <c r="B458" s="3" t="s">
        <v>114</v>
      </c>
      <c r="C458" s="3" t="s">
        <v>112</v>
      </c>
      <c r="D458" s="19">
        <v>70000</v>
      </c>
      <c r="E458" s="20">
        <v>5</v>
      </c>
      <c r="F458" s="3" t="s">
        <v>21</v>
      </c>
      <c r="G458" s="3" t="s">
        <v>16</v>
      </c>
      <c r="H458" s="3" t="s">
        <v>17</v>
      </c>
      <c r="I458" s="20">
        <v>2</v>
      </c>
      <c r="J458" s="3" t="s">
        <v>26</v>
      </c>
      <c r="K458" s="3" t="s">
        <v>27</v>
      </c>
      <c r="L458" s="20">
        <v>45</v>
      </c>
      <c r="M458" s="3" t="s">
        <v>20</v>
      </c>
      <c r="N458" s="20" t="str" cm="1">
        <f t="array" ref="N458">_xlfn.IFS(tbl_Clean[[#This Row],[Age]]&lt;=30,"25-30",tbl_Clean[[#This Row],[Age]]&lt;=40,"31-40",tbl_Clean[[#This Row],[Age]]&lt;=50,"41-50",tbl_Clean[[#This Row],[Age]]&lt;=60,"51-60",TRUE,"61+")</f>
        <v>41-50</v>
      </c>
      <c r="O458" s="20">
        <f>_xlfn.XMATCH(tbl_Clean[[#This Row],[Age Band]],{"25-30","31-40","41-50","51-60","61+"})</f>
        <v>3</v>
      </c>
      <c r="P458" s="20" t="str" cm="1">
        <f t="array" ref="P458">_xlfn.IFS(tbl_Clean[[#This Row],[Income]]&lt;=30000,"$10k-30k",tbl_Clean[[#This Row],[Income]]&lt;=60000,"$40k-60k",tbl_Clean[[#This Row],[Income]]&lt;=90000,"$70k-90k",TRUE,"$100k+")</f>
        <v>$70k-90k</v>
      </c>
      <c r="Q458" s="20">
        <f>_xlfn.XMATCH(tbl_Clean[[#This Row],[Income Band]],{"$10k-30k","$40k-60k","$70k-90k","$100k+"})</f>
        <v>3</v>
      </c>
      <c r="R458" s="20" t="str">
        <f>IF(tbl_Clean[[#This Row],[Cars]]&lt;=1,"0-1 Cars","2+ Cars")</f>
        <v>2+ Cars</v>
      </c>
      <c r="S458" s="20">
        <f>_xlfn.XMATCH(tbl_Clean[[#This Row],[Commute Distance]],{"0-1 Miles","1-2 Miles","2-5 Miles","5-10 Miles","10+ Miles"})</f>
        <v>4</v>
      </c>
      <c r="T458" s="20">
        <f>_xlfn.XMATCH(tbl_Clean[[#This Row],[Education]],{"Partial High School","High School","Partial College","Bachelors","Graduate Degree"})</f>
        <v>3</v>
      </c>
      <c r="U458" s="20">
        <f>IF(tbl_Clean[[#This Row],[Purchased Bike]]="Yes",1,0)</f>
        <v>0</v>
      </c>
    </row>
    <row r="459" spans="1:21" x14ac:dyDescent="0.25">
      <c r="A459" s="20">
        <v>12389</v>
      </c>
      <c r="B459" s="3" t="s">
        <v>114</v>
      </c>
      <c r="C459" s="3" t="s">
        <v>113</v>
      </c>
      <c r="D459" s="19">
        <v>30000</v>
      </c>
      <c r="E459" s="20">
        <v>0</v>
      </c>
      <c r="F459" s="3" t="s">
        <v>30</v>
      </c>
      <c r="G459" s="3" t="s">
        <v>28</v>
      </c>
      <c r="H459" s="3" t="s">
        <v>20</v>
      </c>
      <c r="I459" s="20">
        <v>1</v>
      </c>
      <c r="J459" s="3" t="s">
        <v>24</v>
      </c>
      <c r="K459" s="3" t="s">
        <v>19</v>
      </c>
      <c r="L459" s="20">
        <v>34</v>
      </c>
      <c r="M459" s="3" t="s">
        <v>20</v>
      </c>
      <c r="N459" s="20" t="str" cm="1">
        <f t="array" ref="N459">_xlfn.IFS(tbl_Clean[[#This Row],[Age]]&lt;=30,"25-30",tbl_Clean[[#This Row],[Age]]&lt;=40,"31-40",tbl_Clean[[#This Row],[Age]]&lt;=50,"41-50",tbl_Clean[[#This Row],[Age]]&lt;=60,"51-60",TRUE,"61+")</f>
        <v>31-40</v>
      </c>
      <c r="O459" s="20">
        <f>_xlfn.XMATCH(tbl_Clean[[#This Row],[Age Band]],{"25-30","31-40","41-50","51-60","61+"})</f>
        <v>2</v>
      </c>
      <c r="P459" s="20" t="str" cm="1">
        <f t="array" ref="P459">_xlfn.IFS(tbl_Clean[[#This Row],[Income]]&lt;=30000,"$10k-30k",tbl_Clean[[#This Row],[Income]]&lt;=60000,"$40k-60k",tbl_Clean[[#This Row],[Income]]&lt;=90000,"$70k-90k",TRUE,"$100k+")</f>
        <v>$10k-30k</v>
      </c>
      <c r="Q459" s="20">
        <f>_xlfn.XMATCH(tbl_Clean[[#This Row],[Income Band]],{"$10k-30k","$40k-60k","$70k-90k","$100k+"})</f>
        <v>1</v>
      </c>
      <c r="R459" s="20" t="str">
        <f>IF(tbl_Clean[[#This Row],[Cars]]&lt;=1,"0-1 Cars","2+ Cars")</f>
        <v>0-1 Cars</v>
      </c>
      <c r="S459" s="20">
        <f>_xlfn.XMATCH(tbl_Clean[[#This Row],[Commute Distance]],{"0-1 Miles","1-2 Miles","2-5 Miles","5-10 Miles","10+ Miles"})</f>
        <v>3</v>
      </c>
      <c r="T459" s="20">
        <f>_xlfn.XMATCH(tbl_Clean[[#This Row],[Education]],{"Partial High School","High School","Partial College","Bachelors","Graduate Degree"})</f>
        <v>2</v>
      </c>
      <c r="U459" s="20">
        <f>IF(tbl_Clean[[#This Row],[Purchased Bike]]="Yes",1,0)</f>
        <v>0</v>
      </c>
    </row>
    <row r="460" spans="1:21" x14ac:dyDescent="0.25">
      <c r="A460" s="20">
        <v>13585</v>
      </c>
      <c r="B460" s="3" t="s">
        <v>111</v>
      </c>
      <c r="C460" s="3" t="s">
        <v>112</v>
      </c>
      <c r="D460" s="19">
        <v>80000</v>
      </c>
      <c r="E460" s="20">
        <v>4</v>
      </c>
      <c r="F460" s="3" t="s">
        <v>21</v>
      </c>
      <c r="G460" s="3" t="s">
        <v>23</v>
      </c>
      <c r="H460" s="3" t="s">
        <v>20</v>
      </c>
      <c r="I460" s="20">
        <v>1</v>
      </c>
      <c r="J460" s="3" t="s">
        <v>24</v>
      </c>
      <c r="K460" s="3" t="s">
        <v>19</v>
      </c>
      <c r="L460" s="20">
        <v>53</v>
      </c>
      <c r="M460" s="3" t="s">
        <v>17</v>
      </c>
      <c r="N460" s="20" t="str" cm="1">
        <f t="array" ref="N460">_xlfn.IFS(tbl_Clean[[#This Row],[Age]]&lt;=30,"25-30",tbl_Clean[[#This Row],[Age]]&lt;=40,"31-40",tbl_Clean[[#This Row],[Age]]&lt;=50,"41-50",tbl_Clean[[#This Row],[Age]]&lt;=60,"51-60",TRUE,"61+")</f>
        <v>51-60</v>
      </c>
      <c r="O460" s="20">
        <f>_xlfn.XMATCH(tbl_Clean[[#This Row],[Age Band]],{"25-30","31-40","41-50","51-60","61+"})</f>
        <v>4</v>
      </c>
      <c r="P460" s="20" t="str" cm="1">
        <f t="array" ref="P460">_xlfn.IFS(tbl_Clean[[#This Row],[Income]]&lt;=30000,"$10k-30k",tbl_Clean[[#This Row],[Income]]&lt;=60000,"$40k-60k",tbl_Clean[[#This Row],[Income]]&lt;=90000,"$70k-90k",TRUE,"$100k+")</f>
        <v>$70k-90k</v>
      </c>
      <c r="Q460" s="20">
        <f>_xlfn.XMATCH(tbl_Clean[[#This Row],[Income Band]],{"$10k-30k","$40k-60k","$70k-90k","$100k+"})</f>
        <v>3</v>
      </c>
      <c r="R460" s="20" t="str">
        <f>IF(tbl_Clean[[#This Row],[Cars]]&lt;=1,"0-1 Cars","2+ Cars")</f>
        <v>0-1 Cars</v>
      </c>
      <c r="S460" s="20">
        <f>_xlfn.XMATCH(tbl_Clean[[#This Row],[Commute Distance]],{"0-1 Miles","1-2 Miles","2-5 Miles","5-10 Miles","10+ Miles"})</f>
        <v>3</v>
      </c>
      <c r="T460" s="20">
        <f>_xlfn.XMATCH(tbl_Clean[[#This Row],[Education]],{"Partial High School","High School","Partial College","Bachelors","Graduate Degree"})</f>
        <v>3</v>
      </c>
      <c r="U460" s="20">
        <f>IF(tbl_Clean[[#This Row],[Purchased Bike]]="Yes",1,0)</f>
        <v>1</v>
      </c>
    </row>
    <row r="461" spans="1:21" x14ac:dyDescent="0.25">
      <c r="A461" s="20">
        <v>26385</v>
      </c>
      <c r="B461" s="3" t="s">
        <v>114</v>
      </c>
      <c r="C461" s="3" t="s">
        <v>113</v>
      </c>
      <c r="D461" s="19">
        <v>120000</v>
      </c>
      <c r="E461" s="20">
        <v>3</v>
      </c>
      <c r="F461" s="3" t="s">
        <v>30</v>
      </c>
      <c r="G461" s="3" t="s">
        <v>23</v>
      </c>
      <c r="H461" s="3" t="s">
        <v>20</v>
      </c>
      <c r="I461" s="20">
        <v>4</v>
      </c>
      <c r="J461" s="3" t="s">
        <v>26</v>
      </c>
      <c r="K461" s="3" t="s">
        <v>19</v>
      </c>
      <c r="L461" s="20">
        <v>50</v>
      </c>
      <c r="M461" s="3" t="s">
        <v>20</v>
      </c>
      <c r="N461" s="20" t="str" cm="1">
        <f t="array" ref="N461">_xlfn.IFS(tbl_Clean[[#This Row],[Age]]&lt;=30,"25-30",tbl_Clean[[#This Row],[Age]]&lt;=40,"31-40",tbl_Clean[[#This Row],[Age]]&lt;=50,"41-50",tbl_Clean[[#This Row],[Age]]&lt;=60,"51-60",TRUE,"61+")</f>
        <v>41-50</v>
      </c>
      <c r="O461" s="20">
        <f>_xlfn.XMATCH(tbl_Clean[[#This Row],[Age Band]],{"25-30","31-40","41-50","51-60","61+"})</f>
        <v>3</v>
      </c>
      <c r="P461" s="20" t="str" cm="1">
        <f t="array" ref="P461">_xlfn.IFS(tbl_Clean[[#This Row],[Income]]&lt;=30000,"$10k-30k",tbl_Clean[[#This Row],[Income]]&lt;=60000,"$40k-60k",tbl_Clean[[#This Row],[Income]]&lt;=90000,"$70k-90k",TRUE,"$100k+")</f>
        <v>$100k+</v>
      </c>
      <c r="Q461" s="20">
        <f>_xlfn.XMATCH(tbl_Clean[[#This Row],[Income Band]],{"$10k-30k","$40k-60k","$70k-90k","$100k+"})</f>
        <v>4</v>
      </c>
      <c r="R461" s="20" t="str">
        <f>IF(tbl_Clean[[#This Row],[Cars]]&lt;=1,"0-1 Cars","2+ Cars")</f>
        <v>2+ Cars</v>
      </c>
      <c r="S461" s="20">
        <f>_xlfn.XMATCH(tbl_Clean[[#This Row],[Commute Distance]],{"0-1 Miles","1-2 Miles","2-5 Miles","5-10 Miles","10+ Miles"})</f>
        <v>4</v>
      </c>
      <c r="T461" s="20">
        <f>_xlfn.XMATCH(tbl_Clean[[#This Row],[Education]],{"Partial High School","High School","Partial College","Bachelors","Graduate Degree"})</f>
        <v>2</v>
      </c>
      <c r="U461" s="20">
        <f>IF(tbl_Clean[[#This Row],[Purchased Bike]]="Yes",1,0)</f>
        <v>0</v>
      </c>
    </row>
    <row r="462" spans="1:21" x14ac:dyDescent="0.25">
      <c r="A462" s="20">
        <v>12236</v>
      </c>
      <c r="B462" s="3" t="s">
        <v>111</v>
      </c>
      <c r="C462" s="3" t="s">
        <v>112</v>
      </c>
      <c r="D462" s="19">
        <v>20000</v>
      </c>
      <c r="E462" s="20">
        <v>1</v>
      </c>
      <c r="F462" s="3" t="s">
        <v>21</v>
      </c>
      <c r="G462" s="3" t="s">
        <v>28</v>
      </c>
      <c r="H462" s="3" t="s">
        <v>17</v>
      </c>
      <c r="I462" s="20">
        <v>0</v>
      </c>
      <c r="J462" s="3" t="s">
        <v>18</v>
      </c>
      <c r="K462" s="3" t="s">
        <v>19</v>
      </c>
      <c r="L462" s="20">
        <v>65</v>
      </c>
      <c r="M462" s="3" t="s">
        <v>20</v>
      </c>
      <c r="N462" s="20" t="str" cm="1">
        <f t="array" ref="N462">_xlfn.IFS(tbl_Clean[[#This Row],[Age]]&lt;=30,"25-30",tbl_Clean[[#This Row],[Age]]&lt;=40,"31-40",tbl_Clean[[#This Row],[Age]]&lt;=50,"41-50",tbl_Clean[[#This Row],[Age]]&lt;=60,"51-60",TRUE,"61+")</f>
        <v>61+</v>
      </c>
      <c r="O462" s="20">
        <f>_xlfn.XMATCH(tbl_Clean[[#This Row],[Age Band]],{"25-30","31-40","41-50","51-60","61+"})</f>
        <v>5</v>
      </c>
      <c r="P462" s="20" t="str" cm="1">
        <f t="array" ref="P462">_xlfn.IFS(tbl_Clean[[#This Row],[Income]]&lt;=30000,"$10k-30k",tbl_Clean[[#This Row],[Income]]&lt;=60000,"$40k-60k",tbl_Clean[[#This Row],[Income]]&lt;=90000,"$70k-90k",TRUE,"$100k+")</f>
        <v>$10k-30k</v>
      </c>
      <c r="Q462" s="20">
        <f>_xlfn.XMATCH(tbl_Clean[[#This Row],[Income Band]],{"$10k-30k","$40k-60k","$70k-90k","$100k+"})</f>
        <v>1</v>
      </c>
      <c r="R462" s="20" t="str">
        <f>IF(tbl_Clean[[#This Row],[Cars]]&lt;=1,"0-1 Cars","2+ Cars")</f>
        <v>0-1 Cars</v>
      </c>
      <c r="S462" s="20">
        <f>_xlfn.XMATCH(tbl_Clean[[#This Row],[Commute Distance]],{"0-1 Miles","1-2 Miles","2-5 Miles","5-10 Miles","10+ Miles"})</f>
        <v>1</v>
      </c>
      <c r="T462" s="20">
        <f>_xlfn.XMATCH(tbl_Clean[[#This Row],[Education]],{"Partial High School","High School","Partial College","Bachelors","Graduate Degree"})</f>
        <v>3</v>
      </c>
      <c r="U462" s="20">
        <f>IF(tbl_Clean[[#This Row],[Purchased Bike]]="Yes",1,0)</f>
        <v>0</v>
      </c>
    </row>
    <row r="463" spans="1:21" x14ac:dyDescent="0.25">
      <c r="A463" s="20">
        <v>21560</v>
      </c>
      <c r="B463" s="3" t="s">
        <v>111</v>
      </c>
      <c r="C463" s="3" t="s">
        <v>113</v>
      </c>
      <c r="D463" s="19">
        <v>120000</v>
      </c>
      <c r="E463" s="20">
        <v>0</v>
      </c>
      <c r="F463" s="3" t="s">
        <v>32</v>
      </c>
      <c r="G463" s="3" t="s">
        <v>23</v>
      </c>
      <c r="H463" s="3" t="s">
        <v>17</v>
      </c>
      <c r="I463" s="20">
        <v>4</v>
      </c>
      <c r="J463" s="3" t="s">
        <v>33</v>
      </c>
      <c r="K463" s="3" t="s">
        <v>27</v>
      </c>
      <c r="L463" s="20">
        <v>32</v>
      </c>
      <c r="M463" s="3" t="s">
        <v>17</v>
      </c>
      <c r="N463" s="20" t="str" cm="1">
        <f t="array" ref="N463">_xlfn.IFS(tbl_Clean[[#This Row],[Age]]&lt;=30,"25-30",tbl_Clean[[#This Row],[Age]]&lt;=40,"31-40",tbl_Clean[[#This Row],[Age]]&lt;=50,"41-50",tbl_Clean[[#This Row],[Age]]&lt;=60,"51-60",TRUE,"61+")</f>
        <v>31-40</v>
      </c>
      <c r="O463" s="20">
        <f>_xlfn.XMATCH(tbl_Clean[[#This Row],[Age Band]],{"25-30","31-40","41-50","51-60","61+"})</f>
        <v>2</v>
      </c>
      <c r="P463" s="20" t="str" cm="1">
        <f t="array" ref="P463">_xlfn.IFS(tbl_Clean[[#This Row],[Income]]&lt;=30000,"$10k-30k",tbl_Clean[[#This Row],[Income]]&lt;=60000,"$40k-60k",tbl_Clean[[#This Row],[Income]]&lt;=90000,"$70k-90k",TRUE,"$100k+")</f>
        <v>$100k+</v>
      </c>
      <c r="Q463" s="20">
        <f>_xlfn.XMATCH(tbl_Clean[[#This Row],[Income Band]],{"$10k-30k","$40k-60k","$70k-90k","$100k+"})</f>
        <v>4</v>
      </c>
      <c r="R463" s="20" t="str">
        <f>IF(tbl_Clean[[#This Row],[Cars]]&lt;=1,"0-1 Cars","2+ Cars")</f>
        <v>2+ Cars</v>
      </c>
      <c r="S463" s="20">
        <f>_xlfn.XMATCH(tbl_Clean[[#This Row],[Commute Distance]],{"0-1 Miles","1-2 Miles","2-5 Miles","5-10 Miles","10+ Miles"})</f>
        <v>5</v>
      </c>
      <c r="T463" s="20">
        <f>_xlfn.XMATCH(tbl_Clean[[#This Row],[Education]],{"Partial High School","High School","Partial College","Bachelors","Graduate Degree"})</f>
        <v>1</v>
      </c>
      <c r="U463" s="20">
        <f>IF(tbl_Clean[[#This Row],[Purchased Bike]]="Yes",1,0)</f>
        <v>1</v>
      </c>
    </row>
    <row r="464" spans="1:21" x14ac:dyDescent="0.25">
      <c r="A464" s="20">
        <v>21554</v>
      </c>
      <c r="B464" s="3" t="s">
        <v>114</v>
      </c>
      <c r="C464" s="3" t="s">
        <v>112</v>
      </c>
      <c r="D464" s="19">
        <v>80000</v>
      </c>
      <c r="E464" s="20">
        <v>0</v>
      </c>
      <c r="F464" s="3" t="s">
        <v>15</v>
      </c>
      <c r="G464" s="3" t="s">
        <v>23</v>
      </c>
      <c r="H464" s="3" t="s">
        <v>20</v>
      </c>
      <c r="I464" s="20">
        <v>3</v>
      </c>
      <c r="J464" s="3" t="s">
        <v>33</v>
      </c>
      <c r="K464" s="3" t="s">
        <v>27</v>
      </c>
      <c r="L464" s="20">
        <v>33</v>
      </c>
      <c r="M464" s="3" t="s">
        <v>20</v>
      </c>
      <c r="N464" s="20" t="str" cm="1">
        <f t="array" ref="N464">_xlfn.IFS(tbl_Clean[[#This Row],[Age]]&lt;=30,"25-30",tbl_Clean[[#This Row],[Age]]&lt;=40,"31-40",tbl_Clean[[#This Row],[Age]]&lt;=50,"41-50",tbl_Clean[[#This Row],[Age]]&lt;=60,"51-60",TRUE,"61+")</f>
        <v>31-40</v>
      </c>
      <c r="O464" s="20">
        <f>_xlfn.XMATCH(tbl_Clean[[#This Row],[Age Band]],{"25-30","31-40","41-50","51-60","61+"})</f>
        <v>2</v>
      </c>
      <c r="P464" s="20" t="str" cm="1">
        <f t="array" ref="P464">_xlfn.IFS(tbl_Clean[[#This Row],[Income]]&lt;=30000,"$10k-30k",tbl_Clean[[#This Row],[Income]]&lt;=60000,"$40k-60k",tbl_Clean[[#This Row],[Income]]&lt;=90000,"$70k-90k",TRUE,"$100k+")</f>
        <v>$70k-90k</v>
      </c>
      <c r="Q464" s="20">
        <f>_xlfn.XMATCH(tbl_Clean[[#This Row],[Income Band]],{"$10k-30k","$40k-60k","$70k-90k","$100k+"})</f>
        <v>3</v>
      </c>
      <c r="R464" s="20" t="str">
        <f>IF(tbl_Clean[[#This Row],[Cars]]&lt;=1,"0-1 Cars","2+ Cars")</f>
        <v>2+ Cars</v>
      </c>
      <c r="S464" s="20">
        <f>_xlfn.XMATCH(tbl_Clean[[#This Row],[Commute Distance]],{"0-1 Miles","1-2 Miles","2-5 Miles","5-10 Miles","10+ Miles"})</f>
        <v>5</v>
      </c>
      <c r="T464" s="20">
        <f>_xlfn.XMATCH(tbl_Clean[[#This Row],[Education]],{"Partial High School","High School","Partial College","Bachelors","Graduate Degree"})</f>
        <v>4</v>
      </c>
      <c r="U464" s="20">
        <f>IF(tbl_Clean[[#This Row],[Purchased Bike]]="Yes",1,0)</f>
        <v>0</v>
      </c>
    </row>
    <row r="465" spans="1:21" x14ac:dyDescent="0.25">
      <c r="A465" s="20">
        <v>13662</v>
      </c>
      <c r="B465" s="3" t="s">
        <v>114</v>
      </c>
      <c r="C465" s="3" t="s">
        <v>113</v>
      </c>
      <c r="D465" s="19">
        <v>20000</v>
      </c>
      <c r="E465" s="20">
        <v>0</v>
      </c>
      <c r="F465" s="3" t="s">
        <v>32</v>
      </c>
      <c r="G465" s="3" t="s">
        <v>28</v>
      </c>
      <c r="H465" s="3" t="s">
        <v>17</v>
      </c>
      <c r="I465" s="20">
        <v>2</v>
      </c>
      <c r="J465" s="3" t="s">
        <v>29</v>
      </c>
      <c r="K465" s="3" t="s">
        <v>19</v>
      </c>
      <c r="L465" s="20">
        <v>31</v>
      </c>
      <c r="M465" s="3" t="s">
        <v>17</v>
      </c>
      <c r="N465" s="20" t="str" cm="1">
        <f t="array" ref="N465">_xlfn.IFS(tbl_Clean[[#This Row],[Age]]&lt;=30,"25-30",tbl_Clean[[#This Row],[Age]]&lt;=40,"31-40",tbl_Clean[[#This Row],[Age]]&lt;=50,"41-50",tbl_Clean[[#This Row],[Age]]&lt;=60,"51-60",TRUE,"61+")</f>
        <v>31-40</v>
      </c>
      <c r="O465" s="20">
        <f>_xlfn.XMATCH(tbl_Clean[[#This Row],[Age Band]],{"25-30","31-40","41-50","51-60","61+"})</f>
        <v>2</v>
      </c>
      <c r="P465" s="20" t="str" cm="1">
        <f t="array" ref="P465">_xlfn.IFS(tbl_Clean[[#This Row],[Income]]&lt;=30000,"$10k-30k",tbl_Clean[[#This Row],[Income]]&lt;=60000,"$40k-60k",tbl_Clean[[#This Row],[Income]]&lt;=90000,"$70k-90k",TRUE,"$100k+")</f>
        <v>$10k-30k</v>
      </c>
      <c r="Q465" s="20">
        <f>_xlfn.XMATCH(tbl_Clean[[#This Row],[Income Band]],{"$10k-30k","$40k-60k","$70k-90k","$100k+"})</f>
        <v>1</v>
      </c>
      <c r="R465" s="20" t="str">
        <f>IF(tbl_Clean[[#This Row],[Cars]]&lt;=1,"0-1 Cars","2+ Cars")</f>
        <v>2+ Cars</v>
      </c>
      <c r="S465" s="20">
        <f>_xlfn.XMATCH(tbl_Clean[[#This Row],[Commute Distance]],{"0-1 Miles","1-2 Miles","2-5 Miles","5-10 Miles","10+ Miles"})</f>
        <v>2</v>
      </c>
      <c r="T465" s="20">
        <f>_xlfn.XMATCH(tbl_Clean[[#This Row],[Education]],{"Partial High School","High School","Partial College","Bachelors","Graduate Degree"})</f>
        <v>1</v>
      </c>
      <c r="U465" s="20">
        <f>IF(tbl_Clean[[#This Row],[Purchased Bike]]="Yes",1,0)</f>
        <v>1</v>
      </c>
    </row>
    <row r="466" spans="1:21" x14ac:dyDescent="0.25">
      <c r="A466" s="20">
        <v>13089</v>
      </c>
      <c r="B466" s="3" t="s">
        <v>111</v>
      </c>
      <c r="C466" s="3" t="s">
        <v>112</v>
      </c>
      <c r="D466" s="19">
        <v>120000</v>
      </c>
      <c r="E466" s="20">
        <v>1</v>
      </c>
      <c r="F466" s="3" t="s">
        <v>15</v>
      </c>
      <c r="G466" s="3" t="s">
        <v>31</v>
      </c>
      <c r="H466" s="3" t="s">
        <v>17</v>
      </c>
      <c r="I466" s="20">
        <v>2</v>
      </c>
      <c r="J466" s="3" t="s">
        <v>18</v>
      </c>
      <c r="K466" s="3" t="s">
        <v>27</v>
      </c>
      <c r="L466" s="20">
        <v>46</v>
      </c>
      <c r="M466" s="3" t="s">
        <v>17</v>
      </c>
      <c r="N466" s="20" t="str" cm="1">
        <f t="array" ref="N466">_xlfn.IFS(tbl_Clean[[#This Row],[Age]]&lt;=30,"25-30",tbl_Clean[[#This Row],[Age]]&lt;=40,"31-40",tbl_Clean[[#This Row],[Age]]&lt;=50,"41-50",tbl_Clean[[#This Row],[Age]]&lt;=60,"51-60",TRUE,"61+")</f>
        <v>41-50</v>
      </c>
      <c r="O466" s="20">
        <f>_xlfn.XMATCH(tbl_Clean[[#This Row],[Age Band]],{"25-30","31-40","41-50","51-60","61+"})</f>
        <v>3</v>
      </c>
      <c r="P466" s="20" t="str" cm="1">
        <f t="array" ref="P466">_xlfn.IFS(tbl_Clean[[#This Row],[Income]]&lt;=30000,"$10k-30k",tbl_Clean[[#This Row],[Income]]&lt;=60000,"$40k-60k",tbl_Clean[[#This Row],[Income]]&lt;=90000,"$70k-90k",TRUE,"$100k+")</f>
        <v>$100k+</v>
      </c>
      <c r="Q466" s="20">
        <f>_xlfn.XMATCH(tbl_Clean[[#This Row],[Income Band]],{"$10k-30k","$40k-60k","$70k-90k","$100k+"})</f>
        <v>4</v>
      </c>
      <c r="R466" s="20" t="str">
        <f>IF(tbl_Clean[[#This Row],[Cars]]&lt;=1,"0-1 Cars","2+ Cars")</f>
        <v>2+ Cars</v>
      </c>
      <c r="S466" s="20">
        <f>_xlfn.XMATCH(tbl_Clean[[#This Row],[Commute Distance]],{"0-1 Miles","1-2 Miles","2-5 Miles","5-10 Miles","10+ Miles"})</f>
        <v>1</v>
      </c>
      <c r="T466" s="20">
        <f>_xlfn.XMATCH(tbl_Clean[[#This Row],[Education]],{"Partial High School","High School","Partial College","Bachelors","Graduate Degree"})</f>
        <v>4</v>
      </c>
      <c r="U466" s="20">
        <f>IF(tbl_Clean[[#This Row],[Purchased Bike]]="Yes",1,0)</f>
        <v>1</v>
      </c>
    </row>
    <row r="467" spans="1:21" x14ac:dyDescent="0.25">
      <c r="A467" s="20">
        <v>14791</v>
      </c>
      <c r="B467" s="3" t="s">
        <v>111</v>
      </c>
      <c r="C467" s="3" t="s">
        <v>112</v>
      </c>
      <c r="D467" s="19">
        <v>40000</v>
      </c>
      <c r="E467" s="20">
        <v>0</v>
      </c>
      <c r="F467" s="3" t="s">
        <v>15</v>
      </c>
      <c r="G467" s="3" t="s">
        <v>22</v>
      </c>
      <c r="H467" s="3" t="s">
        <v>17</v>
      </c>
      <c r="I467" s="20">
        <v>0</v>
      </c>
      <c r="J467" s="3" t="s">
        <v>18</v>
      </c>
      <c r="K467" s="3" t="s">
        <v>19</v>
      </c>
      <c r="L467" s="20">
        <v>39</v>
      </c>
      <c r="M467" s="3" t="s">
        <v>17</v>
      </c>
      <c r="N467" s="20" t="str" cm="1">
        <f t="array" ref="N467">_xlfn.IFS(tbl_Clean[[#This Row],[Age]]&lt;=30,"25-30",tbl_Clean[[#This Row],[Age]]&lt;=40,"31-40",tbl_Clean[[#This Row],[Age]]&lt;=50,"41-50",tbl_Clean[[#This Row],[Age]]&lt;=60,"51-60",TRUE,"61+")</f>
        <v>31-40</v>
      </c>
      <c r="O467" s="20">
        <f>_xlfn.XMATCH(tbl_Clean[[#This Row],[Age Band]],{"25-30","31-40","41-50","51-60","61+"})</f>
        <v>2</v>
      </c>
      <c r="P467" s="20" t="str" cm="1">
        <f t="array" ref="P467">_xlfn.IFS(tbl_Clean[[#This Row],[Income]]&lt;=30000,"$10k-30k",tbl_Clean[[#This Row],[Income]]&lt;=60000,"$40k-60k",tbl_Clean[[#This Row],[Income]]&lt;=90000,"$70k-90k",TRUE,"$100k+")</f>
        <v>$40k-60k</v>
      </c>
      <c r="Q467" s="20">
        <f>_xlfn.XMATCH(tbl_Clean[[#This Row],[Income Band]],{"$10k-30k","$40k-60k","$70k-90k","$100k+"})</f>
        <v>2</v>
      </c>
      <c r="R467" s="20" t="str">
        <f>IF(tbl_Clean[[#This Row],[Cars]]&lt;=1,"0-1 Cars","2+ Cars")</f>
        <v>0-1 Cars</v>
      </c>
      <c r="S467" s="20">
        <f>_xlfn.XMATCH(tbl_Clean[[#This Row],[Commute Distance]],{"0-1 Miles","1-2 Miles","2-5 Miles","5-10 Miles","10+ Miles"})</f>
        <v>1</v>
      </c>
      <c r="T467" s="20">
        <f>_xlfn.XMATCH(tbl_Clean[[#This Row],[Education]],{"Partial High School","High School","Partial College","Bachelors","Graduate Degree"})</f>
        <v>4</v>
      </c>
      <c r="U467" s="20">
        <f>IF(tbl_Clean[[#This Row],[Purchased Bike]]="Yes",1,0)</f>
        <v>1</v>
      </c>
    </row>
    <row r="468" spans="1:21" x14ac:dyDescent="0.25">
      <c r="A468" s="20">
        <v>19331</v>
      </c>
      <c r="B468" s="3" t="s">
        <v>114</v>
      </c>
      <c r="C468" s="3" t="s">
        <v>113</v>
      </c>
      <c r="D468" s="19">
        <v>20000</v>
      </c>
      <c r="E468" s="20">
        <v>2</v>
      </c>
      <c r="F468" s="3" t="s">
        <v>30</v>
      </c>
      <c r="G468" s="3" t="s">
        <v>28</v>
      </c>
      <c r="H468" s="3" t="s">
        <v>17</v>
      </c>
      <c r="I468" s="20">
        <v>1</v>
      </c>
      <c r="J468" s="3" t="s">
        <v>18</v>
      </c>
      <c r="K468" s="3" t="s">
        <v>19</v>
      </c>
      <c r="L468" s="20">
        <v>40</v>
      </c>
      <c r="M468" s="3" t="s">
        <v>20</v>
      </c>
      <c r="N468" s="20" t="str" cm="1">
        <f t="array" ref="N468">_xlfn.IFS(tbl_Clean[[#This Row],[Age]]&lt;=30,"25-30",tbl_Clean[[#This Row],[Age]]&lt;=40,"31-40",tbl_Clean[[#This Row],[Age]]&lt;=50,"41-50",tbl_Clean[[#This Row],[Age]]&lt;=60,"51-60",TRUE,"61+")</f>
        <v>31-40</v>
      </c>
      <c r="O468" s="20">
        <f>_xlfn.XMATCH(tbl_Clean[[#This Row],[Age Band]],{"25-30","31-40","41-50","51-60","61+"})</f>
        <v>2</v>
      </c>
      <c r="P468" s="20" t="str" cm="1">
        <f t="array" ref="P468">_xlfn.IFS(tbl_Clean[[#This Row],[Income]]&lt;=30000,"$10k-30k",tbl_Clean[[#This Row],[Income]]&lt;=60000,"$40k-60k",tbl_Clean[[#This Row],[Income]]&lt;=90000,"$70k-90k",TRUE,"$100k+")</f>
        <v>$10k-30k</v>
      </c>
      <c r="Q468" s="20">
        <f>_xlfn.XMATCH(tbl_Clean[[#This Row],[Income Band]],{"$10k-30k","$40k-60k","$70k-90k","$100k+"})</f>
        <v>1</v>
      </c>
      <c r="R468" s="20" t="str">
        <f>IF(tbl_Clean[[#This Row],[Cars]]&lt;=1,"0-1 Cars","2+ Cars")</f>
        <v>0-1 Cars</v>
      </c>
      <c r="S468" s="20">
        <f>_xlfn.XMATCH(tbl_Clean[[#This Row],[Commute Distance]],{"0-1 Miles","1-2 Miles","2-5 Miles","5-10 Miles","10+ Miles"})</f>
        <v>1</v>
      </c>
      <c r="T468" s="20">
        <f>_xlfn.XMATCH(tbl_Clean[[#This Row],[Education]],{"Partial High School","High School","Partial College","Bachelors","Graduate Degree"})</f>
        <v>2</v>
      </c>
      <c r="U468" s="20">
        <f>IF(tbl_Clean[[#This Row],[Purchased Bike]]="Yes",1,0)</f>
        <v>0</v>
      </c>
    </row>
    <row r="469" spans="1:21" x14ac:dyDescent="0.25">
      <c r="A469" s="20">
        <v>17754</v>
      </c>
      <c r="B469" s="3" t="s">
        <v>114</v>
      </c>
      <c r="C469" s="3" t="s">
        <v>112</v>
      </c>
      <c r="D469" s="19">
        <v>30000</v>
      </c>
      <c r="E469" s="20">
        <v>3</v>
      </c>
      <c r="F469" s="3" t="s">
        <v>15</v>
      </c>
      <c r="G469" s="3" t="s">
        <v>22</v>
      </c>
      <c r="H469" s="3" t="s">
        <v>17</v>
      </c>
      <c r="I469" s="20">
        <v>0</v>
      </c>
      <c r="J469" s="3" t="s">
        <v>18</v>
      </c>
      <c r="K469" s="3" t="s">
        <v>19</v>
      </c>
      <c r="L469" s="20">
        <v>46</v>
      </c>
      <c r="M469" s="3" t="s">
        <v>17</v>
      </c>
      <c r="N469" s="20" t="str" cm="1">
        <f t="array" ref="N469">_xlfn.IFS(tbl_Clean[[#This Row],[Age]]&lt;=30,"25-30",tbl_Clean[[#This Row],[Age]]&lt;=40,"31-40",tbl_Clean[[#This Row],[Age]]&lt;=50,"41-50",tbl_Clean[[#This Row],[Age]]&lt;=60,"51-60",TRUE,"61+")</f>
        <v>41-50</v>
      </c>
      <c r="O469" s="20">
        <f>_xlfn.XMATCH(tbl_Clean[[#This Row],[Age Band]],{"25-30","31-40","41-50","51-60","61+"})</f>
        <v>3</v>
      </c>
      <c r="P469" s="20" t="str" cm="1">
        <f t="array" ref="P469">_xlfn.IFS(tbl_Clean[[#This Row],[Income]]&lt;=30000,"$10k-30k",tbl_Clean[[#This Row],[Income]]&lt;=60000,"$40k-60k",tbl_Clean[[#This Row],[Income]]&lt;=90000,"$70k-90k",TRUE,"$100k+")</f>
        <v>$10k-30k</v>
      </c>
      <c r="Q469" s="20">
        <f>_xlfn.XMATCH(tbl_Clean[[#This Row],[Income Band]],{"$10k-30k","$40k-60k","$70k-90k","$100k+"})</f>
        <v>1</v>
      </c>
      <c r="R469" s="20" t="str">
        <f>IF(tbl_Clean[[#This Row],[Cars]]&lt;=1,"0-1 Cars","2+ Cars")</f>
        <v>0-1 Cars</v>
      </c>
      <c r="S469" s="20">
        <f>_xlfn.XMATCH(tbl_Clean[[#This Row],[Commute Distance]],{"0-1 Miles","1-2 Miles","2-5 Miles","5-10 Miles","10+ Miles"})</f>
        <v>1</v>
      </c>
      <c r="T469" s="20">
        <f>_xlfn.XMATCH(tbl_Clean[[#This Row],[Education]],{"Partial High School","High School","Partial College","Bachelors","Graduate Degree"})</f>
        <v>4</v>
      </c>
      <c r="U469" s="20">
        <f>IF(tbl_Clean[[#This Row],[Purchased Bike]]="Yes",1,0)</f>
        <v>1</v>
      </c>
    </row>
    <row r="470" spans="1:21" x14ac:dyDescent="0.25">
      <c r="A470" s="20">
        <v>11149</v>
      </c>
      <c r="B470" s="3" t="s">
        <v>111</v>
      </c>
      <c r="C470" s="3" t="s">
        <v>113</v>
      </c>
      <c r="D470" s="19">
        <v>40000</v>
      </c>
      <c r="E470" s="20">
        <v>2</v>
      </c>
      <c r="F470" s="3" t="s">
        <v>15</v>
      </c>
      <c r="G470" s="3" t="s">
        <v>31</v>
      </c>
      <c r="H470" s="3" t="s">
        <v>17</v>
      </c>
      <c r="I470" s="20">
        <v>2</v>
      </c>
      <c r="J470" s="3" t="s">
        <v>18</v>
      </c>
      <c r="K470" s="3" t="s">
        <v>27</v>
      </c>
      <c r="L470" s="20">
        <v>65</v>
      </c>
      <c r="M470" s="3" t="s">
        <v>20</v>
      </c>
      <c r="N470" s="20" t="str" cm="1">
        <f t="array" ref="N470">_xlfn.IFS(tbl_Clean[[#This Row],[Age]]&lt;=30,"25-30",tbl_Clean[[#This Row],[Age]]&lt;=40,"31-40",tbl_Clean[[#This Row],[Age]]&lt;=50,"41-50",tbl_Clean[[#This Row],[Age]]&lt;=60,"51-60",TRUE,"61+")</f>
        <v>61+</v>
      </c>
      <c r="O470" s="20">
        <f>_xlfn.XMATCH(tbl_Clean[[#This Row],[Age Band]],{"25-30","31-40","41-50","51-60","61+"})</f>
        <v>5</v>
      </c>
      <c r="P470" s="20" t="str" cm="1">
        <f t="array" ref="P470">_xlfn.IFS(tbl_Clean[[#This Row],[Income]]&lt;=30000,"$10k-30k",tbl_Clean[[#This Row],[Income]]&lt;=60000,"$40k-60k",tbl_Clean[[#This Row],[Income]]&lt;=90000,"$70k-90k",TRUE,"$100k+")</f>
        <v>$40k-60k</v>
      </c>
      <c r="Q470" s="20">
        <f>_xlfn.XMATCH(tbl_Clean[[#This Row],[Income Band]],{"$10k-30k","$40k-60k","$70k-90k","$100k+"})</f>
        <v>2</v>
      </c>
      <c r="R470" s="20" t="str">
        <f>IF(tbl_Clean[[#This Row],[Cars]]&lt;=1,"0-1 Cars","2+ Cars")</f>
        <v>2+ Cars</v>
      </c>
      <c r="S470" s="20">
        <f>_xlfn.XMATCH(tbl_Clean[[#This Row],[Commute Distance]],{"0-1 Miles","1-2 Miles","2-5 Miles","5-10 Miles","10+ Miles"})</f>
        <v>1</v>
      </c>
      <c r="T470" s="20">
        <f>_xlfn.XMATCH(tbl_Clean[[#This Row],[Education]],{"Partial High School","High School","Partial College","Bachelors","Graduate Degree"})</f>
        <v>4</v>
      </c>
      <c r="U470" s="20">
        <f>IF(tbl_Clean[[#This Row],[Purchased Bike]]="Yes",1,0)</f>
        <v>0</v>
      </c>
    </row>
    <row r="471" spans="1:21" x14ac:dyDescent="0.25">
      <c r="A471" s="20">
        <v>16549</v>
      </c>
      <c r="B471" s="3" t="s">
        <v>114</v>
      </c>
      <c r="C471" s="3" t="s">
        <v>112</v>
      </c>
      <c r="D471" s="19">
        <v>30000</v>
      </c>
      <c r="E471" s="20">
        <v>3</v>
      </c>
      <c r="F471" s="3" t="s">
        <v>15</v>
      </c>
      <c r="G471" s="3" t="s">
        <v>22</v>
      </c>
      <c r="H471" s="3" t="s">
        <v>17</v>
      </c>
      <c r="I471" s="20">
        <v>0</v>
      </c>
      <c r="J471" s="3" t="s">
        <v>18</v>
      </c>
      <c r="K471" s="3" t="s">
        <v>19</v>
      </c>
      <c r="L471" s="20">
        <v>47</v>
      </c>
      <c r="M471" s="3" t="s">
        <v>17</v>
      </c>
      <c r="N471" s="20" t="str" cm="1">
        <f t="array" ref="N471">_xlfn.IFS(tbl_Clean[[#This Row],[Age]]&lt;=30,"25-30",tbl_Clean[[#This Row],[Age]]&lt;=40,"31-40",tbl_Clean[[#This Row],[Age]]&lt;=50,"41-50",tbl_Clean[[#This Row],[Age]]&lt;=60,"51-60",TRUE,"61+")</f>
        <v>41-50</v>
      </c>
      <c r="O471" s="20">
        <f>_xlfn.XMATCH(tbl_Clean[[#This Row],[Age Band]],{"25-30","31-40","41-50","51-60","61+"})</f>
        <v>3</v>
      </c>
      <c r="P471" s="20" t="str" cm="1">
        <f t="array" ref="P471">_xlfn.IFS(tbl_Clean[[#This Row],[Income]]&lt;=30000,"$10k-30k",tbl_Clean[[#This Row],[Income]]&lt;=60000,"$40k-60k",tbl_Clean[[#This Row],[Income]]&lt;=90000,"$70k-90k",TRUE,"$100k+")</f>
        <v>$10k-30k</v>
      </c>
      <c r="Q471" s="20">
        <f>_xlfn.XMATCH(tbl_Clean[[#This Row],[Income Band]],{"$10k-30k","$40k-60k","$70k-90k","$100k+"})</f>
        <v>1</v>
      </c>
      <c r="R471" s="20" t="str">
        <f>IF(tbl_Clean[[#This Row],[Cars]]&lt;=1,"0-1 Cars","2+ Cars")</f>
        <v>0-1 Cars</v>
      </c>
      <c r="S471" s="20">
        <f>_xlfn.XMATCH(tbl_Clean[[#This Row],[Commute Distance]],{"0-1 Miles","1-2 Miles","2-5 Miles","5-10 Miles","10+ Miles"})</f>
        <v>1</v>
      </c>
      <c r="T471" s="20">
        <f>_xlfn.XMATCH(tbl_Clean[[#This Row],[Education]],{"Partial High School","High School","Partial College","Bachelors","Graduate Degree"})</f>
        <v>4</v>
      </c>
      <c r="U471" s="20">
        <f>IF(tbl_Clean[[#This Row],[Purchased Bike]]="Yes",1,0)</f>
        <v>1</v>
      </c>
    </row>
    <row r="472" spans="1:21" x14ac:dyDescent="0.25">
      <c r="A472" s="20">
        <v>24305</v>
      </c>
      <c r="B472" s="3" t="s">
        <v>114</v>
      </c>
      <c r="C472" s="3" t="s">
        <v>113</v>
      </c>
      <c r="D472" s="19">
        <v>100000</v>
      </c>
      <c r="E472" s="20">
        <v>1</v>
      </c>
      <c r="F472" s="3" t="s">
        <v>15</v>
      </c>
      <c r="G472" s="3" t="s">
        <v>31</v>
      </c>
      <c r="H472" s="3" t="s">
        <v>20</v>
      </c>
      <c r="I472" s="20">
        <v>3</v>
      </c>
      <c r="J472" s="3" t="s">
        <v>18</v>
      </c>
      <c r="K472" s="3" t="s">
        <v>27</v>
      </c>
      <c r="L472" s="20">
        <v>46</v>
      </c>
      <c r="M472" s="3" t="s">
        <v>17</v>
      </c>
      <c r="N472" s="20" t="str" cm="1">
        <f t="array" ref="N472">_xlfn.IFS(tbl_Clean[[#This Row],[Age]]&lt;=30,"25-30",tbl_Clean[[#This Row],[Age]]&lt;=40,"31-40",tbl_Clean[[#This Row],[Age]]&lt;=50,"41-50",tbl_Clean[[#This Row],[Age]]&lt;=60,"51-60",TRUE,"61+")</f>
        <v>41-50</v>
      </c>
      <c r="O472" s="20">
        <f>_xlfn.XMATCH(tbl_Clean[[#This Row],[Age Band]],{"25-30","31-40","41-50","51-60","61+"})</f>
        <v>3</v>
      </c>
      <c r="P472" s="20" t="str" cm="1">
        <f t="array" ref="P472">_xlfn.IFS(tbl_Clean[[#This Row],[Income]]&lt;=30000,"$10k-30k",tbl_Clean[[#This Row],[Income]]&lt;=60000,"$40k-60k",tbl_Clean[[#This Row],[Income]]&lt;=90000,"$70k-90k",TRUE,"$100k+")</f>
        <v>$100k+</v>
      </c>
      <c r="Q472" s="20">
        <f>_xlfn.XMATCH(tbl_Clean[[#This Row],[Income Band]],{"$10k-30k","$40k-60k","$70k-90k","$100k+"})</f>
        <v>4</v>
      </c>
      <c r="R472" s="20" t="str">
        <f>IF(tbl_Clean[[#This Row],[Cars]]&lt;=1,"0-1 Cars","2+ Cars")</f>
        <v>2+ Cars</v>
      </c>
      <c r="S472" s="20">
        <f>_xlfn.XMATCH(tbl_Clean[[#This Row],[Commute Distance]],{"0-1 Miles","1-2 Miles","2-5 Miles","5-10 Miles","10+ Miles"})</f>
        <v>1</v>
      </c>
      <c r="T472" s="20">
        <f>_xlfn.XMATCH(tbl_Clean[[#This Row],[Education]],{"Partial High School","High School","Partial College","Bachelors","Graduate Degree"})</f>
        <v>4</v>
      </c>
      <c r="U472" s="20">
        <f>IF(tbl_Clean[[#This Row],[Purchased Bike]]="Yes",1,0)</f>
        <v>1</v>
      </c>
    </row>
    <row r="473" spans="1:21" x14ac:dyDescent="0.25">
      <c r="A473" s="20">
        <v>18253</v>
      </c>
      <c r="B473" s="3" t="s">
        <v>111</v>
      </c>
      <c r="C473" s="3" t="s">
        <v>112</v>
      </c>
      <c r="D473" s="19">
        <v>80000</v>
      </c>
      <c r="E473" s="20">
        <v>5</v>
      </c>
      <c r="F473" s="3" t="s">
        <v>34</v>
      </c>
      <c r="G473" s="3" t="s">
        <v>31</v>
      </c>
      <c r="H473" s="3" t="s">
        <v>17</v>
      </c>
      <c r="I473" s="20">
        <v>3</v>
      </c>
      <c r="J473" s="3" t="s">
        <v>18</v>
      </c>
      <c r="K473" s="3" t="s">
        <v>27</v>
      </c>
      <c r="L473" s="20">
        <v>40</v>
      </c>
      <c r="M473" s="3" t="s">
        <v>20</v>
      </c>
      <c r="N473" s="20" t="str" cm="1">
        <f t="array" ref="N473">_xlfn.IFS(tbl_Clean[[#This Row],[Age]]&lt;=30,"25-30",tbl_Clean[[#This Row],[Age]]&lt;=40,"31-40",tbl_Clean[[#This Row],[Age]]&lt;=50,"41-50",tbl_Clean[[#This Row],[Age]]&lt;=60,"51-60",TRUE,"61+")</f>
        <v>31-40</v>
      </c>
      <c r="O473" s="20">
        <f>_xlfn.XMATCH(tbl_Clean[[#This Row],[Age Band]],{"25-30","31-40","41-50","51-60","61+"})</f>
        <v>2</v>
      </c>
      <c r="P473" s="20" t="str" cm="1">
        <f t="array" ref="P473">_xlfn.IFS(tbl_Clean[[#This Row],[Income]]&lt;=30000,"$10k-30k",tbl_Clean[[#This Row],[Income]]&lt;=60000,"$40k-60k",tbl_Clean[[#This Row],[Income]]&lt;=90000,"$70k-90k",TRUE,"$100k+")</f>
        <v>$70k-90k</v>
      </c>
      <c r="Q473" s="20">
        <f>_xlfn.XMATCH(tbl_Clean[[#This Row],[Income Band]],{"$10k-30k","$40k-60k","$70k-90k","$100k+"})</f>
        <v>3</v>
      </c>
      <c r="R473" s="20" t="str">
        <f>IF(tbl_Clean[[#This Row],[Cars]]&lt;=1,"0-1 Cars","2+ Cars")</f>
        <v>2+ Cars</v>
      </c>
      <c r="S473" s="20">
        <f>_xlfn.XMATCH(tbl_Clean[[#This Row],[Commute Distance]],{"0-1 Miles","1-2 Miles","2-5 Miles","5-10 Miles","10+ Miles"})</f>
        <v>1</v>
      </c>
      <c r="T473" s="20">
        <f>_xlfn.XMATCH(tbl_Clean[[#This Row],[Education]],{"Partial High School","High School","Partial College","Bachelors","Graduate Degree"})</f>
        <v>5</v>
      </c>
      <c r="U473" s="20">
        <f>IF(tbl_Clean[[#This Row],[Purchased Bike]]="Yes",1,0)</f>
        <v>0</v>
      </c>
    </row>
    <row r="474" spans="1:21" x14ac:dyDescent="0.25">
      <c r="A474" s="20">
        <v>20147</v>
      </c>
      <c r="B474" s="3" t="s">
        <v>111</v>
      </c>
      <c r="C474" s="3" t="s">
        <v>112</v>
      </c>
      <c r="D474" s="19">
        <v>30000</v>
      </c>
      <c r="E474" s="20">
        <v>1</v>
      </c>
      <c r="F474" s="3" t="s">
        <v>15</v>
      </c>
      <c r="G474" s="3" t="s">
        <v>22</v>
      </c>
      <c r="H474" s="3" t="s">
        <v>17</v>
      </c>
      <c r="I474" s="20">
        <v>0</v>
      </c>
      <c r="J474" s="3" t="s">
        <v>18</v>
      </c>
      <c r="K474" s="3" t="s">
        <v>19</v>
      </c>
      <c r="L474" s="20">
        <v>65</v>
      </c>
      <c r="M474" s="3" t="s">
        <v>20</v>
      </c>
      <c r="N474" s="20" t="str" cm="1">
        <f t="array" ref="N474">_xlfn.IFS(tbl_Clean[[#This Row],[Age]]&lt;=30,"25-30",tbl_Clean[[#This Row],[Age]]&lt;=40,"31-40",tbl_Clean[[#This Row],[Age]]&lt;=50,"41-50",tbl_Clean[[#This Row],[Age]]&lt;=60,"51-60",TRUE,"61+")</f>
        <v>61+</v>
      </c>
      <c r="O474" s="20">
        <f>_xlfn.XMATCH(tbl_Clean[[#This Row],[Age Band]],{"25-30","31-40","41-50","51-60","61+"})</f>
        <v>5</v>
      </c>
      <c r="P474" s="20" t="str" cm="1">
        <f t="array" ref="P474">_xlfn.IFS(tbl_Clean[[#This Row],[Income]]&lt;=30000,"$10k-30k",tbl_Clean[[#This Row],[Income]]&lt;=60000,"$40k-60k",tbl_Clean[[#This Row],[Income]]&lt;=90000,"$70k-90k",TRUE,"$100k+")</f>
        <v>$10k-30k</v>
      </c>
      <c r="Q474" s="20">
        <f>_xlfn.XMATCH(tbl_Clean[[#This Row],[Income Band]],{"$10k-30k","$40k-60k","$70k-90k","$100k+"})</f>
        <v>1</v>
      </c>
      <c r="R474" s="20" t="str">
        <f>IF(tbl_Clean[[#This Row],[Cars]]&lt;=1,"0-1 Cars","2+ Cars")</f>
        <v>0-1 Cars</v>
      </c>
      <c r="S474" s="20">
        <f>_xlfn.XMATCH(tbl_Clean[[#This Row],[Commute Distance]],{"0-1 Miles","1-2 Miles","2-5 Miles","5-10 Miles","10+ Miles"})</f>
        <v>1</v>
      </c>
      <c r="T474" s="20">
        <f>_xlfn.XMATCH(tbl_Clean[[#This Row],[Education]],{"Partial High School","High School","Partial College","Bachelors","Graduate Degree"})</f>
        <v>4</v>
      </c>
      <c r="U474" s="20">
        <f>IF(tbl_Clean[[#This Row],[Purchased Bike]]="Yes",1,0)</f>
        <v>0</v>
      </c>
    </row>
    <row r="475" spans="1:21" x14ac:dyDescent="0.25">
      <c r="A475" s="20">
        <v>15612</v>
      </c>
      <c r="B475" s="3" t="s">
        <v>114</v>
      </c>
      <c r="C475" s="3" t="s">
        <v>113</v>
      </c>
      <c r="D475" s="19">
        <v>30000</v>
      </c>
      <c r="E475" s="20">
        <v>0</v>
      </c>
      <c r="F475" s="3" t="s">
        <v>30</v>
      </c>
      <c r="G475" s="3" t="s">
        <v>28</v>
      </c>
      <c r="H475" s="3" t="s">
        <v>20</v>
      </c>
      <c r="I475" s="20">
        <v>1</v>
      </c>
      <c r="J475" s="3" t="s">
        <v>29</v>
      </c>
      <c r="K475" s="3" t="s">
        <v>19</v>
      </c>
      <c r="L475" s="20">
        <v>28</v>
      </c>
      <c r="M475" s="3" t="s">
        <v>20</v>
      </c>
      <c r="N475" s="20" t="str" cm="1">
        <f t="array" ref="N475">_xlfn.IFS(tbl_Clean[[#This Row],[Age]]&lt;=30,"25-30",tbl_Clean[[#This Row],[Age]]&lt;=40,"31-40",tbl_Clean[[#This Row],[Age]]&lt;=50,"41-50",tbl_Clean[[#This Row],[Age]]&lt;=60,"51-60",TRUE,"61+")</f>
        <v>25-30</v>
      </c>
      <c r="O475" s="20">
        <f>_xlfn.XMATCH(tbl_Clean[[#This Row],[Age Band]],{"25-30","31-40","41-50","51-60","61+"})</f>
        <v>1</v>
      </c>
      <c r="P475" s="20" t="str" cm="1">
        <f t="array" ref="P475">_xlfn.IFS(tbl_Clean[[#This Row],[Income]]&lt;=30000,"$10k-30k",tbl_Clean[[#This Row],[Income]]&lt;=60000,"$40k-60k",tbl_Clean[[#This Row],[Income]]&lt;=90000,"$70k-90k",TRUE,"$100k+")</f>
        <v>$10k-30k</v>
      </c>
      <c r="Q475" s="20">
        <f>_xlfn.XMATCH(tbl_Clean[[#This Row],[Income Band]],{"$10k-30k","$40k-60k","$70k-90k","$100k+"})</f>
        <v>1</v>
      </c>
      <c r="R475" s="20" t="str">
        <f>IF(tbl_Clean[[#This Row],[Cars]]&lt;=1,"0-1 Cars","2+ Cars")</f>
        <v>0-1 Cars</v>
      </c>
      <c r="S475" s="20">
        <f>_xlfn.XMATCH(tbl_Clean[[#This Row],[Commute Distance]],{"0-1 Miles","1-2 Miles","2-5 Miles","5-10 Miles","10+ Miles"})</f>
        <v>2</v>
      </c>
      <c r="T475" s="20">
        <f>_xlfn.XMATCH(tbl_Clean[[#This Row],[Education]],{"Partial High School","High School","Partial College","Bachelors","Graduate Degree"})</f>
        <v>2</v>
      </c>
      <c r="U475" s="20">
        <f>IF(tbl_Clean[[#This Row],[Purchased Bike]]="Yes",1,0)</f>
        <v>0</v>
      </c>
    </row>
    <row r="476" spans="1:21" x14ac:dyDescent="0.25">
      <c r="A476" s="20">
        <v>28323</v>
      </c>
      <c r="B476" s="3" t="s">
        <v>114</v>
      </c>
      <c r="C476" s="3" t="s">
        <v>113</v>
      </c>
      <c r="D476" s="19">
        <v>70000</v>
      </c>
      <c r="E476" s="20">
        <v>0</v>
      </c>
      <c r="F476" s="3" t="s">
        <v>15</v>
      </c>
      <c r="G476" s="3" t="s">
        <v>23</v>
      </c>
      <c r="H476" s="3" t="s">
        <v>20</v>
      </c>
      <c r="I476" s="20">
        <v>2</v>
      </c>
      <c r="J476" s="3" t="s">
        <v>26</v>
      </c>
      <c r="K476" s="3" t="s">
        <v>27</v>
      </c>
      <c r="L476" s="20">
        <v>43</v>
      </c>
      <c r="M476" s="3" t="s">
        <v>17</v>
      </c>
      <c r="N476" s="20" t="str" cm="1">
        <f t="array" ref="N476">_xlfn.IFS(tbl_Clean[[#This Row],[Age]]&lt;=30,"25-30",tbl_Clean[[#This Row],[Age]]&lt;=40,"31-40",tbl_Clean[[#This Row],[Age]]&lt;=50,"41-50",tbl_Clean[[#This Row],[Age]]&lt;=60,"51-60",TRUE,"61+")</f>
        <v>41-50</v>
      </c>
      <c r="O476" s="20">
        <f>_xlfn.XMATCH(tbl_Clean[[#This Row],[Age Band]],{"25-30","31-40","41-50","51-60","61+"})</f>
        <v>3</v>
      </c>
      <c r="P476" s="20" t="str" cm="1">
        <f t="array" ref="P476">_xlfn.IFS(tbl_Clean[[#This Row],[Income]]&lt;=30000,"$10k-30k",tbl_Clean[[#This Row],[Income]]&lt;=60000,"$40k-60k",tbl_Clean[[#This Row],[Income]]&lt;=90000,"$70k-90k",TRUE,"$100k+")</f>
        <v>$70k-90k</v>
      </c>
      <c r="Q476" s="20">
        <f>_xlfn.XMATCH(tbl_Clean[[#This Row],[Income Band]],{"$10k-30k","$40k-60k","$70k-90k","$100k+"})</f>
        <v>3</v>
      </c>
      <c r="R476" s="20" t="str">
        <f>IF(tbl_Clean[[#This Row],[Cars]]&lt;=1,"0-1 Cars","2+ Cars")</f>
        <v>2+ Cars</v>
      </c>
      <c r="S476" s="20">
        <f>_xlfn.XMATCH(tbl_Clean[[#This Row],[Commute Distance]],{"0-1 Miles","1-2 Miles","2-5 Miles","5-10 Miles","10+ Miles"})</f>
        <v>4</v>
      </c>
      <c r="T476" s="20">
        <f>_xlfn.XMATCH(tbl_Clean[[#This Row],[Education]],{"Partial High School","High School","Partial College","Bachelors","Graduate Degree"})</f>
        <v>4</v>
      </c>
      <c r="U476" s="20">
        <f>IF(tbl_Clean[[#This Row],[Purchased Bike]]="Yes",1,0)</f>
        <v>1</v>
      </c>
    </row>
    <row r="477" spans="1:21" x14ac:dyDescent="0.25">
      <c r="A477" s="20">
        <v>22634</v>
      </c>
      <c r="B477" s="3" t="s">
        <v>114</v>
      </c>
      <c r="C477" s="3" t="s">
        <v>112</v>
      </c>
      <c r="D477" s="19">
        <v>40000</v>
      </c>
      <c r="E477" s="20">
        <v>0</v>
      </c>
      <c r="F477" s="3" t="s">
        <v>34</v>
      </c>
      <c r="G477" s="3" t="s">
        <v>22</v>
      </c>
      <c r="H477" s="3" t="s">
        <v>17</v>
      </c>
      <c r="I477" s="20">
        <v>0</v>
      </c>
      <c r="J477" s="3" t="s">
        <v>18</v>
      </c>
      <c r="K477" s="3" t="s">
        <v>19</v>
      </c>
      <c r="L477" s="20">
        <v>38</v>
      </c>
      <c r="M477" s="3" t="s">
        <v>17</v>
      </c>
      <c r="N477" s="20" t="str" cm="1">
        <f t="array" ref="N477">_xlfn.IFS(tbl_Clean[[#This Row],[Age]]&lt;=30,"25-30",tbl_Clean[[#This Row],[Age]]&lt;=40,"31-40",tbl_Clean[[#This Row],[Age]]&lt;=50,"41-50",tbl_Clean[[#This Row],[Age]]&lt;=60,"51-60",TRUE,"61+")</f>
        <v>31-40</v>
      </c>
      <c r="O477" s="20">
        <f>_xlfn.XMATCH(tbl_Clean[[#This Row],[Age Band]],{"25-30","31-40","41-50","51-60","61+"})</f>
        <v>2</v>
      </c>
      <c r="P477" s="20" t="str" cm="1">
        <f t="array" ref="P477">_xlfn.IFS(tbl_Clean[[#This Row],[Income]]&lt;=30000,"$10k-30k",tbl_Clean[[#This Row],[Income]]&lt;=60000,"$40k-60k",tbl_Clean[[#This Row],[Income]]&lt;=90000,"$70k-90k",TRUE,"$100k+")</f>
        <v>$40k-60k</v>
      </c>
      <c r="Q477" s="20">
        <f>_xlfn.XMATCH(tbl_Clean[[#This Row],[Income Band]],{"$10k-30k","$40k-60k","$70k-90k","$100k+"})</f>
        <v>2</v>
      </c>
      <c r="R477" s="20" t="str">
        <f>IF(tbl_Clean[[#This Row],[Cars]]&lt;=1,"0-1 Cars","2+ Cars")</f>
        <v>0-1 Cars</v>
      </c>
      <c r="S477" s="20">
        <f>_xlfn.XMATCH(tbl_Clean[[#This Row],[Commute Distance]],{"0-1 Miles","1-2 Miles","2-5 Miles","5-10 Miles","10+ Miles"})</f>
        <v>1</v>
      </c>
      <c r="T477" s="20">
        <f>_xlfn.XMATCH(tbl_Clean[[#This Row],[Education]],{"Partial High School","High School","Partial College","Bachelors","Graduate Degree"})</f>
        <v>5</v>
      </c>
      <c r="U477" s="20">
        <f>IF(tbl_Clean[[#This Row],[Purchased Bike]]="Yes",1,0)</f>
        <v>1</v>
      </c>
    </row>
    <row r="478" spans="1:21" x14ac:dyDescent="0.25">
      <c r="A478" s="20">
        <v>15665</v>
      </c>
      <c r="B478" s="3" t="s">
        <v>111</v>
      </c>
      <c r="C478" s="3" t="s">
        <v>112</v>
      </c>
      <c r="D478" s="19">
        <v>30000</v>
      </c>
      <c r="E478" s="20">
        <v>0</v>
      </c>
      <c r="F478" s="3" t="s">
        <v>15</v>
      </c>
      <c r="G478" s="3" t="s">
        <v>22</v>
      </c>
      <c r="H478" s="3" t="s">
        <v>17</v>
      </c>
      <c r="I478" s="20">
        <v>0</v>
      </c>
      <c r="J478" s="3" t="s">
        <v>18</v>
      </c>
      <c r="K478" s="3" t="s">
        <v>19</v>
      </c>
      <c r="L478" s="20">
        <v>47</v>
      </c>
      <c r="M478" s="3" t="s">
        <v>17</v>
      </c>
      <c r="N478" s="20" t="str" cm="1">
        <f t="array" ref="N478">_xlfn.IFS(tbl_Clean[[#This Row],[Age]]&lt;=30,"25-30",tbl_Clean[[#This Row],[Age]]&lt;=40,"31-40",tbl_Clean[[#This Row],[Age]]&lt;=50,"41-50",tbl_Clean[[#This Row],[Age]]&lt;=60,"51-60",TRUE,"61+")</f>
        <v>41-50</v>
      </c>
      <c r="O478" s="20">
        <f>_xlfn.XMATCH(tbl_Clean[[#This Row],[Age Band]],{"25-30","31-40","41-50","51-60","61+"})</f>
        <v>3</v>
      </c>
      <c r="P478" s="20" t="str" cm="1">
        <f t="array" ref="P478">_xlfn.IFS(tbl_Clean[[#This Row],[Income]]&lt;=30000,"$10k-30k",tbl_Clean[[#This Row],[Income]]&lt;=60000,"$40k-60k",tbl_Clean[[#This Row],[Income]]&lt;=90000,"$70k-90k",TRUE,"$100k+")</f>
        <v>$10k-30k</v>
      </c>
      <c r="Q478" s="20">
        <f>_xlfn.XMATCH(tbl_Clean[[#This Row],[Income Band]],{"$10k-30k","$40k-60k","$70k-90k","$100k+"})</f>
        <v>1</v>
      </c>
      <c r="R478" s="20" t="str">
        <f>IF(tbl_Clean[[#This Row],[Cars]]&lt;=1,"0-1 Cars","2+ Cars")</f>
        <v>0-1 Cars</v>
      </c>
      <c r="S478" s="20">
        <f>_xlfn.XMATCH(tbl_Clean[[#This Row],[Commute Distance]],{"0-1 Miles","1-2 Miles","2-5 Miles","5-10 Miles","10+ Miles"})</f>
        <v>1</v>
      </c>
      <c r="T478" s="20">
        <f>_xlfn.XMATCH(tbl_Clean[[#This Row],[Education]],{"Partial High School","High School","Partial College","Bachelors","Graduate Degree"})</f>
        <v>4</v>
      </c>
      <c r="U478" s="20">
        <f>IF(tbl_Clean[[#This Row],[Purchased Bike]]="Yes",1,0)</f>
        <v>1</v>
      </c>
    </row>
    <row r="479" spans="1:21" x14ac:dyDescent="0.25">
      <c r="A479" s="20">
        <v>27585</v>
      </c>
      <c r="B479" s="3" t="s">
        <v>111</v>
      </c>
      <c r="C479" s="3" t="s">
        <v>112</v>
      </c>
      <c r="D479" s="19">
        <v>90000</v>
      </c>
      <c r="E479" s="20">
        <v>2</v>
      </c>
      <c r="F479" s="3" t="s">
        <v>15</v>
      </c>
      <c r="G479" s="3" t="s">
        <v>23</v>
      </c>
      <c r="H479" s="3" t="s">
        <v>20</v>
      </c>
      <c r="I479" s="20">
        <v>0</v>
      </c>
      <c r="J479" s="3" t="s">
        <v>18</v>
      </c>
      <c r="K479" s="3" t="s">
        <v>27</v>
      </c>
      <c r="L479" s="20">
        <v>36</v>
      </c>
      <c r="M479" s="3" t="s">
        <v>17</v>
      </c>
      <c r="N479" s="20" t="str" cm="1">
        <f t="array" ref="N479">_xlfn.IFS(tbl_Clean[[#This Row],[Age]]&lt;=30,"25-30",tbl_Clean[[#This Row],[Age]]&lt;=40,"31-40",tbl_Clean[[#This Row],[Age]]&lt;=50,"41-50",tbl_Clean[[#This Row],[Age]]&lt;=60,"51-60",TRUE,"61+")</f>
        <v>31-40</v>
      </c>
      <c r="O479" s="20">
        <f>_xlfn.XMATCH(tbl_Clean[[#This Row],[Age Band]],{"25-30","31-40","41-50","51-60","61+"})</f>
        <v>2</v>
      </c>
      <c r="P479" s="20" t="str" cm="1">
        <f t="array" ref="P479">_xlfn.IFS(tbl_Clean[[#This Row],[Income]]&lt;=30000,"$10k-30k",tbl_Clean[[#This Row],[Income]]&lt;=60000,"$40k-60k",tbl_Clean[[#This Row],[Income]]&lt;=90000,"$70k-90k",TRUE,"$100k+")</f>
        <v>$70k-90k</v>
      </c>
      <c r="Q479" s="20">
        <f>_xlfn.XMATCH(tbl_Clean[[#This Row],[Income Band]],{"$10k-30k","$40k-60k","$70k-90k","$100k+"})</f>
        <v>3</v>
      </c>
      <c r="R479" s="20" t="str">
        <f>IF(tbl_Clean[[#This Row],[Cars]]&lt;=1,"0-1 Cars","2+ Cars")</f>
        <v>0-1 Cars</v>
      </c>
      <c r="S479" s="20">
        <f>_xlfn.XMATCH(tbl_Clean[[#This Row],[Commute Distance]],{"0-1 Miles","1-2 Miles","2-5 Miles","5-10 Miles","10+ Miles"})</f>
        <v>1</v>
      </c>
      <c r="T479" s="20">
        <f>_xlfn.XMATCH(tbl_Clean[[#This Row],[Education]],{"Partial High School","High School","Partial College","Bachelors","Graduate Degree"})</f>
        <v>4</v>
      </c>
      <c r="U479" s="20">
        <f>IF(tbl_Clean[[#This Row],[Purchased Bike]]="Yes",1,0)</f>
        <v>1</v>
      </c>
    </row>
    <row r="480" spans="1:21" x14ac:dyDescent="0.25">
      <c r="A480" s="20">
        <v>19748</v>
      </c>
      <c r="B480" s="3" t="s">
        <v>111</v>
      </c>
      <c r="C480" s="3" t="s">
        <v>113</v>
      </c>
      <c r="D480" s="19">
        <v>20000</v>
      </c>
      <c r="E480" s="20">
        <v>4</v>
      </c>
      <c r="F480" s="3" t="s">
        <v>30</v>
      </c>
      <c r="G480" s="3" t="s">
        <v>16</v>
      </c>
      <c r="H480" s="3" t="s">
        <v>20</v>
      </c>
      <c r="I480" s="20">
        <v>2</v>
      </c>
      <c r="J480" s="3" t="s">
        <v>29</v>
      </c>
      <c r="K480" s="3" t="s">
        <v>27</v>
      </c>
      <c r="L480" s="20">
        <v>60</v>
      </c>
      <c r="M480" s="3" t="s">
        <v>20</v>
      </c>
      <c r="N480" s="20" t="str" cm="1">
        <f t="array" ref="N480">_xlfn.IFS(tbl_Clean[[#This Row],[Age]]&lt;=30,"25-30",tbl_Clean[[#This Row],[Age]]&lt;=40,"31-40",tbl_Clean[[#This Row],[Age]]&lt;=50,"41-50",tbl_Clean[[#This Row],[Age]]&lt;=60,"51-60",TRUE,"61+")</f>
        <v>51-60</v>
      </c>
      <c r="O480" s="20">
        <f>_xlfn.XMATCH(tbl_Clean[[#This Row],[Age Band]],{"25-30","31-40","41-50","51-60","61+"})</f>
        <v>4</v>
      </c>
      <c r="P480" s="20" t="str" cm="1">
        <f t="array" ref="P480">_xlfn.IFS(tbl_Clean[[#This Row],[Income]]&lt;=30000,"$10k-30k",tbl_Clean[[#This Row],[Income]]&lt;=60000,"$40k-60k",tbl_Clean[[#This Row],[Income]]&lt;=90000,"$70k-90k",TRUE,"$100k+")</f>
        <v>$10k-30k</v>
      </c>
      <c r="Q480" s="20">
        <f>_xlfn.XMATCH(tbl_Clean[[#This Row],[Income Band]],{"$10k-30k","$40k-60k","$70k-90k","$100k+"})</f>
        <v>1</v>
      </c>
      <c r="R480" s="20" t="str">
        <f>IF(tbl_Clean[[#This Row],[Cars]]&lt;=1,"0-1 Cars","2+ Cars")</f>
        <v>2+ Cars</v>
      </c>
      <c r="S480" s="20">
        <f>_xlfn.XMATCH(tbl_Clean[[#This Row],[Commute Distance]],{"0-1 Miles","1-2 Miles","2-5 Miles","5-10 Miles","10+ Miles"})</f>
        <v>2</v>
      </c>
      <c r="T480" s="20">
        <f>_xlfn.XMATCH(tbl_Clean[[#This Row],[Education]],{"Partial High School","High School","Partial College","Bachelors","Graduate Degree"})</f>
        <v>2</v>
      </c>
      <c r="U480" s="20">
        <f>IF(tbl_Clean[[#This Row],[Purchased Bike]]="Yes",1,0)</f>
        <v>0</v>
      </c>
    </row>
    <row r="481" spans="1:21" x14ac:dyDescent="0.25">
      <c r="A481" s="20">
        <v>21974</v>
      </c>
      <c r="B481" s="3" t="s">
        <v>114</v>
      </c>
      <c r="C481" s="3" t="s">
        <v>112</v>
      </c>
      <c r="D481" s="19">
        <v>70000</v>
      </c>
      <c r="E481" s="20">
        <v>0</v>
      </c>
      <c r="F481" s="3" t="s">
        <v>15</v>
      </c>
      <c r="G481" s="3" t="s">
        <v>23</v>
      </c>
      <c r="H481" s="3" t="s">
        <v>17</v>
      </c>
      <c r="I481" s="20">
        <v>1</v>
      </c>
      <c r="J481" s="3" t="s">
        <v>26</v>
      </c>
      <c r="K481" s="3" t="s">
        <v>27</v>
      </c>
      <c r="L481" s="20">
        <v>42</v>
      </c>
      <c r="M481" s="3" t="s">
        <v>17</v>
      </c>
      <c r="N481" s="20" t="str" cm="1">
        <f t="array" ref="N481">_xlfn.IFS(tbl_Clean[[#This Row],[Age]]&lt;=30,"25-30",tbl_Clean[[#This Row],[Age]]&lt;=40,"31-40",tbl_Clean[[#This Row],[Age]]&lt;=50,"41-50",tbl_Clean[[#This Row],[Age]]&lt;=60,"51-60",TRUE,"61+")</f>
        <v>41-50</v>
      </c>
      <c r="O481" s="20">
        <f>_xlfn.XMATCH(tbl_Clean[[#This Row],[Age Band]],{"25-30","31-40","41-50","51-60","61+"})</f>
        <v>3</v>
      </c>
      <c r="P481" s="20" t="str" cm="1">
        <f t="array" ref="P481">_xlfn.IFS(tbl_Clean[[#This Row],[Income]]&lt;=30000,"$10k-30k",tbl_Clean[[#This Row],[Income]]&lt;=60000,"$40k-60k",tbl_Clean[[#This Row],[Income]]&lt;=90000,"$70k-90k",TRUE,"$100k+")</f>
        <v>$70k-90k</v>
      </c>
      <c r="Q481" s="20">
        <f>_xlfn.XMATCH(tbl_Clean[[#This Row],[Income Band]],{"$10k-30k","$40k-60k","$70k-90k","$100k+"})</f>
        <v>3</v>
      </c>
      <c r="R481" s="20" t="str">
        <f>IF(tbl_Clean[[#This Row],[Cars]]&lt;=1,"0-1 Cars","2+ Cars")</f>
        <v>0-1 Cars</v>
      </c>
      <c r="S481" s="20">
        <f>_xlfn.XMATCH(tbl_Clean[[#This Row],[Commute Distance]],{"0-1 Miles","1-2 Miles","2-5 Miles","5-10 Miles","10+ Miles"})</f>
        <v>4</v>
      </c>
      <c r="T481" s="20">
        <f>_xlfn.XMATCH(tbl_Clean[[#This Row],[Education]],{"Partial High School","High School","Partial College","Bachelors","Graduate Degree"})</f>
        <v>4</v>
      </c>
      <c r="U481" s="20">
        <f>IF(tbl_Clean[[#This Row],[Purchased Bike]]="Yes",1,0)</f>
        <v>1</v>
      </c>
    </row>
    <row r="482" spans="1:21" x14ac:dyDescent="0.25">
      <c r="A482" s="20">
        <v>14032</v>
      </c>
      <c r="B482" s="3" t="s">
        <v>111</v>
      </c>
      <c r="C482" s="3" t="s">
        <v>113</v>
      </c>
      <c r="D482" s="19">
        <v>70000</v>
      </c>
      <c r="E482" s="20">
        <v>2</v>
      </c>
      <c r="F482" s="3" t="s">
        <v>30</v>
      </c>
      <c r="G482" s="3" t="s">
        <v>16</v>
      </c>
      <c r="H482" s="3" t="s">
        <v>20</v>
      </c>
      <c r="I482" s="20">
        <v>2</v>
      </c>
      <c r="J482" s="3" t="s">
        <v>29</v>
      </c>
      <c r="K482" s="3" t="s">
        <v>27</v>
      </c>
      <c r="L482" s="20">
        <v>50</v>
      </c>
      <c r="M482" s="3" t="s">
        <v>17</v>
      </c>
      <c r="N482" s="20" t="str" cm="1">
        <f t="array" ref="N482">_xlfn.IFS(tbl_Clean[[#This Row],[Age]]&lt;=30,"25-30",tbl_Clean[[#This Row],[Age]]&lt;=40,"31-40",tbl_Clean[[#This Row],[Age]]&lt;=50,"41-50",tbl_Clean[[#This Row],[Age]]&lt;=60,"51-60",TRUE,"61+")</f>
        <v>41-50</v>
      </c>
      <c r="O482" s="20">
        <f>_xlfn.XMATCH(tbl_Clean[[#This Row],[Age Band]],{"25-30","31-40","41-50","51-60","61+"})</f>
        <v>3</v>
      </c>
      <c r="P482" s="20" t="str" cm="1">
        <f t="array" ref="P482">_xlfn.IFS(tbl_Clean[[#This Row],[Income]]&lt;=30000,"$10k-30k",tbl_Clean[[#This Row],[Income]]&lt;=60000,"$40k-60k",tbl_Clean[[#This Row],[Income]]&lt;=90000,"$70k-90k",TRUE,"$100k+")</f>
        <v>$70k-90k</v>
      </c>
      <c r="Q482" s="20">
        <f>_xlfn.XMATCH(tbl_Clean[[#This Row],[Income Band]],{"$10k-30k","$40k-60k","$70k-90k","$100k+"})</f>
        <v>3</v>
      </c>
      <c r="R482" s="20" t="str">
        <f>IF(tbl_Clean[[#This Row],[Cars]]&lt;=1,"0-1 Cars","2+ Cars")</f>
        <v>2+ Cars</v>
      </c>
      <c r="S482" s="20">
        <f>_xlfn.XMATCH(tbl_Clean[[#This Row],[Commute Distance]],{"0-1 Miles","1-2 Miles","2-5 Miles","5-10 Miles","10+ Miles"})</f>
        <v>2</v>
      </c>
      <c r="T482" s="20">
        <f>_xlfn.XMATCH(tbl_Clean[[#This Row],[Education]],{"Partial High School","High School","Partial College","Bachelors","Graduate Degree"})</f>
        <v>2</v>
      </c>
      <c r="U482" s="20">
        <f>IF(tbl_Clean[[#This Row],[Purchased Bike]]="Yes",1,0)</f>
        <v>1</v>
      </c>
    </row>
    <row r="483" spans="1:21" x14ac:dyDescent="0.25">
      <c r="A483" s="20">
        <v>22610</v>
      </c>
      <c r="B483" s="3" t="s">
        <v>111</v>
      </c>
      <c r="C483" s="3" t="s">
        <v>113</v>
      </c>
      <c r="D483" s="19">
        <v>30000</v>
      </c>
      <c r="E483" s="20">
        <v>0</v>
      </c>
      <c r="F483" s="3" t="s">
        <v>15</v>
      </c>
      <c r="G483" s="3" t="s">
        <v>22</v>
      </c>
      <c r="H483" s="3" t="s">
        <v>17</v>
      </c>
      <c r="I483" s="20">
        <v>0</v>
      </c>
      <c r="J483" s="3" t="s">
        <v>18</v>
      </c>
      <c r="K483" s="3" t="s">
        <v>19</v>
      </c>
      <c r="L483" s="20">
        <v>35</v>
      </c>
      <c r="M483" s="3" t="s">
        <v>17</v>
      </c>
      <c r="N483" s="20" t="str" cm="1">
        <f t="array" ref="N483">_xlfn.IFS(tbl_Clean[[#This Row],[Age]]&lt;=30,"25-30",tbl_Clean[[#This Row],[Age]]&lt;=40,"31-40",tbl_Clean[[#This Row],[Age]]&lt;=50,"41-50",tbl_Clean[[#This Row],[Age]]&lt;=60,"51-60",TRUE,"61+")</f>
        <v>31-40</v>
      </c>
      <c r="O483" s="20">
        <f>_xlfn.XMATCH(tbl_Clean[[#This Row],[Age Band]],{"25-30","31-40","41-50","51-60","61+"})</f>
        <v>2</v>
      </c>
      <c r="P483" s="20" t="str" cm="1">
        <f t="array" ref="P483">_xlfn.IFS(tbl_Clean[[#This Row],[Income]]&lt;=30000,"$10k-30k",tbl_Clean[[#This Row],[Income]]&lt;=60000,"$40k-60k",tbl_Clean[[#This Row],[Income]]&lt;=90000,"$70k-90k",TRUE,"$100k+")</f>
        <v>$10k-30k</v>
      </c>
      <c r="Q483" s="20">
        <f>_xlfn.XMATCH(tbl_Clean[[#This Row],[Income Band]],{"$10k-30k","$40k-60k","$70k-90k","$100k+"})</f>
        <v>1</v>
      </c>
      <c r="R483" s="20" t="str">
        <f>IF(tbl_Clean[[#This Row],[Cars]]&lt;=1,"0-1 Cars","2+ Cars")</f>
        <v>0-1 Cars</v>
      </c>
      <c r="S483" s="20">
        <f>_xlfn.XMATCH(tbl_Clean[[#This Row],[Commute Distance]],{"0-1 Miles","1-2 Miles","2-5 Miles","5-10 Miles","10+ Miles"})</f>
        <v>1</v>
      </c>
      <c r="T483" s="20">
        <f>_xlfn.XMATCH(tbl_Clean[[#This Row],[Education]],{"Partial High School","High School","Partial College","Bachelors","Graduate Degree"})</f>
        <v>4</v>
      </c>
      <c r="U483" s="20">
        <f>IF(tbl_Clean[[#This Row],[Purchased Bike]]="Yes",1,0)</f>
        <v>1</v>
      </c>
    </row>
    <row r="484" spans="1:21" x14ac:dyDescent="0.25">
      <c r="A484" s="20">
        <v>26984</v>
      </c>
      <c r="B484" s="3" t="s">
        <v>111</v>
      </c>
      <c r="C484" s="3" t="s">
        <v>113</v>
      </c>
      <c r="D484" s="19">
        <v>40000</v>
      </c>
      <c r="E484" s="20">
        <v>1</v>
      </c>
      <c r="F484" s="3" t="s">
        <v>15</v>
      </c>
      <c r="G484" s="3" t="s">
        <v>16</v>
      </c>
      <c r="H484" s="3" t="s">
        <v>17</v>
      </c>
      <c r="I484" s="20">
        <v>1</v>
      </c>
      <c r="J484" s="3" t="s">
        <v>18</v>
      </c>
      <c r="K484" s="3" t="s">
        <v>19</v>
      </c>
      <c r="L484" s="20">
        <v>32</v>
      </c>
      <c r="M484" s="3" t="s">
        <v>17</v>
      </c>
      <c r="N484" s="20" t="str" cm="1">
        <f t="array" ref="N484">_xlfn.IFS(tbl_Clean[[#This Row],[Age]]&lt;=30,"25-30",tbl_Clean[[#This Row],[Age]]&lt;=40,"31-40",tbl_Clean[[#This Row],[Age]]&lt;=50,"41-50",tbl_Clean[[#This Row],[Age]]&lt;=60,"51-60",TRUE,"61+")</f>
        <v>31-40</v>
      </c>
      <c r="O484" s="20">
        <f>_xlfn.XMATCH(tbl_Clean[[#This Row],[Age Band]],{"25-30","31-40","41-50","51-60","61+"})</f>
        <v>2</v>
      </c>
      <c r="P484" s="20" t="str" cm="1">
        <f t="array" ref="P484">_xlfn.IFS(tbl_Clean[[#This Row],[Income]]&lt;=30000,"$10k-30k",tbl_Clean[[#This Row],[Income]]&lt;=60000,"$40k-60k",tbl_Clean[[#This Row],[Income]]&lt;=90000,"$70k-90k",TRUE,"$100k+")</f>
        <v>$40k-60k</v>
      </c>
      <c r="Q484" s="20">
        <f>_xlfn.XMATCH(tbl_Clean[[#This Row],[Income Band]],{"$10k-30k","$40k-60k","$70k-90k","$100k+"})</f>
        <v>2</v>
      </c>
      <c r="R484" s="20" t="str">
        <f>IF(tbl_Clean[[#This Row],[Cars]]&lt;=1,"0-1 Cars","2+ Cars")</f>
        <v>0-1 Cars</v>
      </c>
      <c r="S484" s="20">
        <f>_xlfn.XMATCH(tbl_Clean[[#This Row],[Commute Distance]],{"0-1 Miles","1-2 Miles","2-5 Miles","5-10 Miles","10+ Miles"})</f>
        <v>1</v>
      </c>
      <c r="T484" s="20">
        <f>_xlfn.XMATCH(tbl_Clean[[#This Row],[Education]],{"Partial High School","High School","Partial College","Bachelors","Graduate Degree"})</f>
        <v>4</v>
      </c>
      <c r="U484" s="20">
        <f>IF(tbl_Clean[[#This Row],[Purchased Bike]]="Yes",1,0)</f>
        <v>1</v>
      </c>
    </row>
    <row r="485" spans="1:21" x14ac:dyDescent="0.25">
      <c r="A485" s="20">
        <v>18294</v>
      </c>
      <c r="B485" s="3" t="s">
        <v>111</v>
      </c>
      <c r="C485" s="3" t="s">
        <v>112</v>
      </c>
      <c r="D485" s="19">
        <v>90000</v>
      </c>
      <c r="E485" s="20">
        <v>1</v>
      </c>
      <c r="F485" s="3" t="s">
        <v>15</v>
      </c>
      <c r="G485" s="3" t="s">
        <v>23</v>
      </c>
      <c r="H485" s="3" t="s">
        <v>17</v>
      </c>
      <c r="I485" s="20">
        <v>1</v>
      </c>
      <c r="J485" s="3" t="s">
        <v>26</v>
      </c>
      <c r="K485" s="3" t="s">
        <v>27</v>
      </c>
      <c r="L485" s="20">
        <v>46</v>
      </c>
      <c r="M485" s="3" t="s">
        <v>20</v>
      </c>
      <c r="N485" s="20" t="str" cm="1">
        <f t="array" ref="N485">_xlfn.IFS(tbl_Clean[[#This Row],[Age]]&lt;=30,"25-30",tbl_Clean[[#This Row],[Age]]&lt;=40,"31-40",tbl_Clean[[#This Row],[Age]]&lt;=50,"41-50",tbl_Clean[[#This Row],[Age]]&lt;=60,"51-60",TRUE,"61+")</f>
        <v>41-50</v>
      </c>
      <c r="O485" s="20">
        <f>_xlfn.XMATCH(tbl_Clean[[#This Row],[Age Band]],{"25-30","31-40","41-50","51-60","61+"})</f>
        <v>3</v>
      </c>
      <c r="P485" s="20" t="str" cm="1">
        <f t="array" ref="P485">_xlfn.IFS(tbl_Clean[[#This Row],[Income]]&lt;=30000,"$10k-30k",tbl_Clean[[#This Row],[Income]]&lt;=60000,"$40k-60k",tbl_Clean[[#This Row],[Income]]&lt;=90000,"$70k-90k",TRUE,"$100k+")</f>
        <v>$70k-90k</v>
      </c>
      <c r="Q485" s="20">
        <f>_xlfn.XMATCH(tbl_Clean[[#This Row],[Income Band]],{"$10k-30k","$40k-60k","$70k-90k","$100k+"})</f>
        <v>3</v>
      </c>
      <c r="R485" s="20" t="str">
        <f>IF(tbl_Clean[[#This Row],[Cars]]&lt;=1,"0-1 Cars","2+ Cars")</f>
        <v>0-1 Cars</v>
      </c>
      <c r="S485" s="20">
        <f>_xlfn.XMATCH(tbl_Clean[[#This Row],[Commute Distance]],{"0-1 Miles","1-2 Miles","2-5 Miles","5-10 Miles","10+ Miles"})</f>
        <v>4</v>
      </c>
      <c r="T485" s="20">
        <f>_xlfn.XMATCH(tbl_Clean[[#This Row],[Education]],{"Partial High School","High School","Partial College","Bachelors","Graduate Degree"})</f>
        <v>4</v>
      </c>
      <c r="U485" s="20">
        <f>IF(tbl_Clean[[#This Row],[Purchased Bike]]="Yes",1,0)</f>
        <v>0</v>
      </c>
    </row>
    <row r="486" spans="1:21" x14ac:dyDescent="0.25">
      <c r="A486" s="20">
        <v>28564</v>
      </c>
      <c r="B486" s="3" t="s">
        <v>114</v>
      </c>
      <c r="C486" s="3" t="s">
        <v>112</v>
      </c>
      <c r="D486" s="19">
        <v>40000</v>
      </c>
      <c r="E486" s="20">
        <v>2</v>
      </c>
      <c r="F486" s="3" t="s">
        <v>21</v>
      </c>
      <c r="G486" s="3" t="s">
        <v>22</v>
      </c>
      <c r="H486" s="3" t="s">
        <v>17</v>
      </c>
      <c r="I486" s="20">
        <v>0</v>
      </c>
      <c r="J486" s="3" t="s">
        <v>29</v>
      </c>
      <c r="K486" s="3" t="s">
        <v>19</v>
      </c>
      <c r="L486" s="20">
        <v>33</v>
      </c>
      <c r="M486" s="3" t="s">
        <v>17</v>
      </c>
      <c r="N486" s="20" t="str" cm="1">
        <f t="array" ref="N486">_xlfn.IFS(tbl_Clean[[#This Row],[Age]]&lt;=30,"25-30",tbl_Clean[[#This Row],[Age]]&lt;=40,"31-40",tbl_Clean[[#This Row],[Age]]&lt;=50,"41-50",tbl_Clean[[#This Row],[Age]]&lt;=60,"51-60",TRUE,"61+")</f>
        <v>31-40</v>
      </c>
      <c r="O486" s="20">
        <f>_xlfn.XMATCH(tbl_Clean[[#This Row],[Age Band]],{"25-30","31-40","41-50","51-60","61+"})</f>
        <v>2</v>
      </c>
      <c r="P486" s="20" t="str" cm="1">
        <f t="array" ref="P486">_xlfn.IFS(tbl_Clean[[#This Row],[Income]]&lt;=30000,"$10k-30k",tbl_Clean[[#This Row],[Income]]&lt;=60000,"$40k-60k",tbl_Clean[[#This Row],[Income]]&lt;=90000,"$70k-90k",TRUE,"$100k+")</f>
        <v>$40k-60k</v>
      </c>
      <c r="Q486" s="20">
        <f>_xlfn.XMATCH(tbl_Clean[[#This Row],[Income Band]],{"$10k-30k","$40k-60k","$70k-90k","$100k+"})</f>
        <v>2</v>
      </c>
      <c r="R486" s="20" t="str">
        <f>IF(tbl_Clean[[#This Row],[Cars]]&lt;=1,"0-1 Cars","2+ Cars")</f>
        <v>0-1 Cars</v>
      </c>
      <c r="S486" s="20">
        <f>_xlfn.XMATCH(tbl_Clean[[#This Row],[Commute Distance]],{"0-1 Miles","1-2 Miles","2-5 Miles","5-10 Miles","10+ Miles"})</f>
        <v>2</v>
      </c>
      <c r="T486" s="20">
        <f>_xlfn.XMATCH(tbl_Clean[[#This Row],[Education]],{"Partial High School","High School","Partial College","Bachelors","Graduate Degree"})</f>
        <v>3</v>
      </c>
      <c r="U486" s="20">
        <f>IF(tbl_Clean[[#This Row],[Purchased Bike]]="Yes",1,0)</f>
        <v>1</v>
      </c>
    </row>
    <row r="487" spans="1:21" x14ac:dyDescent="0.25">
      <c r="A487" s="20">
        <v>28521</v>
      </c>
      <c r="B487" s="3" t="s">
        <v>114</v>
      </c>
      <c r="C487" s="3" t="s">
        <v>113</v>
      </c>
      <c r="D487" s="19">
        <v>40000</v>
      </c>
      <c r="E487" s="20">
        <v>0</v>
      </c>
      <c r="F487" s="3" t="s">
        <v>34</v>
      </c>
      <c r="G487" s="3" t="s">
        <v>22</v>
      </c>
      <c r="H487" s="3" t="s">
        <v>20</v>
      </c>
      <c r="I487" s="20">
        <v>0</v>
      </c>
      <c r="J487" s="3" t="s">
        <v>18</v>
      </c>
      <c r="K487" s="3" t="s">
        <v>19</v>
      </c>
      <c r="L487" s="20">
        <v>36</v>
      </c>
      <c r="M487" s="3" t="s">
        <v>17</v>
      </c>
      <c r="N487" s="20" t="str" cm="1">
        <f t="array" ref="N487">_xlfn.IFS(tbl_Clean[[#This Row],[Age]]&lt;=30,"25-30",tbl_Clean[[#This Row],[Age]]&lt;=40,"31-40",tbl_Clean[[#This Row],[Age]]&lt;=50,"41-50",tbl_Clean[[#This Row],[Age]]&lt;=60,"51-60",TRUE,"61+")</f>
        <v>31-40</v>
      </c>
      <c r="O487" s="20">
        <f>_xlfn.XMATCH(tbl_Clean[[#This Row],[Age Band]],{"25-30","31-40","41-50","51-60","61+"})</f>
        <v>2</v>
      </c>
      <c r="P487" s="20" t="str" cm="1">
        <f t="array" ref="P487">_xlfn.IFS(tbl_Clean[[#This Row],[Income]]&lt;=30000,"$10k-30k",tbl_Clean[[#This Row],[Income]]&lt;=60000,"$40k-60k",tbl_Clean[[#This Row],[Income]]&lt;=90000,"$70k-90k",TRUE,"$100k+")</f>
        <v>$40k-60k</v>
      </c>
      <c r="Q487" s="20">
        <f>_xlfn.XMATCH(tbl_Clean[[#This Row],[Income Band]],{"$10k-30k","$40k-60k","$70k-90k","$100k+"})</f>
        <v>2</v>
      </c>
      <c r="R487" s="20" t="str">
        <f>IF(tbl_Clean[[#This Row],[Cars]]&lt;=1,"0-1 Cars","2+ Cars")</f>
        <v>0-1 Cars</v>
      </c>
      <c r="S487" s="20">
        <f>_xlfn.XMATCH(tbl_Clean[[#This Row],[Commute Distance]],{"0-1 Miles","1-2 Miles","2-5 Miles","5-10 Miles","10+ Miles"})</f>
        <v>1</v>
      </c>
      <c r="T487" s="20">
        <f>_xlfn.XMATCH(tbl_Clean[[#This Row],[Education]],{"Partial High School","High School","Partial College","Bachelors","Graduate Degree"})</f>
        <v>5</v>
      </c>
      <c r="U487" s="20">
        <f>IF(tbl_Clean[[#This Row],[Purchased Bike]]="Yes",1,0)</f>
        <v>1</v>
      </c>
    </row>
    <row r="488" spans="1:21" x14ac:dyDescent="0.25">
      <c r="A488" s="20">
        <v>15450</v>
      </c>
      <c r="B488" s="3" t="s">
        <v>111</v>
      </c>
      <c r="C488" s="3" t="s">
        <v>113</v>
      </c>
      <c r="D488" s="19">
        <v>10000</v>
      </c>
      <c r="E488" s="20">
        <v>1</v>
      </c>
      <c r="F488" s="3" t="s">
        <v>34</v>
      </c>
      <c r="G488" s="3" t="s">
        <v>22</v>
      </c>
      <c r="H488" s="3" t="s">
        <v>17</v>
      </c>
      <c r="I488" s="20">
        <v>0</v>
      </c>
      <c r="J488" s="3" t="s">
        <v>18</v>
      </c>
      <c r="K488" s="3" t="s">
        <v>19</v>
      </c>
      <c r="L488" s="20">
        <v>70</v>
      </c>
      <c r="M488" s="3" t="s">
        <v>20</v>
      </c>
      <c r="N488" s="20" t="str" cm="1">
        <f t="array" ref="N488">_xlfn.IFS(tbl_Clean[[#This Row],[Age]]&lt;=30,"25-30",tbl_Clean[[#This Row],[Age]]&lt;=40,"31-40",tbl_Clean[[#This Row],[Age]]&lt;=50,"41-50",tbl_Clean[[#This Row],[Age]]&lt;=60,"51-60",TRUE,"61+")</f>
        <v>61+</v>
      </c>
      <c r="O488" s="20">
        <f>_xlfn.XMATCH(tbl_Clean[[#This Row],[Age Band]],{"25-30","31-40","41-50","51-60","61+"})</f>
        <v>5</v>
      </c>
      <c r="P488" s="20" t="str" cm="1">
        <f t="array" ref="P488">_xlfn.IFS(tbl_Clean[[#This Row],[Income]]&lt;=30000,"$10k-30k",tbl_Clean[[#This Row],[Income]]&lt;=60000,"$40k-60k",tbl_Clean[[#This Row],[Income]]&lt;=90000,"$70k-90k",TRUE,"$100k+")</f>
        <v>$10k-30k</v>
      </c>
      <c r="Q488" s="20">
        <f>_xlfn.XMATCH(tbl_Clean[[#This Row],[Income Band]],{"$10k-30k","$40k-60k","$70k-90k","$100k+"})</f>
        <v>1</v>
      </c>
      <c r="R488" s="20" t="str">
        <f>IF(tbl_Clean[[#This Row],[Cars]]&lt;=1,"0-1 Cars","2+ Cars")</f>
        <v>0-1 Cars</v>
      </c>
      <c r="S488" s="20">
        <f>_xlfn.XMATCH(tbl_Clean[[#This Row],[Commute Distance]],{"0-1 Miles","1-2 Miles","2-5 Miles","5-10 Miles","10+ Miles"})</f>
        <v>1</v>
      </c>
      <c r="T488" s="20">
        <f>_xlfn.XMATCH(tbl_Clean[[#This Row],[Education]],{"Partial High School","High School","Partial College","Bachelors","Graduate Degree"})</f>
        <v>5</v>
      </c>
      <c r="U488" s="20">
        <f>IF(tbl_Clean[[#This Row],[Purchased Bike]]="Yes",1,0)</f>
        <v>0</v>
      </c>
    </row>
    <row r="489" spans="1:21" x14ac:dyDescent="0.25">
      <c r="A489" s="20">
        <v>25681</v>
      </c>
      <c r="B489" s="3" t="s">
        <v>114</v>
      </c>
      <c r="C489" s="3" t="s">
        <v>112</v>
      </c>
      <c r="D489" s="19">
        <v>30000</v>
      </c>
      <c r="E489" s="20">
        <v>0</v>
      </c>
      <c r="F489" s="3" t="s">
        <v>21</v>
      </c>
      <c r="G489" s="3" t="s">
        <v>22</v>
      </c>
      <c r="H489" s="3" t="s">
        <v>20</v>
      </c>
      <c r="I489" s="20">
        <v>1</v>
      </c>
      <c r="J489" s="3" t="s">
        <v>24</v>
      </c>
      <c r="K489" s="3" t="s">
        <v>19</v>
      </c>
      <c r="L489" s="20">
        <v>31</v>
      </c>
      <c r="M489" s="3" t="s">
        <v>17</v>
      </c>
      <c r="N489" s="20" t="str" cm="1">
        <f t="array" ref="N489">_xlfn.IFS(tbl_Clean[[#This Row],[Age]]&lt;=30,"25-30",tbl_Clean[[#This Row],[Age]]&lt;=40,"31-40",tbl_Clean[[#This Row],[Age]]&lt;=50,"41-50",tbl_Clean[[#This Row],[Age]]&lt;=60,"51-60",TRUE,"61+")</f>
        <v>31-40</v>
      </c>
      <c r="O489" s="20">
        <f>_xlfn.XMATCH(tbl_Clean[[#This Row],[Age Band]],{"25-30","31-40","41-50","51-60","61+"})</f>
        <v>2</v>
      </c>
      <c r="P489" s="20" t="str" cm="1">
        <f t="array" ref="P489">_xlfn.IFS(tbl_Clean[[#This Row],[Income]]&lt;=30000,"$10k-30k",tbl_Clean[[#This Row],[Income]]&lt;=60000,"$40k-60k",tbl_Clean[[#This Row],[Income]]&lt;=90000,"$70k-90k",TRUE,"$100k+")</f>
        <v>$10k-30k</v>
      </c>
      <c r="Q489" s="20">
        <f>_xlfn.XMATCH(tbl_Clean[[#This Row],[Income Band]],{"$10k-30k","$40k-60k","$70k-90k","$100k+"})</f>
        <v>1</v>
      </c>
      <c r="R489" s="20" t="str">
        <f>IF(tbl_Clean[[#This Row],[Cars]]&lt;=1,"0-1 Cars","2+ Cars")</f>
        <v>0-1 Cars</v>
      </c>
      <c r="S489" s="20">
        <f>_xlfn.XMATCH(tbl_Clean[[#This Row],[Commute Distance]],{"0-1 Miles","1-2 Miles","2-5 Miles","5-10 Miles","10+ Miles"})</f>
        <v>3</v>
      </c>
      <c r="T489" s="20">
        <f>_xlfn.XMATCH(tbl_Clean[[#This Row],[Education]],{"Partial High School","High School","Partial College","Bachelors","Graduate Degree"})</f>
        <v>3</v>
      </c>
      <c r="U489" s="20">
        <f>IF(tbl_Clean[[#This Row],[Purchased Bike]]="Yes",1,0)</f>
        <v>1</v>
      </c>
    </row>
    <row r="490" spans="1:21" x14ac:dyDescent="0.25">
      <c r="A490" s="20">
        <v>19491</v>
      </c>
      <c r="B490" s="3" t="s">
        <v>114</v>
      </c>
      <c r="C490" s="3" t="s">
        <v>113</v>
      </c>
      <c r="D490" s="19">
        <v>30000</v>
      </c>
      <c r="E490" s="20">
        <v>2</v>
      </c>
      <c r="F490" s="3" t="s">
        <v>21</v>
      </c>
      <c r="G490" s="3" t="s">
        <v>22</v>
      </c>
      <c r="H490" s="3" t="s">
        <v>17</v>
      </c>
      <c r="I490" s="20">
        <v>2</v>
      </c>
      <c r="J490" s="3" t="s">
        <v>18</v>
      </c>
      <c r="K490" s="3" t="s">
        <v>19</v>
      </c>
      <c r="L490" s="20">
        <v>42</v>
      </c>
      <c r="M490" s="3" t="s">
        <v>20</v>
      </c>
      <c r="N490" s="20" t="str" cm="1">
        <f t="array" ref="N490">_xlfn.IFS(tbl_Clean[[#This Row],[Age]]&lt;=30,"25-30",tbl_Clean[[#This Row],[Age]]&lt;=40,"31-40",tbl_Clean[[#This Row],[Age]]&lt;=50,"41-50",tbl_Clean[[#This Row],[Age]]&lt;=60,"51-60",TRUE,"61+")</f>
        <v>41-50</v>
      </c>
      <c r="O490" s="20">
        <f>_xlfn.XMATCH(tbl_Clean[[#This Row],[Age Band]],{"25-30","31-40","41-50","51-60","61+"})</f>
        <v>3</v>
      </c>
      <c r="P490" s="20" t="str" cm="1">
        <f t="array" ref="P490">_xlfn.IFS(tbl_Clean[[#This Row],[Income]]&lt;=30000,"$10k-30k",tbl_Clean[[#This Row],[Income]]&lt;=60000,"$40k-60k",tbl_Clean[[#This Row],[Income]]&lt;=90000,"$70k-90k",TRUE,"$100k+")</f>
        <v>$10k-30k</v>
      </c>
      <c r="Q490" s="20">
        <f>_xlfn.XMATCH(tbl_Clean[[#This Row],[Income Band]],{"$10k-30k","$40k-60k","$70k-90k","$100k+"})</f>
        <v>1</v>
      </c>
      <c r="R490" s="20" t="str">
        <f>IF(tbl_Clean[[#This Row],[Cars]]&lt;=1,"0-1 Cars","2+ Cars")</f>
        <v>2+ Cars</v>
      </c>
      <c r="S490" s="20">
        <f>_xlfn.XMATCH(tbl_Clean[[#This Row],[Commute Distance]],{"0-1 Miles","1-2 Miles","2-5 Miles","5-10 Miles","10+ Miles"})</f>
        <v>1</v>
      </c>
      <c r="T490" s="20">
        <f>_xlfn.XMATCH(tbl_Clean[[#This Row],[Education]],{"Partial High School","High School","Partial College","Bachelors","Graduate Degree"})</f>
        <v>3</v>
      </c>
      <c r="U490" s="20">
        <f>IF(tbl_Clean[[#This Row],[Purchased Bike]]="Yes",1,0)</f>
        <v>0</v>
      </c>
    </row>
    <row r="491" spans="1:21" x14ac:dyDescent="0.25">
      <c r="A491" s="20">
        <v>26415</v>
      </c>
      <c r="B491" s="3" t="s">
        <v>111</v>
      </c>
      <c r="C491" s="3" t="s">
        <v>112</v>
      </c>
      <c r="D491" s="19">
        <v>90000</v>
      </c>
      <c r="E491" s="20">
        <v>4</v>
      </c>
      <c r="F491" s="3" t="s">
        <v>32</v>
      </c>
      <c r="G491" s="3" t="s">
        <v>16</v>
      </c>
      <c r="H491" s="3" t="s">
        <v>17</v>
      </c>
      <c r="I491" s="20">
        <v>4</v>
      </c>
      <c r="J491" s="3" t="s">
        <v>33</v>
      </c>
      <c r="K491" s="3" t="s">
        <v>19</v>
      </c>
      <c r="L491" s="20">
        <v>58</v>
      </c>
      <c r="M491" s="3" t="s">
        <v>20</v>
      </c>
      <c r="N491" s="20" t="str" cm="1">
        <f t="array" ref="N491">_xlfn.IFS(tbl_Clean[[#This Row],[Age]]&lt;=30,"25-30",tbl_Clean[[#This Row],[Age]]&lt;=40,"31-40",tbl_Clean[[#This Row],[Age]]&lt;=50,"41-50",tbl_Clean[[#This Row],[Age]]&lt;=60,"51-60",TRUE,"61+")</f>
        <v>51-60</v>
      </c>
      <c r="O491" s="20">
        <f>_xlfn.XMATCH(tbl_Clean[[#This Row],[Age Band]],{"25-30","31-40","41-50","51-60","61+"})</f>
        <v>4</v>
      </c>
      <c r="P491" s="20" t="str" cm="1">
        <f t="array" ref="P491">_xlfn.IFS(tbl_Clean[[#This Row],[Income]]&lt;=30000,"$10k-30k",tbl_Clean[[#This Row],[Income]]&lt;=60000,"$40k-60k",tbl_Clean[[#This Row],[Income]]&lt;=90000,"$70k-90k",TRUE,"$100k+")</f>
        <v>$70k-90k</v>
      </c>
      <c r="Q491" s="20">
        <f>_xlfn.XMATCH(tbl_Clean[[#This Row],[Income Band]],{"$10k-30k","$40k-60k","$70k-90k","$100k+"})</f>
        <v>3</v>
      </c>
      <c r="R491" s="20" t="str">
        <f>IF(tbl_Clean[[#This Row],[Cars]]&lt;=1,"0-1 Cars","2+ Cars")</f>
        <v>2+ Cars</v>
      </c>
      <c r="S491" s="20">
        <f>_xlfn.XMATCH(tbl_Clean[[#This Row],[Commute Distance]],{"0-1 Miles","1-2 Miles","2-5 Miles","5-10 Miles","10+ Miles"})</f>
        <v>5</v>
      </c>
      <c r="T491" s="20">
        <f>_xlfn.XMATCH(tbl_Clean[[#This Row],[Education]],{"Partial High School","High School","Partial College","Bachelors","Graduate Degree"})</f>
        <v>1</v>
      </c>
      <c r="U491" s="20">
        <f>IF(tbl_Clean[[#This Row],[Purchased Bike]]="Yes",1,0)</f>
        <v>0</v>
      </c>
    </row>
    <row r="492" spans="1:21" x14ac:dyDescent="0.25">
      <c r="A492" s="20">
        <v>12821</v>
      </c>
      <c r="B492" s="3" t="s">
        <v>111</v>
      </c>
      <c r="C492" s="3" t="s">
        <v>113</v>
      </c>
      <c r="D492" s="19">
        <v>40000</v>
      </c>
      <c r="E492" s="20">
        <v>0</v>
      </c>
      <c r="F492" s="3" t="s">
        <v>15</v>
      </c>
      <c r="G492" s="3" t="s">
        <v>22</v>
      </c>
      <c r="H492" s="3" t="s">
        <v>17</v>
      </c>
      <c r="I492" s="20">
        <v>0</v>
      </c>
      <c r="J492" s="3" t="s">
        <v>18</v>
      </c>
      <c r="K492" s="3" t="s">
        <v>19</v>
      </c>
      <c r="L492" s="20">
        <v>39</v>
      </c>
      <c r="M492" s="3" t="s">
        <v>20</v>
      </c>
      <c r="N492" s="20" t="str" cm="1">
        <f t="array" ref="N492">_xlfn.IFS(tbl_Clean[[#This Row],[Age]]&lt;=30,"25-30",tbl_Clean[[#This Row],[Age]]&lt;=40,"31-40",tbl_Clean[[#This Row],[Age]]&lt;=50,"41-50",tbl_Clean[[#This Row],[Age]]&lt;=60,"51-60",TRUE,"61+")</f>
        <v>31-40</v>
      </c>
      <c r="O492" s="20">
        <f>_xlfn.XMATCH(tbl_Clean[[#This Row],[Age Band]],{"25-30","31-40","41-50","51-60","61+"})</f>
        <v>2</v>
      </c>
      <c r="P492" s="20" t="str" cm="1">
        <f t="array" ref="P492">_xlfn.IFS(tbl_Clean[[#This Row],[Income]]&lt;=30000,"$10k-30k",tbl_Clean[[#This Row],[Income]]&lt;=60000,"$40k-60k",tbl_Clean[[#This Row],[Income]]&lt;=90000,"$70k-90k",TRUE,"$100k+")</f>
        <v>$40k-60k</v>
      </c>
      <c r="Q492" s="20">
        <f>_xlfn.XMATCH(tbl_Clean[[#This Row],[Income Band]],{"$10k-30k","$40k-60k","$70k-90k","$100k+"})</f>
        <v>2</v>
      </c>
      <c r="R492" s="20" t="str">
        <f>IF(tbl_Clean[[#This Row],[Cars]]&lt;=1,"0-1 Cars","2+ Cars")</f>
        <v>0-1 Cars</v>
      </c>
      <c r="S492" s="20">
        <f>_xlfn.XMATCH(tbl_Clean[[#This Row],[Commute Distance]],{"0-1 Miles","1-2 Miles","2-5 Miles","5-10 Miles","10+ Miles"})</f>
        <v>1</v>
      </c>
      <c r="T492" s="20">
        <f>_xlfn.XMATCH(tbl_Clean[[#This Row],[Education]],{"Partial High School","High School","Partial College","Bachelors","Graduate Degree"})</f>
        <v>4</v>
      </c>
      <c r="U492" s="20">
        <f>IF(tbl_Clean[[#This Row],[Purchased Bike]]="Yes",1,0)</f>
        <v>0</v>
      </c>
    </row>
    <row r="493" spans="1:21" x14ac:dyDescent="0.25">
      <c r="A493" s="20">
        <v>15629</v>
      </c>
      <c r="B493" s="3" t="s">
        <v>114</v>
      </c>
      <c r="C493" s="3" t="s">
        <v>112</v>
      </c>
      <c r="D493" s="19">
        <v>10000</v>
      </c>
      <c r="E493" s="20">
        <v>0</v>
      </c>
      <c r="F493" s="3" t="s">
        <v>32</v>
      </c>
      <c r="G493" s="3" t="s">
        <v>28</v>
      </c>
      <c r="H493" s="3" t="s">
        <v>17</v>
      </c>
      <c r="I493" s="20">
        <v>2</v>
      </c>
      <c r="J493" s="3" t="s">
        <v>29</v>
      </c>
      <c r="K493" s="3" t="s">
        <v>19</v>
      </c>
      <c r="L493" s="20">
        <v>34</v>
      </c>
      <c r="M493" s="3" t="s">
        <v>20</v>
      </c>
      <c r="N493" s="20" t="str" cm="1">
        <f t="array" ref="N493">_xlfn.IFS(tbl_Clean[[#This Row],[Age]]&lt;=30,"25-30",tbl_Clean[[#This Row],[Age]]&lt;=40,"31-40",tbl_Clean[[#This Row],[Age]]&lt;=50,"41-50",tbl_Clean[[#This Row],[Age]]&lt;=60,"51-60",TRUE,"61+")</f>
        <v>31-40</v>
      </c>
      <c r="O493" s="20">
        <f>_xlfn.XMATCH(tbl_Clean[[#This Row],[Age Band]],{"25-30","31-40","41-50","51-60","61+"})</f>
        <v>2</v>
      </c>
      <c r="P493" s="20" t="str" cm="1">
        <f t="array" ref="P493">_xlfn.IFS(tbl_Clean[[#This Row],[Income]]&lt;=30000,"$10k-30k",tbl_Clean[[#This Row],[Income]]&lt;=60000,"$40k-60k",tbl_Clean[[#This Row],[Income]]&lt;=90000,"$70k-90k",TRUE,"$100k+")</f>
        <v>$10k-30k</v>
      </c>
      <c r="Q493" s="20">
        <f>_xlfn.XMATCH(tbl_Clean[[#This Row],[Income Band]],{"$10k-30k","$40k-60k","$70k-90k","$100k+"})</f>
        <v>1</v>
      </c>
      <c r="R493" s="20" t="str">
        <f>IF(tbl_Clean[[#This Row],[Cars]]&lt;=1,"0-1 Cars","2+ Cars")</f>
        <v>2+ Cars</v>
      </c>
      <c r="S493" s="20">
        <f>_xlfn.XMATCH(tbl_Clean[[#This Row],[Commute Distance]],{"0-1 Miles","1-2 Miles","2-5 Miles","5-10 Miles","10+ Miles"})</f>
        <v>2</v>
      </c>
      <c r="T493" s="20">
        <f>_xlfn.XMATCH(tbl_Clean[[#This Row],[Education]],{"Partial High School","High School","Partial College","Bachelors","Graduate Degree"})</f>
        <v>1</v>
      </c>
      <c r="U493" s="20">
        <f>IF(tbl_Clean[[#This Row],[Purchased Bike]]="Yes",1,0)</f>
        <v>0</v>
      </c>
    </row>
    <row r="494" spans="1:21" x14ac:dyDescent="0.25">
      <c r="A494" s="20">
        <v>27835</v>
      </c>
      <c r="B494" s="3" t="s">
        <v>111</v>
      </c>
      <c r="C494" s="3" t="s">
        <v>113</v>
      </c>
      <c r="D494" s="19">
        <v>20000</v>
      </c>
      <c r="E494" s="20">
        <v>0</v>
      </c>
      <c r="F494" s="3" t="s">
        <v>32</v>
      </c>
      <c r="G494" s="3" t="s">
        <v>28</v>
      </c>
      <c r="H494" s="3" t="s">
        <v>17</v>
      </c>
      <c r="I494" s="20">
        <v>2</v>
      </c>
      <c r="J494" s="3" t="s">
        <v>18</v>
      </c>
      <c r="K494" s="3" t="s">
        <v>19</v>
      </c>
      <c r="L494" s="20">
        <v>32</v>
      </c>
      <c r="M494" s="3" t="s">
        <v>20</v>
      </c>
      <c r="N494" s="20" t="str" cm="1">
        <f t="array" ref="N494">_xlfn.IFS(tbl_Clean[[#This Row],[Age]]&lt;=30,"25-30",tbl_Clean[[#This Row],[Age]]&lt;=40,"31-40",tbl_Clean[[#This Row],[Age]]&lt;=50,"41-50",tbl_Clean[[#This Row],[Age]]&lt;=60,"51-60",TRUE,"61+")</f>
        <v>31-40</v>
      </c>
      <c r="O494" s="20">
        <f>_xlfn.XMATCH(tbl_Clean[[#This Row],[Age Band]],{"25-30","31-40","41-50","51-60","61+"})</f>
        <v>2</v>
      </c>
      <c r="P494" s="20" t="str" cm="1">
        <f t="array" ref="P494">_xlfn.IFS(tbl_Clean[[#This Row],[Income]]&lt;=30000,"$10k-30k",tbl_Clean[[#This Row],[Income]]&lt;=60000,"$40k-60k",tbl_Clean[[#This Row],[Income]]&lt;=90000,"$70k-90k",TRUE,"$100k+")</f>
        <v>$10k-30k</v>
      </c>
      <c r="Q494" s="20">
        <f>_xlfn.XMATCH(tbl_Clean[[#This Row],[Income Band]],{"$10k-30k","$40k-60k","$70k-90k","$100k+"})</f>
        <v>1</v>
      </c>
      <c r="R494" s="20" t="str">
        <f>IF(tbl_Clean[[#This Row],[Cars]]&lt;=1,"0-1 Cars","2+ Cars")</f>
        <v>2+ Cars</v>
      </c>
      <c r="S494" s="20">
        <f>_xlfn.XMATCH(tbl_Clean[[#This Row],[Commute Distance]],{"0-1 Miles","1-2 Miles","2-5 Miles","5-10 Miles","10+ Miles"})</f>
        <v>1</v>
      </c>
      <c r="T494" s="20">
        <f>_xlfn.XMATCH(tbl_Clean[[#This Row],[Education]],{"Partial High School","High School","Partial College","Bachelors","Graduate Degree"})</f>
        <v>1</v>
      </c>
      <c r="U494" s="20">
        <f>IF(tbl_Clean[[#This Row],[Purchased Bike]]="Yes",1,0)</f>
        <v>0</v>
      </c>
    </row>
    <row r="495" spans="1:21" x14ac:dyDescent="0.25">
      <c r="A495" s="20">
        <v>11738</v>
      </c>
      <c r="B495" s="3" t="s">
        <v>111</v>
      </c>
      <c r="C495" s="3" t="s">
        <v>113</v>
      </c>
      <c r="D495" s="19">
        <v>60000</v>
      </c>
      <c r="E495" s="20">
        <v>4</v>
      </c>
      <c r="F495" s="3" t="s">
        <v>15</v>
      </c>
      <c r="G495" s="3" t="s">
        <v>23</v>
      </c>
      <c r="H495" s="3" t="s">
        <v>17</v>
      </c>
      <c r="I495" s="20">
        <v>0</v>
      </c>
      <c r="J495" s="3" t="s">
        <v>24</v>
      </c>
      <c r="K495" s="3" t="s">
        <v>35</v>
      </c>
      <c r="L495" s="20">
        <v>46</v>
      </c>
      <c r="M495" s="3" t="s">
        <v>20</v>
      </c>
      <c r="N495" s="20" t="str" cm="1">
        <f t="array" ref="N495">_xlfn.IFS(tbl_Clean[[#This Row],[Age]]&lt;=30,"25-30",tbl_Clean[[#This Row],[Age]]&lt;=40,"31-40",tbl_Clean[[#This Row],[Age]]&lt;=50,"41-50",tbl_Clean[[#This Row],[Age]]&lt;=60,"51-60",TRUE,"61+")</f>
        <v>41-50</v>
      </c>
      <c r="O495" s="20">
        <f>_xlfn.XMATCH(tbl_Clean[[#This Row],[Age Band]],{"25-30","31-40","41-50","51-60","61+"})</f>
        <v>3</v>
      </c>
      <c r="P495" s="20" t="str" cm="1">
        <f t="array" ref="P495">_xlfn.IFS(tbl_Clean[[#This Row],[Income]]&lt;=30000,"$10k-30k",tbl_Clean[[#This Row],[Income]]&lt;=60000,"$40k-60k",tbl_Clean[[#This Row],[Income]]&lt;=90000,"$70k-90k",TRUE,"$100k+")</f>
        <v>$40k-60k</v>
      </c>
      <c r="Q495" s="20">
        <f>_xlfn.XMATCH(tbl_Clean[[#This Row],[Income Band]],{"$10k-30k","$40k-60k","$70k-90k","$100k+"})</f>
        <v>2</v>
      </c>
      <c r="R495" s="20" t="str">
        <f>IF(tbl_Clean[[#This Row],[Cars]]&lt;=1,"0-1 Cars","2+ Cars")</f>
        <v>0-1 Cars</v>
      </c>
      <c r="S495" s="20">
        <f>_xlfn.XMATCH(tbl_Clean[[#This Row],[Commute Distance]],{"0-1 Miles","1-2 Miles","2-5 Miles","5-10 Miles","10+ Miles"})</f>
        <v>3</v>
      </c>
      <c r="T495" s="20">
        <f>_xlfn.XMATCH(tbl_Clean[[#This Row],[Education]],{"Partial High School","High School","Partial College","Bachelors","Graduate Degree"})</f>
        <v>4</v>
      </c>
      <c r="U495" s="20">
        <f>IF(tbl_Clean[[#This Row],[Purchased Bike]]="Yes",1,0)</f>
        <v>0</v>
      </c>
    </row>
    <row r="496" spans="1:21" x14ac:dyDescent="0.25">
      <c r="A496" s="20">
        <v>25065</v>
      </c>
      <c r="B496" s="3" t="s">
        <v>111</v>
      </c>
      <c r="C496" s="3" t="s">
        <v>113</v>
      </c>
      <c r="D496" s="19">
        <v>70000</v>
      </c>
      <c r="E496" s="20">
        <v>2</v>
      </c>
      <c r="F496" s="3" t="s">
        <v>32</v>
      </c>
      <c r="G496" s="3" t="s">
        <v>16</v>
      </c>
      <c r="H496" s="3" t="s">
        <v>17</v>
      </c>
      <c r="I496" s="20">
        <v>2</v>
      </c>
      <c r="J496" s="3" t="s">
        <v>26</v>
      </c>
      <c r="K496" s="3" t="s">
        <v>35</v>
      </c>
      <c r="L496" s="20">
        <v>48</v>
      </c>
      <c r="M496" s="3" t="s">
        <v>20</v>
      </c>
      <c r="N496" s="20" t="str" cm="1">
        <f t="array" ref="N496">_xlfn.IFS(tbl_Clean[[#This Row],[Age]]&lt;=30,"25-30",tbl_Clean[[#This Row],[Age]]&lt;=40,"31-40",tbl_Clean[[#This Row],[Age]]&lt;=50,"41-50",tbl_Clean[[#This Row],[Age]]&lt;=60,"51-60",TRUE,"61+")</f>
        <v>41-50</v>
      </c>
      <c r="O496" s="20">
        <f>_xlfn.XMATCH(tbl_Clean[[#This Row],[Age Band]],{"25-30","31-40","41-50","51-60","61+"})</f>
        <v>3</v>
      </c>
      <c r="P496" s="20" t="str" cm="1">
        <f t="array" ref="P496">_xlfn.IFS(tbl_Clean[[#This Row],[Income]]&lt;=30000,"$10k-30k",tbl_Clean[[#This Row],[Income]]&lt;=60000,"$40k-60k",tbl_Clean[[#This Row],[Income]]&lt;=90000,"$70k-90k",TRUE,"$100k+")</f>
        <v>$70k-90k</v>
      </c>
      <c r="Q496" s="20">
        <f>_xlfn.XMATCH(tbl_Clean[[#This Row],[Income Band]],{"$10k-30k","$40k-60k","$70k-90k","$100k+"})</f>
        <v>3</v>
      </c>
      <c r="R496" s="20" t="str">
        <f>IF(tbl_Clean[[#This Row],[Cars]]&lt;=1,"0-1 Cars","2+ Cars")</f>
        <v>2+ Cars</v>
      </c>
      <c r="S496" s="20">
        <f>_xlfn.XMATCH(tbl_Clean[[#This Row],[Commute Distance]],{"0-1 Miles","1-2 Miles","2-5 Miles","5-10 Miles","10+ Miles"})</f>
        <v>4</v>
      </c>
      <c r="T496" s="20">
        <f>_xlfn.XMATCH(tbl_Clean[[#This Row],[Education]],{"Partial High School","High School","Partial College","Bachelors","Graduate Degree"})</f>
        <v>1</v>
      </c>
      <c r="U496" s="20">
        <f>IF(tbl_Clean[[#This Row],[Purchased Bike]]="Yes",1,0)</f>
        <v>0</v>
      </c>
    </row>
    <row r="497" spans="1:21" x14ac:dyDescent="0.25">
      <c r="A497" s="20">
        <v>26238</v>
      </c>
      <c r="B497" s="3" t="s">
        <v>114</v>
      </c>
      <c r="C497" s="3" t="s">
        <v>112</v>
      </c>
      <c r="D497" s="19">
        <v>40000</v>
      </c>
      <c r="E497" s="20">
        <v>3</v>
      </c>
      <c r="F497" s="3" t="s">
        <v>21</v>
      </c>
      <c r="G497" s="3" t="s">
        <v>22</v>
      </c>
      <c r="H497" s="3" t="s">
        <v>17</v>
      </c>
      <c r="I497" s="20">
        <v>1</v>
      </c>
      <c r="J497" s="3" t="s">
        <v>29</v>
      </c>
      <c r="K497" s="3" t="s">
        <v>35</v>
      </c>
      <c r="L497" s="20">
        <v>31</v>
      </c>
      <c r="M497" s="3" t="s">
        <v>17</v>
      </c>
      <c r="N497" s="20" t="str" cm="1">
        <f t="array" ref="N497">_xlfn.IFS(tbl_Clean[[#This Row],[Age]]&lt;=30,"25-30",tbl_Clean[[#This Row],[Age]]&lt;=40,"31-40",tbl_Clean[[#This Row],[Age]]&lt;=50,"41-50",tbl_Clean[[#This Row],[Age]]&lt;=60,"51-60",TRUE,"61+")</f>
        <v>31-40</v>
      </c>
      <c r="O497" s="20">
        <f>_xlfn.XMATCH(tbl_Clean[[#This Row],[Age Band]],{"25-30","31-40","41-50","51-60","61+"})</f>
        <v>2</v>
      </c>
      <c r="P497" s="20" t="str" cm="1">
        <f t="array" ref="P497">_xlfn.IFS(tbl_Clean[[#This Row],[Income]]&lt;=30000,"$10k-30k",tbl_Clean[[#This Row],[Income]]&lt;=60000,"$40k-60k",tbl_Clean[[#This Row],[Income]]&lt;=90000,"$70k-90k",TRUE,"$100k+")</f>
        <v>$40k-60k</v>
      </c>
      <c r="Q497" s="20">
        <f>_xlfn.XMATCH(tbl_Clean[[#This Row],[Income Band]],{"$10k-30k","$40k-60k","$70k-90k","$100k+"})</f>
        <v>2</v>
      </c>
      <c r="R497" s="20" t="str">
        <f>IF(tbl_Clean[[#This Row],[Cars]]&lt;=1,"0-1 Cars","2+ Cars")</f>
        <v>0-1 Cars</v>
      </c>
      <c r="S497" s="20">
        <f>_xlfn.XMATCH(tbl_Clean[[#This Row],[Commute Distance]],{"0-1 Miles","1-2 Miles","2-5 Miles","5-10 Miles","10+ Miles"})</f>
        <v>2</v>
      </c>
      <c r="T497" s="20">
        <f>_xlfn.XMATCH(tbl_Clean[[#This Row],[Education]],{"Partial High School","High School","Partial College","Bachelors","Graduate Degree"})</f>
        <v>3</v>
      </c>
      <c r="U497" s="20">
        <f>IF(tbl_Clean[[#This Row],[Purchased Bike]]="Yes",1,0)</f>
        <v>1</v>
      </c>
    </row>
    <row r="498" spans="1:21" x14ac:dyDescent="0.25">
      <c r="A498" s="20">
        <v>23707</v>
      </c>
      <c r="B498" s="3" t="s">
        <v>114</v>
      </c>
      <c r="C498" s="3" t="s">
        <v>113</v>
      </c>
      <c r="D498" s="19">
        <v>70000</v>
      </c>
      <c r="E498" s="20">
        <v>5</v>
      </c>
      <c r="F498" s="3" t="s">
        <v>15</v>
      </c>
      <c r="G498" s="3" t="s">
        <v>31</v>
      </c>
      <c r="H498" s="3" t="s">
        <v>17</v>
      </c>
      <c r="I498" s="20">
        <v>3</v>
      </c>
      <c r="J498" s="3" t="s">
        <v>33</v>
      </c>
      <c r="K498" s="3" t="s">
        <v>35</v>
      </c>
      <c r="L498" s="20">
        <v>60</v>
      </c>
      <c r="M498" s="3" t="s">
        <v>17</v>
      </c>
      <c r="N498" s="20" t="str" cm="1">
        <f t="array" ref="N498">_xlfn.IFS(tbl_Clean[[#This Row],[Age]]&lt;=30,"25-30",tbl_Clean[[#This Row],[Age]]&lt;=40,"31-40",tbl_Clean[[#This Row],[Age]]&lt;=50,"41-50",tbl_Clean[[#This Row],[Age]]&lt;=60,"51-60",TRUE,"61+")</f>
        <v>51-60</v>
      </c>
      <c r="O498" s="20">
        <f>_xlfn.XMATCH(tbl_Clean[[#This Row],[Age Band]],{"25-30","31-40","41-50","51-60","61+"})</f>
        <v>4</v>
      </c>
      <c r="P498" s="20" t="str" cm="1">
        <f t="array" ref="P498">_xlfn.IFS(tbl_Clean[[#This Row],[Income]]&lt;=30000,"$10k-30k",tbl_Clean[[#This Row],[Income]]&lt;=60000,"$40k-60k",tbl_Clean[[#This Row],[Income]]&lt;=90000,"$70k-90k",TRUE,"$100k+")</f>
        <v>$70k-90k</v>
      </c>
      <c r="Q498" s="20">
        <f>_xlfn.XMATCH(tbl_Clean[[#This Row],[Income Band]],{"$10k-30k","$40k-60k","$70k-90k","$100k+"})</f>
        <v>3</v>
      </c>
      <c r="R498" s="20" t="str">
        <f>IF(tbl_Clean[[#This Row],[Cars]]&lt;=1,"0-1 Cars","2+ Cars")</f>
        <v>2+ Cars</v>
      </c>
      <c r="S498" s="20">
        <f>_xlfn.XMATCH(tbl_Clean[[#This Row],[Commute Distance]],{"0-1 Miles","1-2 Miles","2-5 Miles","5-10 Miles","10+ Miles"})</f>
        <v>5</v>
      </c>
      <c r="T498" s="20">
        <f>_xlfn.XMATCH(tbl_Clean[[#This Row],[Education]],{"Partial High School","High School","Partial College","Bachelors","Graduate Degree"})</f>
        <v>4</v>
      </c>
      <c r="U498" s="20">
        <f>IF(tbl_Clean[[#This Row],[Purchased Bike]]="Yes",1,0)</f>
        <v>1</v>
      </c>
    </row>
    <row r="499" spans="1:21" x14ac:dyDescent="0.25">
      <c r="A499" s="20">
        <v>27650</v>
      </c>
      <c r="B499" s="3" t="s">
        <v>111</v>
      </c>
      <c r="C499" s="3" t="s">
        <v>113</v>
      </c>
      <c r="D499" s="19">
        <v>70000</v>
      </c>
      <c r="E499" s="20">
        <v>4</v>
      </c>
      <c r="F499" s="3" t="s">
        <v>30</v>
      </c>
      <c r="G499" s="3" t="s">
        <v>23</v>
      </c>
      <c r="H499" s="3" t="s">
        <v>17</v>
      </c>
      <c r="I499" s="20">
        <v>0</v>
      </c>
      <c r="J499" s="3" t="s">
        <v>26</v>
      </c>
      <c r="K499" s="3" t="s">
        <v>35</v>
      </c>
      <c r="L499" s="20">
        <v>51</v>
      </c>
      <c r="M499" s="3" t="s">
        <v>20</v>
      </c>
      <c r="N499" s="20" t="str" cm="1">
        <f t="array" ref="N499">_xlfn.IFS(tbl_Clean[[#This Row],[Age]]&lt;=30,"25-30",tbl_Clean[[#This Row],[Age]]&lt;=40,"31-40",tbl_Clean[[#This Row],[Age]]&lt;=50,"41-50",tbl_Clean[[#This Row],[Age]]&lt;=60,"51-60",TRUE,"61+")</f>
        <v>51-60</v>
      </c>
      <c r="O499" s="20">
        <f>_xlfn.XMATCH(tbl_Clean[[#This Row],[Age Band]],{"25-30","31-40","41-50","51-60","61+"})</f>
        <v>4</v>
      </c>
      <c r="P499" s="20" t="str" cm="1">
        <f t="array" ref="P499">_xlfn.IFS(tbl_Clean[[#This Row],[Income]]&lt;=30000,"$10k-30k",tbl_Clean[[#This Row],[Income]]&lt;=60000,"$40k-60k",tbl_Clean[[#This Row],[Income]]&lt;=90000,"$70k-90k",TRUE,"$100k+")</f>
        <v>$70k-90k</v>
      </c>
      <c r="Q499" s="20">
        <f>_xlfn.XMATCH(tbl_Clean[[#This Row],[Income Band]],{"$10k-30k","$40k-60k","$70k-90k","$100k+"})</f>
        <v>3</v>
      </c>
      <c r="R499" s="20" t="str">
        <f>IF(tbl_Clean[[#This Row],[Cars]]&lt;=1,"0-1 Cars","2+ Cars")</f>
        <v>0-1 Cars</v>
      </c>
      <c r="S499" s="20">
        <f>_xlfn.XMATCH(tbl_Clean[[#This Row],[Commute Distance]],{"0-1 Miles","1-2 Miles","2-5 Miles","5-10 Miles","10+ Miles"})</f>
        <v>4</v>
      </c>
      <c r="T499" s="20">
        <f>_xlfn.XMATCH(tbl_Clean[[#This Row],[Education]],{"Partial High School","High School","Partial College","Bachelors","Graduate Degree"})</f>
        <v>2</v>
      </c>
      <c r="U499" s="20">
        <f>IF(tbl_Clean[[#This Row],[Purchased Bike]]="Yes",1,0)</f>
        <v>0</v>
      </c>
    </row>
    <row r="500" spans="1:21" x14ac:dyDescent="0.25">
      <c r="A500" s="20">
        <v>24981</v>
      </c>
      <c r="B500" s="3" t="s">
        <v>111</v>
      </c>
      <c r="C500" s="3" t="s">
        <v>113</v>
      </c>
      <c r="D500" s="19">
        <v>60000</v>
      </c>
      <c r="E500" s="20">
        <v>2</v>
      </c>
      <c r="F500" s="3" t="s">
        <v>21</v>
      </c>
      <c r="G500" s="3" t="s">
        <v>23</v>
      </c>
      <c r="H500" s="3" t="s">
        <v>17</v>
      </c>
      <c r="I500" s="20">
        <v>2</v>
      </c>
      <c r="J500" s="3" t="s">
        <v>33</v>
      </c>
      <c r="K500" s="3" t="s">
        <v>35</v>
      </c>
      <c r="L500" s="20">
        <v>56</v>
      </c>
      <c r="M500" s="3" t="s">
        <v>20</v>
      </c>
      <c r="N500" s="20" t="str" cm="1">
        <f t="array" ref="N500">_xlfn.IFS(tbl_Clean[[#This Row],[Age]]&lt;=30,"25-30",tbl_Clean[[#This Row],[Age]]&lt;=40,"31-40",tbl_Clean[[#This Row],[Age]]&lt;=50,"41-50",tbl_Clean[[#This Row],[Age]]&lt;=60,"51-60",TRUE,"61+")</f>
        <v>51-60</v>
      </c>
      <c r="O500" s="20">
        <f>_xlfn.XMATCH(tbl_Clean[[#This Row],[Age Band]],{"25-30","31-40","41-50","51-60","61+"})</f>
        <v>4</v>
      </c>
      <c r="P500" s="20" t="str" cm="1">
        <f t="array" ref="P500">_xlfn.IFS(tbl_Clean[[#This Row],[Income]]&lt;=30000,"$10k-30k",tbl_Clean[[#This Row],[Income]]&lt;=60000,"$40k-60k",tbl_Clean[[#This Row],[Income]]&lt;=90000,"$70k-90k",TRUE,"$100k+")</f>
        <v>$40k-60k</v>
      </c>
      <c r="Q500" s="20">
        <f>_xlfn.XMATCH(tbl_Clean[[#This Row],[Income Band]],{"$10k-30k","$40k-60k","$70k-90k","$100k+"})</f>
        <v>2</v>
      </c>
      <c r="R500" s="20" t="str">
        <f>IF(tbl_Clean[[#This Row],[Cars]]&lt;=1,"0-1 Cars","2+ Cars")</f>
        <v>2+ Cars</v>
      </c>
      <c r="S500" s="20">
        <f>_xlfn.XMATCH(tbl_Clean[[#This Row],[Commute Distance]],{"0-1 Miles","1-2 Miles","2-5 Miles","5-10 Miles","10+ Miles"})</f>
        <v>5</v>
      </c>
      <c r="T500" s="20">
        <f>_xlfn.XMATCH(tbl_Clean[[#This Row],[Education]],{"Partial High School","High School","Partial College","Bachelors","Graduate Degree"})</f>
        <v>3</v>
      </c>
      <c r="U500" s="20">
        <f>IF(tbl_Clean[[#This Row],[Purchased Bike]]="Yes",1,0)</f>
        <v>0</v>
      </c>
    </row>
    <row r="501" spans="1:21" x14ac:dyDescent="0.25">
      <c r="A501" s="20">
        <v>20678</v>
      </c>
      <c r="B501" s="3" t="s">
        <v>114</v>
      </c>
      <c r="C501" s="3" t="s">
        <v>112</v>
      </c>
      <c r="D501" s="19">
        <v>60000</v>
      </c>
      <c r="E501" s="20">
        <v>3</v>
      </c>
      <c r="F501" s="3" t="s">
        <v>15</v>
      </c>
      <c r="G501" s="3" t="s">
        <v>16</v>
      </c>
      <c r="H501" s="3" t="s">
        <v>17</v>
      </c>
      <c r="I501" s="20">
        <v>1</v>
      </c>
      <c r="J501" s="3" t="s">
        <v>24</v>
      </c>
      <c r="K501" s="3" t="s">
        <v>35</v>
      </c>
      <c r="L501" s="20">
        <v>40</v>
      </c>
      <c r="M501" s="3" t="s">
        <v>17</v>
      </c>
      <c r="N501" s="20" t="str" cm="1">
        <f t="array" ref="N501">_xlfn.IFS(tbl_Clean[[#This Row],[Age]]&lt;=30,"25-30",tbl_Clean[[#This Row],[Age]]&lt;=40,"31-40",tbl_Clean[[#This Row],[Age]]&lt;=50,"41-50",tbl_Clean[[#This Row],[Age]]&lt;=60,"51-60",TRUE,"61+")</f>
        <v>31-40</v>
      </c>
      <c r="O501" s="20">
        <f>_xlfn.XMATCH(tbl_Clean[[#This Row],[Age Band]],{"25-30","31-40","41-50","51-60","61+"})</f>
        <v>2</v>
      </c>
      <c r="P501" s="20" t="str" cm="1">
        <f t="array" ref="P501">_xlfn.IFS(tbl_Clean[[#This Row],[Income]]&lt;=30000,"$10k-30k",tbl_Clean[[#This Row],[Income]]&lt;=60000,"$40k-60k",tbl_Clean[[#This Row],[Income]]&lt;=90000,"$70k-90k",TRUE,"$100k+")</f>
        <v>$40k-60k</v>
      </c>
      <c r="Q501" s="20">
        <f>_xlfn.XMATCH(tbl_Clean[[#This Row],[Income Band]],{"$10k-30k","$40k-60k","$70k-90k","$100k+"})</f>
        <v>2</v>
      </c>
      <c r="R501" s="20" t="str">
        <f>IF(tbl_Clean[[#This Row],[Cars]]&lt;=1,"0-1 Cars","2+ Cars")</f>
        <v>0-1 Cars</v>
      </c>
      <c r="S501" s="20">
        <f>_xlfn.XMATCH(tbl_Clean[[#This Row],[Commute Distance]],{"0-1 Miles","1-2 Miles","2-5 Miles","5-10 Miles","10+ Miles"})</f>
        <v>3</v>
      </c>
      <c r="T501" s="20">
        <f>_xlfn.XMATCH(tbl_Clean[[#This Row],[Education]],{"Partial High School","High School","Partial College","Bachelors","Graduate Degree"})</f>
        <v>4</v>
      </c>
      <c r="U501" s="20">
        <f>IF(tbl_Clean[[#This Row],[Purchased Bike]]="Yes",1,0)</f>
        <v>1</v>
      </c>
    </row>
    <row r="502" spans="1:21" x14ac:dyDescent="0.25">
      <c r="A502" s="20">
        <v>15302</v>
      </c>
      <c r="B502" s="3" t="s">
        <v>114</v>
      </c>
      <c r="C502" s="3" t="s">
        <v>112</v>
      </c>
      <c r="D502" s="19">
        <v>70000</v>
      </c>
      <c r="E502" s="20">
        <v>1</v>
      </c>
      <c r="F502" s="3" t="s">
        <v>34</v>
      </c>
      <c r="G502" s="3" t="s">
        <v>23</v>
      </c>
      <c r="H502" s="3" t="s">
        <v>17</v>
      </c>
      <c r="I502" s="20">
        <v>0</v>
      </c>
      <c r="J502" s="3" t="s">
        <v>24</v>
      </c>
      <c r="K502" s="3" t="s">
        <v>35</v>
      </c>
      <c r="L502" s="20">
        <v>34</v>
      </c>
      <c r="M502" s="3" t="s">
        <v>17</v>
      </c>
      <c r="N502" s="20" t="str" cm="1">
        <f t="array" ref="N502">_xlfn.IFS(tbl_Clean[[#This Row],[Age]]&lt;=30,"25-30",tbl_Clean[[#This Row],[Age]]&lt;=40,"31-40",tbl_Clean[[#This Row],[Age]]&lt;=50,"41-50",tbl_Clean[[#This Row],[Age]]&lt;=60,"51-60",TRUE,"61+")</f>
        <v>31-40</v>
      </c>
      <c r="O502" s="20">
        <f>_xlfn.XMATCH(tbl_Clean[[#This Row],[Age Band]],{"25-30","31-40","41-50","51-60","61+"})</f>
        <v>2</v>
      </c>
      <c r="P502" s="20" t="str" cm="1">
        <f t="array" ref="P502">_xlfn.IFS(tbl_Clean[[#This Row],[Income]]&lt;=30000,"$10k-30k",tbl_Clean[[#This Row],[Income]]&lt;=60000,"$40k-60k",tbl_Clean[[#This Row],[Income]]&lt;=90000,"$70k-90k",TRUE,"$100k+")</f>
        <v>$70k-90k</v>
      </c>
      <c r="Q502" s="20">
        <f>_xlfn.XMATCH(tbl_Clean[[#This Row],[Income Band]],{"$10k-30k","$40k-60k","$70k-90k","$100k+"})</f>
        <v>3</v>
      </c>
      <c r="R502" s="20" t="str">
        <f>IF(tbl_Clean[[#This Row],[Cars]]&lt;=1,"0-1 Cars","2+ Cars")</f>
        <v>0-1 Cars</v>
      </c>
      <c r="S502" s="20">
        <f>_xlfn.XMATCH(tbl_Clean[[#This Row],[Commute Distance]],{"0-1 Miles","1-2 Miles","2-5 Miles","5-10 Miles","10+ Miles"})</f>
        <v>3</v>
      </c>
      <c r="T502" s="20">
        <f>_xlfn.XMATCH(tbl_Clean[[#This Row],[Education]],{"Partial High School","High School","Partial College","Bachelors","Graduate Degree"})</f>
        <v>5</v>
      </c>
      <c r="U502" s="20">
        <f>IF(tbl_Clean[[#This Row],[Purchased Bike]]="Yes",1,0)</f>
        <v>1</v>
      </c>
    </row>
    <row r="503" spans="1:21" x14ac:dyDescent="0.25">
      <c r="A503" s="20">
        <v>26012</v>
      </c>
      <c r="B503" s="3" t="s">
        <v>111</v>
      </c>
      <c r="C503" s="3" t="s">
        <v>113</v>
      </c>
      <c r="D503" s="19">
        <v>80000</v>
      </c>
      <c r="E503" s="20">
        <v>1</v>
      </c>
      <c r="F503" s="3" t="s">
        <v>21</v>
      </c>
      <c r="G503" s="3" t="s">
        <v>16</v>
      </c>
      <c r="H503" s="3" t="s">
        <v>17</v>
      </c>
      <c r="I503" s="20">
        <v>1</v>
      </c>
      <c r="J503" s="3" t="s">
        <v>24</v>
      </c>
      <c r="K503" s="3" t="s">
        <v>35</v>
      </c>
      <c r="L503" s="20">
        <v>48</v>
      </c>
      <c r="M503" s="3" t="s">
        <v>17</v>
      </c>
      <c r="N503" s="20" t="str" cm="1">
        <f t="array" ref="N503">_xlfn.IFS(tbl_Clean[[#This Row],[Age]]&lt;=30,"25-30",tbl_Clean[[#This Row],[Age]]&lt;=40,"31-40",tbl_Clean[[#This Row],[Age]]&lt;=50,"41-50",tbl_Clean[[#This Row],[Age]]&lt;=60,"51-60",TRUE,"61+")</f>
        <v>41-50</v>
      </c>
      <c r="O503" s="20">
        <f>_xlfn.XMATCH(tbl_Clean[[#This Row],[Age Band]],{"25-30","31-40","41-50","51-60","61+"})</f>
        <v>3</v>
      </c>
      <c r="P503" s="20" t="str" cm="1">
        <f t="array" ref="P503">_xlfn.IFS(tbl_Clean[[#This Row],[Income]]&lt;=30000,"$10k-30k",tbl_Clean[[#This Row],[Income]]&lt;=60000,"$40k-60k",tbl_Clean[[#This Row],[Income]]&lt;=90000,"$70k-90k",TRUE,"$100k+")</f>
        <v>$70k-90k</v>
      </c>
      <c r="Q503" s="20">
        <f>_xlfn.XMATCH(tbl_Clean[[#This Row],[Income Band]],{"$10k-30k","$40k-60k","$70k-90k","$100k+"})</f>
        <v>3</v>
      </c>
      <c r="R503" s="20" t="str">
        <f>IF(tbl_Clean[[#This Row],[Cars]]&lt;=1,"0-1 Cars","2+ Cars")</f>
        <v>0-1 Cars</v>
      </c>
      <c r="S503" s="20">
        <f>_xlfn.XMATCH(tbl_Clean[[#This Row],[Commute Distance]],{"0-1 Miles","1-2 Miles","2-5 Miles","5-10 Miles","10+ Miles"})</f>
        <v>3</v>
      </c>
      <c r="T503" s="20">
        <f>_xlfn.XMATCH(tbl_Clean[[#This Row],[Education]],{"Partial High School","High School","Partial College","Bachelors","Graduate Degree"})</f>
        <v>3</v>
      </c>
      <c r="U503" s="20">
        <f>IF(tbl_Clean[[#This Row],[Purchased Bike]]="Yes",1,0)</f>
        <v>1</v>
      </c>
    </row>
    <row r="504" spans="1:21" x14ac:dyDescent="0.25">
      <c r="A504" s="20">
        <v>26575</v>
      </c>
      <c r="B504" s="3" t="s">
        <v>114</v>
      </c>
      <c r="C504" s="3" t="s">
        <v>112</v>
      </c>
      <c r="D504" s="19">
        <v>40000</v>
      </c>
      <c r="E504" s="20">
        <v>0</v>
      </c>
      <c r="F504" s="3" t="s">
        <v>30</v>
      </c>
      <c r="G504" s="3" t="s">
        <v>16</v>
      </c>
      <c r="H504" s="3" t="s">
        <v>20</v>
      </c>
      <c r="I504" s="20">
        <v>2</v>
      </c>
      <c r="J504" s="3" t="s">
        <v>29</v>
      </c>
      <c r="K504" s="3" t="s">
        <v>35</v>
      </c>
      <c r="L504" s="20">
        <v>31</v>
      </c>
      <c r="M504" s="3" t="s">
        <v>17</v>
      </c>
      <c r="N504" s="20" t="str" cm="1">
        <f t="array" ref="N504">_xlfn.IFS(tbl_Clean[[#This Row],[Age]]&lt;=30,"25-30",tbl_Clean[[#This Row],[Age]]&lt;=40,"31-40",tbl_Clean[[#This Row],[Age]]&lt;=50,"41-50",tbl_Clean[[#This Row],[Age]]&lt;=60,"51-60",TRUE,"61+")</f>
        <v>31-40</v>
      </c>
      <c r="O504" s="20">
        <f>_xlfn.XMATCH(tbl_Clean[[#This Row],[Age Band]],{"25-30","31-40","41-50","51-60","61+"})</f>
        <v>2</v>
      </c>
      <c r="P504" s="20" t="str" cm="1">
        <f t="array" ref="P504">_xlfn.IFS(tbl_Clean[[#This Row],[Income]]&lt;=30000,"$10k-30k",tbl_Clean[[#This Row],[Income]]&lt;=60000,"$40k-60k",tbl_Clean[[#This Row],[Income]]&lt;=90000,"$70k-90k",TRUE,"$100k+")</f>
        <v>$40k-60k</v>
      </c>
      <c r="Q504" s="20">
        <f>_xlfn.XMATCH(tbl_Clean[[#This Row],[Income Band]],{"$10k-30k","$40k-60k","$70k-90k","$100k+"})</f>
        <v>2</v>
      </c>
      <c r="R504" s="20" t="str">
        <f>IF(tbl_Clean[[#This Row],[Cars]]&lt;=1,"0-1 Cars","2+ Cars")</f>
        <v>2+ Cars</v>
      </c>
      <c r="S504" s="20">
        <f>_xlfn.XMATCH(tbl_Clean[[#This Row],[Commute Distance]],{"0-1 Miles","1-2 Miles","2-5 Miles","5-10 Miles","10+ Miles"})</f>
        <v>2</v>
      </c>
      <c r="T504" s="20">
        <f>_xlfn.XMATCH(tbl_Clean[[#This Row],[Education]],{"Partial High School","High School","Partial College","Bachelors","Graduate Degree"})</f>
        <v>2</v>
      </c>
      <c r="U504" s="20">
        <f>IF(tbl_Clean[[#This Row],[Purchased Bike]]="Yes",1,0)</f>
        <v>1</v>
      </c>
    </row>
    <row r="505" spans="1:21" x14ac:dyDescent="0.25">
      <c r="A505" s="20">
        <v>15559</v>
      </c>
      <c r="B505" s="3" t="s">
        <v>111</v>
      </c>
      <c r="C505" s="3" t="s">
        <v>113</v>
      </c>
      <c r="D505" s="19">
        <v>60000</v>
      </c>
      <c r="E505" s="20">
        <v>5</v>
      </c>
      <c r="F505" s="3" t="s">
        <v>15</v>
      </c>
      <c r="G505" s="3" t="s">
        <v>23</v>
      </c>
      <c r="H505" s="3" t="s">
        <v>17</v>
      </c>
      <c r="I505" s="20">
        <v>1</v>
      </c>
      <c r="J505" s="3" t="s">
        <v>24</v>
      </c>
      <c r="K505" s="3" t="s">
        <v>35</v>
      </c>
      <c r="L505" s="20">
        <v>47</v>
      </c>
      <c r="M505" s="3" t="s">
        <v>20</v>
      </c>
      <c r="N505" s="20" t="str" cm="1">
        <f t="array" ref="N505">_xlfn.IFS(tbl_Clean[[#This Row],[Age]]&lt;=30,"25-30",tbl_Clean[[#This Row],[Age]]&lt;=40,"31-40",tbl_Clean[[#This Row],[Age]]&lt;=50,"41-50",tbl_Clean[[#This Row],[Age]]&lt;=60,"51-60",TRUE,"61+")</f>
        <v>41-50</v>
      </c>
      <c r="O505" s="20">
        <f>_xlfn.XMATCH(tbl_Clean[[#This Row],[Age Band]],{"25-30","31-40","41-50","51-60","61+"})</f>
        <v>3</v>
      </c>
      <c r="P505" s="20" t="str" cm="1">
        <f t="array" ref="P505">_xlfn.IFS(tbl_Clean[[#This Row],[Income]]&lt;=30000,"$10k-30k",tbl_Clean[[#This Row],[Income]]&lt;=60000,"$40k-60k",tbl_Clean[[#This Row],[Income]]&lt;=90000,"$70k-90k",TRUE,"$100k+")</f>
        <v>$40k-60k</v>
      </c>
      <c r="Q505" s="20">
        <f>_xlfn.XMATCH(tbl_Clean[[#This Row],[Income Band]],{"$10k-30k","$40k-60k","$70k-90k","$100k+"})</f>
        <v>2</v>
      </c>
      <c r="R505" s="20" t="str">
        <f>IF(tbl_Clean[[#This Row],[Cars]]&lt;=1,"0-1 Cars","2+ Cars")</f>
        <v>0-1 Cars</v>
      </c>
      <c r="S505" s="20">
        <f>_xlfn.XMATCH(tbl_Clean[[#This Row],[Commute Distance]],{"0-1 Miles","1-2 Miles","2-5 Miles","5-10 Miles","10+ Miles"})</f>
        <v>3</v>
      </c>
      <c r="T505" s="20">
        <f>_xlfn.XMATCH(tbl_Clean[[#This Row],[Education]],{"Partial High School","High School","Partial College","Bachelors","Graduate Degree"})</f>
        <v>4</v>
      </c>
      <c r="U505" s="20">
        <f>IF(tbl_Clean[[#This Row],[Purchased Bike]]="Yes",1,0)</f>
        <v>0</v>
      </c>
    </row>
    <row r="506" spans="1:21" x14ac:dyDescent="0.25">
      <c r="A506" s="20">
        <v>19235</v>
      </c>
      <c r="B506" s="3" t="s">
        <v>111</v>
      </c>
      <c r="C506" s="3" t="s">
        <v>112</v>
      </c>
      <c r="D506" s="19">
        <v>50000</v>
      </c>
      <c r="E506" s="20">
        <v>0</v>
      </c>
      <c r="F506" s="3" t="s">
        <v>34</v>
      </c>
      <c r="G506" s="3" t="s">
        <v>16</v>
      </c>
      <c r="H506" s="3" t="s">
        <v>17</v>
      </c>
      <c r="I506" s="20">
        <v>0</v>
      </c>
      <c r="J506" s="3" t="s">
        <v>18</v>
      </c>
      <c r="K506" s="3" t="s">
        <v>35</v>
      </c>
      <c r="L506" s="20">
        <v>34</v>
      </c>
      <c r="M506" s="3" t="s">
        <v>20</v>
      </c>
      <c r="N506" s="20" t="str" cm="1">
        <f t="array" ref="N506">_xlfn.IFS(tbl_Clean[[#This Row],[Age]]&lt;=30,"25-30",tbl_Clean[[#This Row],[Age]]&lt;=40,"31-40",tbl_Clean[[#This Row],[Age]]&lt;=50,"41-50",tbl_Clean[[#This Row],[Age]]&lt;=60,"51-60",TRUE,"61+")</f>
        <v>31-40</v>
      </c>
      <c r="O506" s="20">
        <f>_xlfn.XMATCH(tbl_Clean[[#This Row],[Age Band]],{"25-30","31-40","41-50","51-60","61+"})</f>
        <v>2</v>
      </c>
      <c r="P506" s="20" t="str" cm="1">
        <f t="array" ref="P506">_xlfn.IFS(tbl_Clean[[#This Row],[Income]]&lt;=30000,"$10k-30k",tbl_Clean[[#This Row],[Income]]&lt;=60000,"$40k-60k",tbl_Clean[[#This Row],[Income]]&lt;=90000,"$70k-90k",TRUE,"$100k+")</f>
        <v>$40k-60k</v>
      </c>
      <c r="Q506" s="20">
        <f>_xlfn.XMATCH(tbl_Clean[[#This Row],[Income Band]],{"$10k-30k","$40k-60k","$70k-90k","$100k+"})</f>
        <v>2</v>
      </c>
      <c r="R506" s="20" t="str">
        <f>IF(tbl_Clean[[#This Row],[Cars]]&lt;=1,"0-1 Cars","2+ Cars")</f>
        <v>0-1 Cars</v>
      </c>
      <c r="S506" s="20">
        <f>_xlfn.XMATCH(tbl_Clean[[#This Row],[Commute Distance]],{"0-1 Miles","1-2 Miles","2-5 Miles","5-10 Miles","10+ Miles"})</f>
        <v>1</v>
      </c>
      <c r="T506" s="20">
        <f>_xlfn.XMATCH(tbl_Clean[[#This Row],[Education]],{"Partial High School","High School","Partial College","Bachelors","Graduate Degree"})</f>
        <v>5</v>
      </c>
      <c r="U506" s="20">
        <f>IF(tbl_Clean[[#This Row],[Purchased Bike]]="Yes",1,0)</f>
        <v>0</v>
      </c>
    </row>
    <row r="507" spans="1:21" x14ac:dyDescent="0.25">
      <c r="A507" s="20">
        <v>15275</v>
      </c>
      <c r="B507" s="3" t="s">
        <v>111</v>
      </c>
      <c r="C507" s="3" t="s">
        <v>113</v>
      </c>
      <c r="D507" s="19">
        <v>40000</v>
      </c>
      <c r="E507" s="20">
        <v>0</v>
      </c>
      <c r="F507" s="3" t="s">
        <v>21</v>
      </c>
      <c r="G507" s="3" t="s">
        <v>16</v>
      </c>
      <c r="H507" s="3" t="s">
        <v>17</v>
      </c>
      <c r="I507" s="20">
        <v>1</v>
      </c>
      <c r="J507" s="3" t="s">
        <v>26</v>
      </c>
      <c r="K507" s="3" t="s">
        <v>35</v>
      </c>
      <c r="L507" s="20">
        <v>29</v>
      </c>
      <c r="M507" s="3" t="s">
        <v>20</v>
      </c>
      <c r="N507" s="20" t="str" cm="1">
        <f t="array" ref="N507">_xlfn.IFS(tbl_Clean[[#This Row],[Age]]&lt;=30,"25-30",tbl_Clean[[#This Row],[Age]]&lt;=40,"31-40",tbl_Clean[[#This Row],[Age]]&lt;=50,"41-50",tbl_Clean[[#This Row],[Age]]&lt;=60,"51-60",TRUE,"61+")</f>
        <v>25-30</v>
      </c>
      <c r="O507" s="20">
        <f>_xlfn.XMATCH(tbl_Clean[[#This Row],[Age Band]],{"25-30","31-40","41-50","51-60","61+"})</f>
        <v>1</v>
      </c>
      <c r="P507" s="20" t="str" cm="1">
        <f t="array" ref="P507">_xlfn.IFS(tbl_Clean[[#This Row],[Income]]&lt;=30000,"$10k-30k",tbl_Clean[[#This Row],[Income]]&lt;=60000,"$40k-60k",tbl_Clean[[#This Row],[Income]]&lt;=90000,"$70k-90k",TRUE,"$100k+")</f>
        <v>$40k-60k</v>
      </c>
      <c r="Q507" s="20">
        <f>_xlfn.XMATCH(tbl_Clean[[#This Row],[Income Band]],{"$10k-30k","$40k-60k","$70k-90k","$100k+"})</f>
        <v>2</v>
      </c>
      <c r="R507" s="20" t="str">
        <f>IF(tbl_Clean[[#This Row],[Cars]]&lt;=1,"0-1 Cars","2+ Cars")</f>
        <v>0-1 Cars</v>
      </c>
      <c r="S507" s="20">
        <f>_xlfn.XMATCH(tbl_Clean[[#This Row],[Commute Distance]],{"0-1 Miles","1-2 Miles","2-5 Miles","5-10 Miles","10+ Miles"})</f>
        <v>4</v>
      </c>
      <c r="T507" s="20">
        <f>_xlfn.XMATCH(tbl_Clean[[#This Row],[Education]],{"Partial High School","High School","Partial College","Bachelors","Graduate Degree"})</f>
        <v>3</v>
      </c>
      <c r="U507" s="20">
        <f>IF(tbl_Clean[[#This Row],[Purchased Bike]]="Yes",1,0)</f>
        <v>0</v>
      </c>
    </row>
    <row r="508" spans="1:21" x14ac:dyDescent="0.25">
      <c r="A508" s="20">
        <v>20339</v>
      </c>
      <c r="B508" s="3" t="s">
        <v>111</v>
      </c>
      <c r="C508" s="3" t="s">
        <v>112</v>
      </c>
      <c r="D508" s="19">
        <v>130000</v>
      </c>
      <c r="E508" s="20">
        <v>1</v>
      </c>
      <c r="F508" s="3" t="s">
        <v>15</v>
      </c>
      <c r="G508" s="3" t="s">
        <v>31</v>
      </c>
      <c r="H508" s="3" t="s">
        <v>17</v>
      </c>
      <c r="I508" s="20">
        <v>4</v>
      </c>
      <c r="J508" s="3" t="s">
        <v>24</v>
      </c>
      <c r="K508" s="3" t="s">
        <v>35</v>
      </c>
      <c r="L508" s="20">
        <v>44</v>
      </c>
      <c r="M508" s="3" t="s">
        <v>17</v>
      </c>
      <c r="N508" s="20" t="str" cm="1">
        <f t="array" ref="N508">_xlfn.IFS(tbl_Clean[[#This Row],[Age]]&lt;=30,"25-30",tbl_Clean[[#This Row],[Age]]&lt;=40,"31-40",tbl_Clean[[#This Row],[Age]]&lt;=50,"41-50",tbl_Clean[[#This Row],[Age]]&lt;=60,"51-60",TRUE,"61+")</f>
        <v>41-50</v>
      </c>
      <c r="O508" s="20">
        <f>_xlfn.XMATCH(tbl_Clean[[#This Row],[Age Band]],{"25-30","31-40","41-50","51-60","61+"})</f>
        <v>3</v>
      </c>
      <c r="P508" s="20" t="str" cm="1">
        <f t="array" ref="P508">_xlfn.IFS(tbl_Clean[[#This Row],[Income]]&lt;=30000,"$10k-30k",tbl_Clean[[#This Row],[Income]]&lt;=60000,"$40k-60k",tbl_Clean[[#This Row],[Income]]&lt;=90000,"$70k-90k",TRUE,"$100k+")</f>
        <v>$100k+</v>
      </c>
      <c r="Q508" s="20">
        <f>_xlfn.XMATCH(tbl_Clean[[#This Row],[Income Band]],{"$10k-30k","$40k-60k","$70k-90k","$100k+"})</f>
        <v>4</v>
      </c>
      <c r="R508" s="20" t="str">
        <f>IF(tbl_Clean[[#This Row],[Cars]]&lt;=1,"0-1 Cars","2+ Cars")</f>
        <v>2+ Cars</v>
      </c>
      <c r="S508" s="20">
        <f>_xlfn.XMATCH(tbl_Clean[[#This Row],[Commute Distance]],{"0-1 Miles","1-2 Miles","2-5 Miles","5-10 Miles","10+ Miles"})</f>
        <v>3</v>
      </c>
      <c r="T508" s="20">
        <f>_xlfn.XMATCH(tbl_Clean[[#This Row],[Education]],{"Partial High School","High School","Partial College","Bachelors","Graduate Degree"})</f>
        <v>4</v>
      </c>
      <c r="U508" s="20">
        <f>IF(tbl_Clean[[#This Row],[Purchased Bike]]="Yes",1,0)</f>
        <v>1</v>
      </c>
    </row>
    <row r="509" spans="1:21" x14ac:dyDescent="0.25">
      <c r="A509" s="20">
        <v>25405</v>
      </c>
      <c r="B509" s="3" t="s">
        <v>111</v>
      </c>
      <c r="C509" s="3" t="s">
        <v>113</v>
      </c>
      <c r="D509" s="19">
        <v>70000</v>
      </c>
      <c r="E509" s="20">
        <v>2</v>
      </c>
      <c r="F509" s="3" t="s">
        <v>15</v>
      </c>
      <c r="G509" s="3" t="s">
        <v>16</v>
      </c>
      <c r="H509" s="3" t="s">
        <v>17</v>
      </c>
      <c r="I509" s="20">
        <v>1</v>
      </c>
      <c r="J509" s="3" t="s">
        <v>24</v>
      </c>
      <c r="K509" s="3" t="s">
        <v>35</v>
      </c>
      <c r="L509" s="20">
        <v>38</v>
      </c>
      <c r="M509" s="3" t="s">
        <v>17</v>
      </c>
      <c r="N509" s="20" t="str" cm="1">
        <f t="array" ref="N509">_xlfn.IFS(tbl_Clean[[#This Row],[Age]]&lt;=30,"25-30",tbl_Clean[[#This Row],[Age]]&lt;=40,"31-40",tbl_Clean[[#This Row],[Age]]&lt;=50,"41-50",tbl_Clean[[#This Row],[Age]]&lt;=60,"51-60",TRUE,"61+")</f>
        <v>31-40</v>
      </c>
      <c r="O509" s="20">
        <f>_xlfn.XMATCH(tbl_Clean[[#This Row],[Age Band]],{"25-30","31-40","41-50","51-60","61+"})</f>
        <v>2</v>
      </c>
      <c r="P509" s="20" t="str" cm="1">
        <f t="array" ref="P509">_xlfn.IFS(tbl_Clean[[#This Row],[Income]]&lt;=30000,"$10k-30k",tbl_Clean[[#This Row],[Income]]&lt;=60000,"$40k-60k",tbl_Clean[[#This Row],[Income]]&lt;=90000,"$70k-90k",TRUE,"$100k+")</f>
        <v>$70k-90k</v>
      </c>
      <c r="Q509" s="20">
        <f>_xlfn.XMATCH(tbl_Clean[[#This Row],[Income Band]],{"$10k-30k","$40k-60k","$70k-90k","$100k+"})</f>
        <v>3</v>
      </c>
      <c r="R509" s="20" t="str">
        <f>IF(tbl_Clean[[#This Row],[Cars]]&lt;=1,"0-1 Cars","2+ Cars")</f>
        <v>0-1 Cars</v>
      </c>
      <c r="S509" s="20">
        <f>_xlfn.XMATCH(tbl_Clean[[#This Row],[Commute Distance]],{"0-1 Miles","1-2 Miles","2-5 Miles","5-10 Miles","10+ Miles"})</f>
        <v>3</v>
      </c>
      <c r="T509" s="20">
        <f>_xlfn.XMATCH(tbl_Clean[[#This Row],[Education]],{"Partial High School","High School","Partial College","Bachelors","Graduate Degree"})</f>
        <v>4</v>
      </c>
      <c r="U509" s="20">
        <f>IF(tbl_Clean[[#This Row],[Purchased Bike]]="Yes",1,0)</f>
        <v>1</v>
      </c>
    </row>
    <row r="510" spans="1:21" x14ac:dyDescent="0.25">
      <c r="A510" s="20">
        <v>15940</v>
      </c>
      <c r="B510" s="3" t="s">
        <v>111</v>
      </c>
      <c r="C510" s="3" t="s">
        <v>113</v>
      </c>
      <c r="D510" s="19">
        <v>100000</v>
      </c>
      <c r="E510" s="20">
        <v>4</v>
      </c>
      <c r="F510" s="3" t="s">
        <v>21</v>
      </c>
      <c r="G510" s="3" t="s">
        <v>23</v>
      </c>
      <c r="H510" s="3" t="s">
        <v>17</v>
      </c>
      <c r="I510" s="20">
        <v>4</v>
      </c>
      <c r="J510" s="3" t="s">
        <v>18</v>
      </c>
      <c r="K510" s="3" t="s">
        <v>35</v>
      </c>
      <c r="L510" s="20">
        <v>40</v>
      </c>
      <c r="M510" s="3" t="s">
        <v>20</v>
      </c>
      <c r="N510" s="20" t="str" cm="1">
        <f t="array" ref="N510">_xlfn.IFS(tbl_Clean[[#This Row],[Age]]&lt;=30,"25-30",tbl_Clean[[#This Row],[Age]]&lt;=40,"31-40",tbl_Clean[[#This Row],[Age]]&lt;=50,"41-50",tbl_Clean[[#This Row],[Age]]&lt;=60,"51-60",TRUE,"61+")</f>
        <v>31-40</v>
      </c>
      <c r="O510" s="20">
        <f>_xlfn.XMATCH(tbl_Clean[[#This Row],[Age Band]],{"25-30","31-40","41-50","51-60","61+"})</f>
        <v>2</v>
      </c>
      <c r="P510" s="20" t="str" cm="1">
        <f t="array" ref="P510">_xlfn.IFS(tbl_Clean[[#This Row],[Income]]&lt;=30000,"$10k-30k",tbl_Clean[[#This Row],[Income]]&lt;=60000,"$40k-60k",tbl_Clean[[#This Row],[Income]]&lt;=90000,"$70k-90k",TRUE,"$100k+")</f>
        <v>$100k+</v>
      </c>
      <c r="Q510" s="20">
        <f>_xlfn.XMATCH(tbl_Clean[[#This Row],[Income Band]],{"$10k-30k","$40k-60k","$70k-90k","$100k+"})</f>
        <v>4</v>
      </c>
      <c r="R510" s="20" t="str">
        <f>IF(tbl_Clean[[#This Row],[Cars]]&lt;=1,"0-1 Cars","2+ Cars")</f>
        <v>2+ Cars</v>
      </c>
      <c r="S510" s="20">
        <f>_xlfn.XMATCH(tbl_Clean[[#This Row],[Commute Distance]],{"0-1 Miles","1-2 Miles","2-5 Miles","5-10 Miles","10+ Miles"})</f>
        <v>1</v>
      </c>
      <c r="T510" s="20">
        <f>_xlfn.XMATCH(tbl_Clean[[#This Row],[Education]],{"Partial High School","High School","Partial College","Bachelors","Graduate Degree"})</f>
        <v>3</v>
      </c>
      <c r="U510" s="20">
        <f>IF(tbl_Clean[[#This Row],[Purchased Bike]]="Yes",1,0)</f>
        <v>0</v>
      </c>
    </row>
    <row r="511" spans="1:21" x14ac:dyDescent="0.25">
      <c r="A511" s="20">
        <v>25074</v>
      </c>
      <c r="B511" s="3" t="s">
        <v>111</v>
      </c>
      <c r="C511" s="3" t="s">
        <v>112</v>
      </c>
      <c r="D511" s="19">
        <v>70000</v>
      </c>
      <c r="E511" s="20">
        <v>4</v>
      </c>
      <c r="F511" s="3" t="s">
        <v>15</v>
      </c>
      <c r="G511" s="3" t="s">
        <v>23</v>
      </c>
      <c r="H511" s="3" t="s">
        <v>17</v>
      </c>
      <c r="I511" s="20">
        <v>2</v>
      </c>
      <c r="J511" s="3" t="s">
        <v>24</v>
      </c>
      <c r="K511" s="3" t="s">
        <v>35</v>
      </c>
      <c r="L511" s="20">
        <v>42</v>
      </c>
      <c r="M511" s="3" t="s">
        <v>17</v>
      </c>
      <c r="N511" s="20" t="str" cm="1">
        <f t="array" ref="N511">_xlfn.IFS(tbl_Clean[[#This Row],[Age]]&lt;=30,"25-30",tbl_Clean[[#This Row],[Age]]&lt;=40,"31-40",tbl_Clean[[#This Row],[Age]]&lt;=50,"41-50",tbl_Clean[[#This Row],[Age]]&lt;=60,"51-60",TRUE,"61+")</f>
        <v>41-50</v>
      </c>
      <c r="O511" s="20">
        <f>_xlfn.XMATCH(tbl_Clean[[#This Row],[Age Band]],{"25-30","31-40","41-50","51-60","61+"})</f>
        <v>3</v>
      </c>
      <c r="P511" s="20" t="str" cm="1">
        <f t="array" ref="P511">_xlfn.IFS(tbl_Clean[[#This Row],[Income]]&lt;=30000,"$10k-30k",tbl_Clean[[#This Row],[Income]]&lt;=60000,"$40k-60k",tbl_Clean[[#This Row],[Income]]&lt;=90000,"$70k-90k",TRUE,"$100k+")</f>
        <v>$70k-90k</v>
      </c>
      <c r="Q511" s="20">
        <f>_xlfn.XMATCH(tbl_Clean[[#This Row],[Income Band]],{"$10k-30k","$40k-60k","$70k-90k","$100k+"})</f>
        <v>3</v>
      </c>
      <c r="R511" s="20" t="str">
        <f>IF(tbl_Clean[[#This Row],[Cars]]&lt;=1,"0-1 Cars","2+ Cars")</f>
        <v>2+ Cars</v>
      </c>
      <c r="S511" s="20">
        <f>_xlfn.XMATCH(tbl_Clean[[#This Row],[Commute Distance]],{"0-1 Miles","1-2 Miles","2-5 Miles","5-10 Miles","10+ Miles"})</f>
        <v>3</v>
      </c>
      <c r="T511" s="20">
        <f>_xlfn.XMATCH(tbl_Clean[[#This Row],[Education]],{"Partial High School","High School","Partial College","Bachelors","Graduate Degree"})</f>
        <v>4</v>
      </c>
      <c r="U511" s="20">
        <f>IF(tbl_Clean[[#This Row],[Purchased Bike]]="Yes",1,0)</f>
        <v>1</v>
      </c>
    </row>
    <row r="512" spans="1:21" x14ac:dyDescent="0.25">
      <c r="A512" s="20">
        <v>24738</v>
      </c>
      <c r="B512" s="3" t="s">
        <v>111</v>
      </c>
      <c r="C512" s="3" t="s">
        <v>112</v>
      </c>
      <c r="D512" s="19">
        <v>40000</v>
      </c>
      <c r="E512" s="20">
        <v>1</v>
      </c>
      <c r="F512" s="3" t="s">
        <v>21</v>
      </c>
      <c r="G512" s="3" t="s">
        <v>22</v>
      </c>
      <c r="H512" s="3" t="s">
        <v>17</v>
      </c>
      <c r="I512" s="20">
        <v>1</v>
      </c>
      <c r="J512" s="3" t="s">
        <v>29</v>
      </c>
      <c r="K512" s="3" t="s">
        <v>35</v>
      </c>
      <c r="L512" s="20">
        <v>51</v>
      </c>
      <c r="M512" s="3" t="s">
        <v>17</v>
      </c>
      <c r="N512" s="20" t="str" cm="1">
        <f t="array" ref="N512">_xlfn.IFS(tbl_Clean[[#This Row],[Age]]&lt;=30,"25-30",tbl_Clean[[#This Row],[Age]]&lt;=40,"31-40",tbl_Clean[[#This Row],[Age]]&lt;=50,"41-50",tbl_Clean[[#This Row],[Age]]&lt;=60,"51-60",TRUE,"61+")</f>
        <v>51-60</v>
      </c>
      <c r="O512" s="20">
        <f>_xlfn.XMATCH(tbl_Clean[[#This Row],[Age Band]],{"25-30","31-40","41-50","51-60","61+"})</f>
        <v>4</v>
      </c>
      <c r="P512" s="20" t="str" cm="1">
        <f t="array" ref="P512">_xlfn.IFS(tbl_Clean[[#This Row],[Income]]&lt;=30000,"$10k-30k",tbl_Clean[[#This Row],[Income]]&lt;=60000,"$40k-60k",tbl_Clean[[#This Row],[Income]]&lt;=90000,"$70k-90k",TRUE,"$100k+")</f>
        <v>$40k-60k</v>
      </c>
      <c r="Q512" s="20">
        <f>_xlfn.XMATCH(tbl_Clean[[#This Row],[Income Band]],{"$10k-30k","$40k-60k","$70k-90k","$100k+"})</f>
        <v>2</v>
      </c>
      <c r="R512" s="20" t="str">
        <f>IF(tbl_Clean[[#This Row],[Cars]]&lt;=1,"0-1 Cars","2+ Cars")</f>
        <v>0-1 Cars</v>
      </c>
      <c r="S512" s="20">
        <f>_xlfn.XMATCH(tbl_Clean[[#This Row],[Commute Distance]],{"0-1 Miles","1-2 Miles","2-5 Miles","5-10 Miles","10+ Miles"})</f>
        <v>2</v>
      </c>
      <c r="T512" s="20">
        <f>_xlfn.XMATCH(tbl_Clean[[#This Row],[Education]],{"Partial High School","High School","Partial College","Bachelors","Graduate Degree"})</f>
        <v>3</v>
      </c>
      <c r="U512" s="20">
        <f>IF(tbl_Clean[[#This Row],[Purchased Bike]]="Yes",1,0)</f>
        <v>1</v>
      </c>
    </row>
    <row r="513" spans="1:21" x14ac:dyDescent="0.25">
      <c r="A513" s="20">
        <v>16337</v>
      </c>
      <c r="B513" s="3" t="s">
        <v>111</v>
      </c>
      <c r="C513" s="3" t="s">
        <v>113</v>
      </c>
      <c r="D513" s="19">
        <v>60000</v>
      </c>
      <c r="E513" s="20">
        <v>0</v>
      </c>
      <c r="F513" s="3" t="s">
        <v>21</v>
      </c>
      <c r="G513" s="3" t="s">
        <v>16</v>
      </c>
      <c r="H513" s="3" t="s">
        <v>20</v>
      </c>
      <c r="I513" s="20">
        <v>2</v>
      </c>
      <c r="J513" s="3" t="s">
        <v>29</v>
      </c>
      <c r="K513" s="3" t="s">
        <v>35</v>
      </c>
      <c r="L513" s="20">
        <v>29</v>
      </c>
      <c r="M513" s="3" t="s">
        <v>20</v>
      </c>
      <c r="N513" s="20" t="str" cm="1">
        <f t="array" ref="N513">_xlfn.IFS(tbl_Clean[[#This Row],[Age]]&lt;=30,"25-30",tbl_Clean[[#This Row],[Age]]&lt;=40,"31-40",tbl_Clean[[#This Row],[Age]]&lt;=50,"41-50",tbl_Clean[[#This Row],[Age]]&lt;=60,"51-60",TRUE,"61+")</f>
        <v>25-30</v>
      </c>
      <c r="O513" s="20">
        <f>_xlfn.XMATCH(tbl_Clean[[#This Row],[Age Band]],{"25-30","31-40","41-50","51-60","61+"})</f>
        <v>1</v>
      </c>
      <c r="P513" s="20" t="str" cm="1">
        <f t="array" ref="P513">_xlfn.IFS(tbl_Clean[[#This Row],[Income]]&lt;=30000,"$10k-30k",tbl_Clean[[#This Row],[Income]]&lt;=60000,"$40k-60k",tbl_Clean[[#This Row],[Income]]&lt;=90000,"$70k-90k",TRUE,"$100k+")</f>
        <v>$40k-60k</v>
      </c>
      <c r="Q513" s="20">
        <f>_xlfn.XMATCH(tbl_Clean[[#This Row],[Income Band]],{"$10k-30k","$40k-60k","$70k-90k","$100k+"})</f>
        <v>2</v>
      </c>
      <c r="R513" s="20" t="str">
        <f>IF(tbl_Clean[[#This Row],[Cars]]&lt;=1,"0-1 Cars","2+ Cars")</f>
        <v>2+ Cars</v>
      </c>
      <c r="S513" s="20">
        <f>_xlfn.XMATCH(tbl_Clean[[#This Row],[Commute Distance]],{"0-1 Miles","1-2 Miles","2-5 Miles","5-10 Miles","10+ Miles"})</f>
        <v>2</v>
      </c>
      <c r="T513" s="20">
        <f>_xlfn.XMATCH(tbl_Clean[[#This Row],[Education]],{"Partial High School","High School","Partial College","Bachelors","Graduate Degree"})</f>
        <v>3</v>
      </c>
      <c r="U513" s="20">
        <f>IF(tbl_Clean[[#This Row],[Purchased Bike]]="Yes",1,0)</f>
        <v>0</v>
      </c>
    </row>
    <row r="514" spans="1:21" x14ac:dyDescent="0.25">
      <c r="A514" s="20">
        <v>24357</v>
      </c>
      <c r="B514" s="3" t="s">
        <v>111</v>
      </c>
      <c r="C514" s="3" t="s">
        <v>113</v>
      </c>
      <c r="D514" s="19">
        <v>80000</v>
      </c>
      <c r="E514" s="20">
        <v>3</v>
      </c>
      <c r="F514" s="3" t="s">
        <v>15</v>
      </c>
      <c r="G514" s="3" t="s">
        <v>23</v>
      </c>
      <c r="H514" s="3" t="s">
        <v>17</v>
      </c>
      <c r="I514" s="20">
        <v>1</v>
      </c>
      <c r="J514" s="3" t="s">
        <v>24</v>
      </c>
      <c r="K514" s="3" t="s">
        <v>35</v>
      </c>
      <c r="L514" s="20">
        <v>48</v>
      </c>
      <c r="M514" s="3" t="s">
        <v>17</v>
      </c>
      <c r="N514" s="20" t="str" cm="1">
        <f t="array" ref="N514">_xlfn.IFS(tbl_Clean[[#This Row],[Age]]&lt;=30,"25-30",tbl_Clean[[#This Row],[Age]]&lt;=40,"31-40",tbl_Clean[[#This Row],[Age]]&lt;=50,"41-50",tbl_Clean[[#This Row],[Age]]&lt;=60,"51-60",TRUE,"61+")</f>
        <v>41-50</v>
      </c>
      <c r="O514" s="20">
        <f>_xlfn.XMATCH(tbl_Clean[[#This Row],[Age Band]],{"25-30","31-40","41-50","51-60","61+"})</f>
        <v>3</v>
      </c>
      <c r="P514" s="20" t="str" cm="1">
        <f t="array" ref="P514">_xlfn.IFS(tbl_Clean[[#This Row],[Income]]&lt;=30000,"$10k-30k",tbl_Clean[[#This Row],[Income]]&lt;=60000,"$40k-60k",tbl_Clean[[#This Row],[Income]]&lt;=90000,"$70k-90k",TRUE,"$100k+")</f>
        <v>$70k-90k</v>
      </c>
      <c r="Q514" s="20">
        <f>_xlfn.XMATCH(tbl_Clean[[#This Row],[Income Band]],{"$10k-30k","$40k-60k","$70k-90k","$100k+"})</f>
        <v>3</v>
      </c>
      <c r="R514" s="20" t="str">
        <f>IF(tbl_Clean[[#This Row],[Cars]]&lt;=1,"0-1 Cars","2+ Cars")</f>
        <v>0-1 Cars</v>
      </c>
      <c r="S514" s="20">
        <f>_xlfn.XMATCH(tbl_Clean[[#This Row],[Commute Distance]],{"0-1 Miles","1-2 Miles","2-5 Miles","5-10 Miles","10+ Miles"})</f>
        <v>3</v>
      </c>
      <c r="T514" s="20">
        <f>_xlfn.XMATCH(tbl_Clean[[#This Row],[Education]],{"Partial High School","High School","Partial College","Bachelors","Graduate Degree"})</f>
        <v>4</v>
      </c>
      <c r="U514" s="20">
        <f>IF(tbl_Clean[[#This Row],[Purchased Bike]]="Yes",1,0)</f>
        <v>1</v>
      </c>
    </row>
    <row r="515" spans="1:21" x14ac:dyDescent="0.25">
      <c r="A515" s="20">
        <v>18613</v>
      </c>
      <c r="B515" s="3" t="s">
        <v>114</v>
      </c>
      <c r="C515" s="3" t="s">
        <v>113</v>
      </c>
      <c r="D515" s="19">
        <v>70000</v>
      </c>
      <c r="E515" s="20">
        <v>0</v>
      </c>
      <c r="F515" s="3" t="s">
        <v>15</v>
      </c>
      <c r="G515" s="3" t="s">
        <v>23</v>
      </c>
      <c r="H515" s="3" t="s">
        <v>20</v>
      </c>
      <c r="I515" s="20">
        <v>1</v>
      </c>
      <c r="J515" s="3" t="s">
        <v>24</v>
      </c>
      <c r="K515" s="3" t="s">
        <v>35</v>
      </c>
      <c r="L515" s="20">
        <v>37</v>
      </c>
      <c r="M515" s="3" t="s">
        <v>17</v>
      </c>
      <c r="N515" s="20" t="str" cm="1">
        <f t="array" ref="N515">_xlfn.IFS(tbl_Clean[[#This Row],[Age]]&lt;=30,"25-30",tbl_Clean[[#This Row],[Age]]&lt;=40,"31-40",tbl_Clean[[#This Row],[Age]]&lt;=50,"41-50",tbl_Clean[[#This Row],[Age]]&lt;=60,"51-60",TRUE,"61+")</f>
        <v>31-40</v>
      </c>
      <c r="O515" s="20">
        <f>_xlfn.XMATCH(tbl_Clean[[#This Row],[Age Band]],{"25-30","31-40","41-50","51-60","61+"})</f>
        <v>2</v>
      </c>
      <c r="P515" s="20" t="str" cm="1">
        <f t="array" ref="P515">_xlfn.IFS(tbl_Clean[[#This Row],[Income]]&lt;=30000,"$10k-30k",tbl_Clean[[#This Row],[Income]]&lt;=60000,"$40k-60k",tbl_Clean[[#This Row],[Income]]&lt;=90000,"$70k-90k",TRUE,"$100k+")</f>
        <v>$70k-90k</v>
      </c>
      <c r="Q515" s="20">
        <f>_xlfn.XMATCH(tbl_Clean[[#This Row],[Income Band]],{"$10k-30k","$40k-60k","$70k-90k","$100k+"})</f>
        <v>3</v>
      </c>
      <c r="R515" s="20" t="str">
        <f>IF(tbl_Clean[[#This Row],[Cars]]&lt;=1,"0-1 Cars","2+ Cars")</f>
        <v>0-1 Cars</v>
      </c>
      <c r="S515" s="20">
        <f>_xlfn.XMATCH(tbl_Clean[[#This Row],[Commute Distance]],{"0-1 Miles","1-2 Miles","2-5 Miles","5-10 Miles","10+ Miles"})</f>
        <v>3</v>
      </c>
      <c r="T515" s="20">
        <f>_xlfn.XMATCH(tbl_Clean[[#This Row],[Education]],{"Partial High School","High School","Partial College","Bachelors","Graduate Degree"})</f>
        <v>4</v>
      </c>
      <c r="U515" s="20">
        <f>IF(tbl_Clean[[#This Row],[Purchased Bike]]="Yes",1,0)</f>
        <v>1</v>
      </c>
    </row>
    <row r="516" spans="1:21" x14ac:dyDescent="0.25">
      <c r="A516" s="20">
        <v>12207</v>
      </c>
      <c r="B516" s="3" t="s">
        <v>114</v>
      </c>
      <c r="C516" s="3" t="s">
        <v>113</v>
      </c>
      <c r="D516" s="19">
        <v>80000</v>
      </c>
      <c r="E516" s="20">
        <v>4</v>
      </c>
      <c r="F516" s="3" t="s">
        <v>15</v>
      </c>
      <c r="G516" s="3" t="s">
        <v>31</v>
      </c>
      <c r="H516" s="3" t="s">
        <v>17</v>
      </c>
      <c r="I516" s="20">
        <v>0</v>
      </c>
      <c r="J516" s="3" t="s">
        <v>26</v>
      </c>
      <c r="K516" s="3" t="s">
        <v>35</v>
      </c>
      <c r="L516" s="20">
        <v>66</v>
      </c>
      <c r="M516" s="3" t="s">
        <v>17</v>
      </c>
      <c r="N516" s="20" t="str" cm="1">
        <f t="array" ref="N516">_xlfn.IFS(tbl_Clean[[#This Row],[Age]]&lt;=30,"25-30",tbl_Clean[[#This Row],[Age]]&lt;=40,"31-40",tbl_Clean[[#This Row],[Age]]&lt;=50,"41-50",tbl_Clean[[#This Row],[Age]]&lt;=60,"51-60",TRUE,"61+")</f>
        <v>61+</v>
      </c>
      <c r="O516" s="20">
        <f>_xlfn.XMATCH(tbl_Clean[[#This Row],[Age Band]],{"25-30","31-40","41-50","51-60","61+"})</f>
        <v>5</v>
      </c>
      <c r="P516" s="20" t="str" cm="1">
        <f t="array" ref="P516">_xlfn.IFS(tbl_Clean[[#This Row],[Income]]&lt;=30000,"$10k-30k",tbl_Clean[[#This Row],[Income]]&lt;=60000,"$40k-60k",tbl_Clean[[#This Row],[Income]]&lt;=90000,"$70k-90k",TRUE,"$100k+")</f>
        <v>$70k-90k</v>
      </c>
      <c r="Q516" s="20">
        <f>_xlfn.XMATCH(tbl_Clean[[#This Row],[Income Band]],{"$10k-30k","$40k-60k","$70k-90k","$100k+"})</f>
        <v>3</v>
      </c>
      <c r="R516" s="20" t="str">
        <f>IF(tbl_Clean[[#This Row],[Cars]]&lt;=1,"0-1 Cars","2+ Cars")</f>
        <v>0-1 Cars</v>
      </c>
      <c r="S516" s="20">
        <f>_xlfn.XMATCH(tbl_Clean[[#This Row],[Commute Distance]],{"0-1 Miles","1-2 Miles","2-5 Miles","5-10 Miles","10+ Miles"})</f>
        <v>4</v>
      </c>
      <c r="T516" s="20">
        <f>_xlfn.XMATCH(tbl_Clean[[#This Row],[Education]],{"Partial High School","High School","Partial College","Bachelors","Graduate Degree"})</f>
        <v>4</v>
      </c>
      <c r="U516" s="20">
        <f>IF(tbl_Clean[[#This Row],[Purchased Bike]]="Yes",1,0)</f>
        <v>1</v>
      </c>
    </row>
    <row r="517" spans="1:21" x14ac:dyDescent="0.25">
      <c r="A517" s="20">
        <v>18052</v>
      </c>
      <c r="B517" s="3" t="s">
        <v>111</v>
      </c>
      <c r="C517" s="3" t="s">
        <v>112</v>
      </c>
      <c r="D517" s="19">
        <v>60000</v>
      </c>
      <c r="E517" s="20">
        <v>1</v>
      </c>
      <c r="F517" s="3" t="s">
        <v>21</v>
      </c>
      <c r="G517" s="3" t="s">
        <v>16</v>
      </c>
      <c r="H517" s="3" t="s">
        <v>17</v>
      </c>
      <c r="I517" s="20">
        <v>1</v>
      </c>
      <c r="J517" s="3" t="s">
        <v>18</v>
      </c>
      <c r="K517" s="3" t="s">
        <v>35</v>
      </c>
      <c r="L517" s="20">
        <v>45</v>
      </c>
      <c r="M517" s="3" t="s">
        <v>17</v>
      </c>
      <c r="N517" s="20" t="str" cm="1">
        <f t="array" ref="N517">_xlfn.IFS(tbl_Clean[[#This Row],[Age]]&lt;=30,"25-30",tbl_Clean[[#This Row],[Age]]&lt;=40,"31-40",tbl_Clean[[#This Row],[Age]]&lt;=50,"41-50",tbl_Clean[[#This Row],[Age]]&lt;=60,"51-60",TRUE,"61+")</f>
        <v>41-50</v>
      </c>
      <c r="O517" s="20">
        <f>_xlfn.XMATCH(tbl_Clean[[#This Row],[Age Band]],{"25-30","31-40","41-50","51-60","61+"})</f>
        <v>3</v>
      </c>
      <c r="P517" s="20" t="str" cm="1">
        <f t="array" ref="P517">_xlfn.IFS(tbl_Clean[[#This Row],[Income]]&lt;=30000,"$10k-30k",tbl_Clean[[#This Row],[Income]]&lt;=60000,"$40k-60k",tbl_Clean[[#This Row],[Income]]&lt;=90000,"$70k-90k",TRUE,"$100k+")</f>
        <v>$40k-60k</v>
      </c>
      <c r="Q517" s="20">
        <f>_xlfn.XMATCH(tbl_Clean[[#This Row],[Income Band]],{"$10k-30k","$40k-60k","$70k-90k","$100k+"})</f>
        <v>2</v>
      </c>
      <c r="R517" s="20" t="str">
        <f>IF(tbl_Clean[[#This Row],[Cars]]&lt;=1,"0-1 Cars","2+ Cars")</f>
        <v>0-1 Cars</v>
      </c>
      <c r="S517" s="20">
        <f>_xlfn.XMATCH(tbl_Clean[[#This Row],[Commute Distance]],{"0-1 Miles","1-2 Miles","2-5 Miles","5-10 Miles","10+ Miles"})</f>
        <v>1</v>
      </c>
      <c r="T517" s="20">
        <f>_xlfn.XMATCH(tbl_Clean[[#This Row],[Education]],{"Partial High School","High School","Partial College","Bachelors","Graduate Degree"})</f>
        <v>3</v>
      </c>
      <c r="U517" s="20">
        <f>IF(tbl_Clean[[#This Row],[Purchased Bike]]="Yes",1,0)</f>
        <v>1</v>
      </c>
    </row>
    <row r="518" spans="1:21" x14ac:dyDescent="0.25">
      <c r="A518" s="20">
        <v>13353</v>
      </c>
      <c r="B518" s="3" t="s">
        <v>114</v>
      </c>
      <c r="C518" s="3" t="s">
        <v>112</v>
      </c>
      <c r="D518" s="19">
        <v>60000</v>
      </c>
      <c r="E518" s="20">
        <v>4</v>
      </c>
      <c r="F518" s="3" t="s">
        <v>34</v>
      </c>
      <c r="G518" s="3" t="s">
        <v>31</v>
      </c>
      <c r="H518" s="3" t="s">
        <v>17</v>
      </c>
      <c r="I518" s="20">
        <v>2</v>
      </c>
      <c r="J518" s="3" t="s">
        <v>33</v>
      </c>
      <c r="K518" s="3" t="s">
        <v>35</v>
      </c>
      <c r="L518" s="20">
        <v>61</v>
      </c>
      <c r="M518" s="3" t="s">
        <v>17</v>
      </c>
      <c r="N518" s="20" t="str" cm="1">
        <f t="array" ref="N518">_xlfn.IFS(tbl_Clean[[#This Row],[Age]]&lt;=30,"25-30",tbl_Clean[[#This Row],[Age]]&lt;=40,"31-40",tbl_Clean[[#This Row],[Age]]&lt;=50,"41-50",tbl_Clean[[#This Row],[Age]]&lt;=60,"51-60",TRUE,"61+")</f>
        <v>61+</v>
      </c>
      <c r="O518" s="20">
        <f>_xlfn.XMATCH(tbl_Clean[[#This Row],[Age Band]],{"25-30","31-40","41-50","51-60","61+"})</f>
        <v>5</v>
      </c>
      <c r="P518" s="20" t="str" cm="1">
        <f t="array" ref="P518">_xlfn.IFS(tbl_Clean[[#This Row],[Income]]&lt;=30000,"$10k-30k",tbl_Clean[[#This Row],[Income]]&lt;=60000,"$40k-60k",tbl_Clean[[#This Row],[Income]]&lt;=90000,"$70k-90k",TRUE,"$100k+")</f>
        <v>$40k-60k</v>
      </c>
      <c r="Q518" s="20">
        <f>_xlfn.XMATCH(tbl_Clean[[#This Row],[Income Band]],{"$10k-30k","$40k-60k","$70k-90k","$100k+"})</f>
        <v>2</v>
      </c>
      <c r="R518" s="20" t="str">
        <f>IF(tbl_Clean[[#This Row],[Cars]]&lt;=1,"0-1 Cars","2+ Cars")</f>
        <v>2+ Cars</v>
      </c>
      <c r="S518" s="20">
        <f>_xlfn.XMATCH(tbl_Clean[[#This Row],[Commute Distance]],{"0-1 Miles","1-2 Miles","2-5 Miles","5-10 Miles","10+ Miles"})</f>
        <v>5</v>
      </c>
      <c r="T518" s="20">
        <f>_xlfn.XMATCH(tbl_Clean[[#This Row],[Education]],{"Partial High School","High School","Partial College","Bachelors","Graduate Degree"})</f>
        <v>5</v>
      </c>
      <c r="U518" s="20">
        <f>IF(tbl_Clean[[#This Row],[Purchased Bike]]="Yes",1,0)</f>
        <v>1</v>
      </c>
    </row>
    <row r="519" spans="1:21" x14ac:dyDescent="0.25">
      <c r="A519" s="20">
        <v>19399</v>
      </c>
      <c r="B519" s="3" t="s">
        <v>114</v>
      </c>
      <c r="C519" s="3" t="s">
        <v>113</v>
      </c>
      <c r="D519" s="19">
        <v>40000</v>
      </c>
      <c r="E519" s="20">
        <v>0</v>
      </c>
      <c r="F519" s="3" t="s">
        <v>15</v>
      </c>
      <c r="G519" s="3" t="s">
        <v>23</v>
      </c>
      <c r="H519" s="3" t="s">
        <v>20</v>
      </c>
      <c r="I519" s="20">
        <v>1</v>
      </c>
      <c r="J519" s="3" t="s">
        <v>24</v>
      </c>
      <c r="K519" s="3" t="s">
        <v>35</v>
      </c>
      <c r="L519" s="20">
        <v>45</v>
      </c>
      <c r="M519" s="3" t="s">
        <v>20</v>
      </c>
      <c r="N519" s="20" t="str" cm="1">
        <f t="array" ref="N519">_xlfn.IFS(tbl_Clean[[#This Row],[Age]]&lt;=30,"25-30",tbl_Clean[[#This Row],[Age]]&lt;=40,"31-40",tbl_Clean[[#This Row],[Age]]&lt;=50,"41-50",tbl_Clean[[#This Row],[Age]]&lt;=60,"51-60",TRUE,"61+")</f>
        <v>41-50</v>
      </c>
      <c r="O519" s="20">
        <f>_xlfn.XMATCH(tbl_Clean[[#This Row],[Age Band]],{"25-30","31-40","41-50","51-60","61+"})</f>
        <v>3</v>
      </c>
      <c r="P519" s="20" t="str" cm="1">
        <f t="array" ref="P519">_xlfn.IFS(tbl_Clean[[#This Row],[Income]]&lt;=30000,"$10k-30k",tbl_Clean[[#This Row],[Income]]&lt;=60000,"$40k-60k",tbl_Clean[[#This Row],[Income]]&lt;=90000,"$70k-90k",TRUE,"$100k+")</f>
        <v>$40k-60k</v>
      </c>
      <c r="Q519" s="20">
        <f>_xlfn.XMATCH(tbl_Clean[[#This Row],[Income Band]],{"$10k-30k","$40k-60k","$70k-90k","$100k+"})</f>
        <v>2</v>
      </c>
      <c r="R519" s="20" t="str">
        <f>IF(tbl_Clean[[#This Row],[Cars]]&lt;=1,"0-1 Cars","2+ Cars")</f>
        <v>0-1 Cars</v>
      </c>
      <c r="S519" s="20">
        <f>_xlfn.XMATCH(tbl_Clean[[#This Row],[Commute Distance]],{"0-1 Miles","1-2 Miles","2-5 Miles","5-10 Miles","10+ Miles"})</f>
        <v>3</v>
      </c>
      <c r="T519" s="20">
        <f>_xlfn.XMATCH(tbl_Clean[[#This Row],[Education]],{"Partial High School","High School","Partial College","Bachelors","Graduate Degree"})</f>
        <v>4</v>
      </c>
      <c r="U519" s="20">
        <f>IF(tbl_Clean[[#This Row],[Purchased Bike]]="Yes",1,0)</f>
        <v>0</v>
      </c>
    </row>
    <row r="520" spans="1:21" x14ac:dyDescent="0.25">
      <c r="A520" s="20">
        <v>16154</v>
      </c>
      <c r="B520" s="3" t="s">
        <v>111</v>
      </c>
      <c r="C520" s="3" t="s">
        <v>112</v>
      </c>
      <c r="D520" s="19">
        <v>70000</v>
      </c>
      <c r="E520" s="20">
        <v>5</v>
      </c>
      <c r="F520" s="3" t="s">
        <v>15</v>
      </c>
      <c r="G520" s="3" t="s">
        <v>23</v>
      </c>
      <c r="H520" s="3" t="s">
        <v>17</v>
      </c>
      <c r="I520" s="20">
        <v>2</v>
      </c>
      <c r="J520" s="3" t="s">
        <v>24</v>
      </c>
      <c r="K520" s="3" t="s">
        <v>35</v>
      </c>
      <c r="L520" s="20">
        <v>47</v>
      </c>
      <c r="M520" s="3" t="s">
        <v>20</v>
      </c>
      <c r="N520" s="20" t="str" cm="1">
        <f t="array" ref="N520">_xlfn.IFS(tbl_Clean[[#This Row],[Age]]&lt;=30,"25-30",tbl_Clean[[#This Row],[Age]]&lt;=40,"31-40",tbl_Clean[[#This Row],[Age]]&lt;=50,"41-50",tbl_Clean[[#This Row],[Age]]&lt;=60,"51-60",TRUE,"61+")</f>
        <v>41-50</v>
      </c>
      <c r="O520" s="20">
        <f>_xlfn.XMATCH(tbl_Clean[[#This Row],[Age Band]],{"25-30","31-40","41-50","51-60","61+"})</f>
        <v>3</v>
      </c>
      <c r="P520" s="20" t="str" cm="1">
        <f t="array" ref="P520">_xlfn.IFS(tbl_Clean[[#This Row],[Income]]&lt;=30000,"$10k-30k",tbl_Clean[[#This Row],[Income]]&lt;=60000,"$40k-60k",tbl_Clean[[#This Row],[Income]]&lt;=90000,"$70k-90k",TRUE,"$100k+")</f>
        <v>$70k-90k</v>
      </c>
      <c r="Q520" s="20">
        <f>_xlfn.XMATCH(tbl_Clean[[#This Row],[Income Band]],{"$10k-30k","$40k-60k","$70k-90k","$100k+"})</f>
        <v>3</v>
      </c>
      <c r="R520" s="20" t="str">
        <f>IF(tbl_Clean[[#This Row],[Cars]]&lt;=1,"0-1 Cars","2+ Cars")</f>
        <v>2+ Cars</v>
      </c>
      <c r="S520" s="20">
        <f>_xlfn.XMATCH(tbl_Clean[[#This Row],[Commute Distance]],{"0-1 Miles","1-2 Miles","2-5 Miles","5-10 Miles","10+ Miles"})</f>
        <v>3</v>
      </c>
      <c r="T520" s="20">
        <f>_xlfn.XMATCH(tbl_Clean[[#This Row],[Education]],{"Partial High School","High School","Partial College","Bachelors","Graduate Degree"})</f>
        <v>4</v>
      </c>
      <c r="U520" s="20">
        <f>IF(tbl_Clean[[#This Row],[Purchased Bike]]="Yes",1,0)</f>
        <v>0</v>
      </c>
    </row>
    <row r="521" spans="1:21" x14ac:dyDescent="0.25">
      <c r="A521" s="20">
        <v>22219</v>
      </c>
      <c r="B521" s="3" t="s">
        <v>111</v>
      </c>
      <c r="C521" s="3" t="s">
        <v>112</v>
      </c>
      <c r="D521" s="19">
        <v>60000</v>
      </c>
      <c r="E521" s="20">
        <v>2</v>
      </c>
      <c r="F521" s="3" t="s">
        <v>30</v>
      </c>
      <c r="G521" s="3" t="s">
        <v>23</v>
      </c>
      <c r="H521" s="3" t="s">
        <v>17</v>
      </c>
      <c r="I521" s="20">
        <v>2</v>
      </c>
      <c r="J521" s="3" t="s">
        <v>26</v>
      </c>
      <c r="K521" s="3" t="s">
        <v>35</v>
      </c>
      <c r="L521" s="20">
        <v>49</v>
      </c>
      <c r="M521" s="3" t="s">
        <v>20</v>
      </c>
      <c r="N521" s="20" t="str" cm="1">
        <f t="array" ref="N521">_xlfn.IFS(tbl_Clean[[#This Row],[Age]]&lt;=30,"25-30",tbl_Clean[[#This Row],[Age]]&lt;=40,"31-40",tbl_Clean[[#This Row],[Age]]&lt;=50,"41-50",tbl_Clean[[#This Row],[Age]]&lt;=60,"51-60",TRUE,"61+")</f>
        <v>41-50</v>
      </c>
      <c r="O521" s="20">
        <f>_xlfn.XMATCH(tbl_Clean[[#This Row],[Age Band]],{"25-30","31-40","41-50","51-60","61+"})</f>
        <v>3</v>
      </c>
      <c r="P521" s="20" t="str" cm="1">
        <f t="array" ref="P521">_xlfn.IFS(tbl_Clean[[#This Row],[Income]]&lt;=30000,"$10k-30k",tbl_Clean[[#This Row],[Income]]&lt;=60000,"$40k-60k",tbl_Clean[[#This Row],[Income]]&lt;=90000,"$70k-90k",TRUE,"$100k+")</f>
        <v>$40k-60k</v>
      </c>
      <c r="Q521" s="20">
        <f>_xlfn.XMATCH(tbl_Clean[[#This Row],[Income Band]],{"$10k-30k","$40k-60k","$70k-90k","$100k+"})</f>
        <v>2</v>
      </c>
      <c r="R521" s="20" t="str">
        <f>IF(tbl_Clean[[#This Row],[Cars]]&lt;=1,"0-1 Cars","2+ Cars")</f>
        <v>2+ Cars</v>
      </c>
      <c r="S521" s="20">
        <f>_xlfn.XMATCH(tbl_Clean[[#This Row],[Commute Distance]],{"0-1 Miles","1-2 Miles","2-5 Miles","5-10 Miles","10+ Miles"})</f>
        <v>4</v>
      </c>
      <c r="T521" s="20">
        <f>_xlfn.XMATCH(tbl_Clean[[#This Row],[Education]],{"Partial High School","High School","Partial College","Bachelors","Graduate Degree"})</f>
        <v>2</v>
      </c>
      <c r="U521" s="20">
        <f>IF(tbl_Clean[[#This Row],[Purchased Bike]]="Yes",1,0)</f>
        <v>0</v>
      </c>
    </row>
    <row r="522" spans="1:21" x14ac:dyDescent="0.25">
      <c r="A522" s="20">
        <v>17269</v>
      </c>
      <c r="B522" s="3" t="s">
        <v>114</v>
      </c>
      <c r="C522" s="3" t="s">
        <v>113</v>
      </c>
      <c r="D522" s="19">
        <v>60000</v>
      </c>
      <c r="E522" s="20">
        <v>3</v>
      </c>
      <c r="F522" s="3" t="s">
        <v>15</v>
      </c>
      <c r="G522" s="3" t="s">
        <v>23</v>
      </c>
      <c r="H522" s="3" t="s">
        <v>20</v>
      </c>
      <c r="I522" s="20">
        <v>0</v>
      </c>
      <c r="J522" s="3" t="s">
        <v>18</v>
      </c>
      <c r="K522" s="3" t="s">
        <v>35</v>
      </c>
      <c r="L522" s="20">
        <v>47</v>
      </c>
      <c r="M522" s="3" t="s">
        <v>17</v>
      </c>
      <c r="N522" s="20" t="str" cm="1">
        <f t="array" ref="N522">_xlfn.IFS(tbl_Clean[[#This Row],[Age]]&lt;=30,"25-30",tbl_Clean[[#This Row],[Age]]&lt;=40,"31-40",tbl_Clean[[#This Row],[Age]]&lt;=50,"41-50",tbl_Clean[[#This Row],[Age]]&lt;=60,"51-60",TRUE,"61+")</f>
        <v>41-50</v>
      </c>
      <c r="O522" s="20">
        <f>_xlfn.XMATCH(tbl_Clean[[#This Row],[Age Band]],{"25-30","31-40","41-50","51-60","61+"})</f>
        <v>3</v>
      </c>
      <c r="P522" s="20" t="str" cm="1">
        <f t="array" ref="P522">_xlfn.IFS(tbl_Clean[[#This Row],[Income]]&lt;=30000,"$10k-30k",tbl_Clean[[#This Row],[Income]]&lt;=60000,"$40k-60k",tbl_Clean[[#This Row],[Income]]&lt;=90000,"$70k-90k",TRUE,"$100k+")</f>
        <v>$40k-60k</v>
      </c>
      <c r="Q522" s="20">
        <f>_xlfn.XMATCH(tbl_Clean[[#This Row],[Income Band]],{"$10k-30k","$40k-60k","$70k-90k","$100k+"})</f>
        <v>2</v>
      </c>
      <c r="R522" s="20" t="str">
        <f>IF(tbl_Clean[[#This Row],[Cars]]&lt;=1,"0-1 Cars","2+ Cars")</f>
        <v>0-1 Cars</v>
      </c>
      <c r="S522" s="20">
        <f>_xlfn.XMATCH(tbl_Clean[[#This Row],[Commute Distance]],{"0-1 Miles","1-2 Miles","2-5 Miles","5-10 Miles","10+ Miles"})</f>
        <v>1</v>
      </c>
      <c r="T522" s="20">
        <f>_xlfn.XMATCH(tbl_Clean[[#This Row],[Education]],{"Partial High School","High School","Partial College","Bachelors","Graduate Degree"})</f>
        <v>4</v>
      </c>
      <c r="U522" s="20">
        <f>IF(tbl_Clean[[#This Row],[Purchased Bike]]="Yes",1,0)</f>
        <v>1</v>
      </c>
    </row>
    <row r="523" spans="1:21" x14ac:dyDescent="0.25">
      <c r="A523" s="20">
        <v>23586</v>
      </c>
      <c r="B523" s="3" t="s">
        <v>111</v>
      </c>
      <c r="C523" s="3" t="s">
        <v>112</v>
      </c>
      <c r="D523" s="19">
        <v>80000</v>
      </c>
      <c r="E523" s="20">
        <v>0</v>
      </c>
      <c r="F523" s="3" t="s">
        <v>15</v>
      </c>
      <c r="G523" s="3" t="s">
        <v>31</v>
      </c>
      <c r="H523" s="3" t="s">
        <v>17</v>
      </c>
      <c r="I523" s="20">
        <v>1</v>
      </c>
      <c r="J523" s="3" t="s">
        <v>29</v>
      </c>
      <c r="K523" s="3" t="s">
        <v>35</v>
      </c>
      <c r="L523" s="20">
        <v>34</v>
      </c>
      <c r="M523" s="3" t="s">
        <v>17</v>
      </c>
      <c r="N523" s="20" t="str" cm="1">
        <f t="array" ref="N523">_xlfn.IFS(tbl_Clean[[#This Row],[Age]]&lt;=30,"25-30",tbl_Clean[[#This Row],[Age]]&lt;=40,"31-40",tbl_Clean[[#This Row],[Age]]&lt;=50,"41-50",tbl_Clean[[#This Row],[Age]]&lt;=60,"51-60",TRUE,"61+")</f>
        <v>31-40</v>
      </c>
      <c r="O523" s="20">
        <f>_xlfn.XMATCH(tbl_Clean[[#This Row],[Age Band]],{"25-30","31-40","41-50","51-60","61+"})</f>
        <v>2</v>
      </c>
      <c r="P523" s="20" t="str" cm="1">
        <f t="array" ref="P523">_xlfn.IFS(tbl_Clean[[#This Row],[Income]]&lt;=30000,"$10k-30k",tbl_Clean[[#This Row],[Income]]&lt;=60000,"$40k-60k",tbl_Clean[[#This Row],[Income]]&lt;=90000,"$70k-90k",TRUE,"$100k+")</f>
        <v>$70k-90k</v>
      </c>
      <c r="Q523" s="20">
        <f>_xlfn.XMATCH(tbl_Clean[[#This Row],[Income Band]],{"$10k-30k","$40k-60k","$70k-90k","$100k+"})</f>
        <v>3</v>
      </c>
      <c r="R523" s="20" t="str">
        <f>IF(tbl_Clean[[#This Row],[Cars]]&lt;=1,"0-1 Cars","2+ Cars")</f>
        <v>0-1 Cars</v>
      </c>
      <c r="S523" s="20">
        <f>_xlfn.XMATCH(tbl_Clean[[#This Row],[Commute Distance]],{"0-1 Miles","1-2 Miles","2-5 Miles","5-10 Miles","10+ Miles"})</f>
        <v>2</v>
      </c>
      <c r="T523" s="20">
        <f>_xlfn.XMATCH(tbl_Clean[[#This Row],[Education]],{"Partial High School","High School","Partial College","Bachelors","Graduate Degree"})</f>
        <v>4</v>
      </c>
      <c r="U523" s="20">
        <f>IF(tbl_Clean[[#This Row],[Purchased Bike]]="Yes",1,0)</f>
        <v>1</v>
      </c>
    </row>
    <row r="524" spans="1:21" x14ac:dyDescent="0.25">
      <c r="A524" s="20">
        <v>15740</v>
      </c>
      <c r="B524" s="3" t="s">
        <v>111</v>
      </c>
      <c r="C524" s="3" t="s">
        <v>113</v>
      </c>
      <c r="D524" s="19">
        <v>80000</v>
      </c>
      <c r="E524" s="20">
        <v>5</v>
      </c>
      <c r="F524" s="3" t="s">
        <v>15</v>
      </c>
      <c r="G524" s="3" t="s">
        <v>31</v>
      </c>
      <c r="H524" s="3" t="s">
        <v>17</v>
      </c>
      <c r="I524" s="20">
        <v>2</v>
      </c>
      <c r="J524" s="3" t="s">
        <v>29</v>
      </c>
      <c r="K524" s="3" t="s">
        <v>35</v>
      </c>
      <c r="L524" s="20">
        <v>64</v>
      </c>
      <c r="M524" s="3" t="s">
        <v>20</v>
      </c>
      <c r="N524" s="20" t="str" cm="1">
        <f t="array" ref="N524">_xlfn.IFS(tbl_Clean[[#This Row],[Age]]&lt;=30,"25-30",tbl_Clean[[#This Row],[Age]]&lt;=40,"31-40",tbl_Clean[[#This Row],[Age]]&lt;=50,"41-50",tbl_Clean[[#This Row],[Age]]&lt;=60,"51-60",TRUE,"61+")</f>
        <v>61+</v>
      </c>
      <c r="O524" s="20">
        <f>_xlfn.XMATCH(tbl_Clean[[#This Row],[Age Band]],{"25-30","31-40","41-50","51-60","61+"})</f>
        <v>5</v>
      </c>
      <c r="P524" s="20" t="str" cm="1">
        <f t="array" ref="P524">_xlfn.IFS(tbl_Clean[[#This Row],[Income]]&lt;=30000,"$10k-30k",tbl_Clean[[#This Row],[Income]]&lt;=60000,"$40k-60k",tbl_Clean[[#This Row],[Income]]&lt;=90000,"$70k-90k",TRUE,"$100k+")</f>
        <v>$70k-90k</v>
      </c>
      <c r="Q524" s="20">
        <f>_xlfn.XMATCH(tbl_Clean[[#This Row],[Income Band]],{"$10k-30k","$40k-60k","$70k-90k","$100k+"})</f>
        <v>3</v>
      </c>
      <c r="R524" s="20" t="str">
        <f>IF(tbl_Clean[[#This Row],[Cars]]&lt;=1,"0-1 Cars","2+ Cars")</f>
        <v>2+ Cars</v>
      </c>
      <c r="S524" s="20">
        <f>_xlfn.XMATCH(tbl_Clean[[#This Row],[Commute Distance]],{"0-1 Miles","1-2 Miles","2-5 Miles","5-10 Miles","10+ Miles"})</f>
        <v>2</v>
      </c>
      <c r="T524" s="20">
        <f>_xlfn.XMATCH(tbl_Clean[[#This Row],[Education]],{"Partial High School","High School","Partial College","Bachelors","Graduate Degree"})</f>
        <v>4</v>
      </c>
      <c r="U524" s="20">
        <f>IF(tbl_Clean[[#This Row],[Purchased Bike]]="Yes",1,0)</f>
        <v>0</v>
      </c>
    </row>
    <row r="525" spans="1:21" x14ac:dyDescent="0.25">
      <c r="A525" s="20">
        <v>27638</v>
      </c>
      <c r="B525" s="3" t="s">
        <v>114</v>
      </c>
      <c r="C525" s="3" t="s">
        <v>113</v>
      </c>
      <c r="D525" s="19">
        <v>100000</v>
      </c>
      <c r="E525" s="20">
        <v>1</v>
      </c>
      <c r="F525" s="3" t="s">
        <v>21</v>
      </c>
      <c r="G525" s="3" t="s">
        <v>23</v>
      </c>
      <c r="H525" s="3" t="s">
        <v>20</v>
      </c>
      <c r="I525" s="20">
        <v>3</v>
      </c>
      <c r="J525" s="3" t="s">
        <v>29</v>
      </c>
      <c r="K525" s="3" t="s">
        <v>35</v>
      </c>
      <c r="L525" s="20">
        <v>44</v>
      </c>
      <c r="M525" s="3" t="s">
        <v>20</v>
      </c>
      <c r="N525" s="20" t="str" cm="1">
        <f t="array" ref="N525">_xlfn.IFS(tbl_Clean[[#This Row],[Age]]&lt;=30,"25-30",tbl_Clean[[#This Row],[Age]]&lt;=40,"31-40",tbl_Clean[[#This Row],[Age]]&lt;=50,"41-50",tbl_Clean[[#This Row],[Age]]&lt;=60,"51-60",TRUE,"61+")</f>
        <v>41-50</v>
      </c>
      <c r="O525" s="20">
        <f>_xlfn.XMATCH(tbl_Clean[[#This Row],[Age Band]],{"25-30","31-40","41-50","51-60","61+"})</f>
        <v>3</v>
      </c>
      <c r="P525" s="20" t="str" cm="1">
        <f t="array" ref="P525">_xlfn.IFS(tbl_Clean[[#This Row],[Income]]&lt;=30000,"$10k-30k",tbl_Clean[[#This Row],[Income]]&lt;=60000,"$40k-60k",tbl_Clean[[#This Row],[Income]]&lt;=90000,"$70k-90k",TRUE,"$100k+")</f>
        <v>$100k+</v>
      </c>
      <c r="Q525" s="20">
        <f>_xlfn.XMATCH(tbl_Clean[[#This Row],[Income Band]],{"$10k-30k","$40k-60k","$70k-90k","$100k+"})</f>
        <v>4</v>
      </c>
      <c r="R525" s="20" t="str">
        <f>IF(tbl_Clean[[#This Row],[Cars]]&lt;=1,"0-1 Cars","2+ Cars")</f>
        <v>2+ Cars</v>
      </c>
      <c r="S525" s="20">
        <f>_xlfn.XMATCH(tbl_Clean[[#This Row],[Commute Distance]],{"0-1 Miles","1-2 Miles","2-5 Miles","5-10 Miles","10+ Miles"})</f>
        <v>2</v>
      </c>
      <c r="T525" s="20">
        <f>_xlfn.XMATCH(tbl_Clean[[#This Row],[Education]],{"Partial High School","High School","Partial College","Bachelors","Graduate Degree"})</f>
        <v>3</v>
      </c>
      <c r="U525" s="20">
        <f>IF(tbl_Clean[[#This Row],[Purchased Bike]]="Yes",1,0)</f>
        <v>0</v>
      </c>
    </row>
    <row r="526" spans="1:21" x14ac:dyDescent="0.25">
      <c r="A526" s="20">
        <v>18976</v>
      </c>
      <c r="B526" s="3" t="s">
        <v>114</v>
      </c>
      <c r="C526" s="3" t="s">
        <v>113</v>
      </c>
      <c r="D526" s="19">
        <v>40000</v>
      </c>
      <c r="E526" s="20">
        <v>4</v>
      </c>
      <c r="F526" s="3" t="s">
        <v>30</v>
      </c>
      <c r="G526" s="3" t="s">
        <v>23</v>
      </c>
      <c r="H526" s="3" t="s">
        <v>17</v>
      </c>
      <c r="I526" s="20">
        <v>2</v>
      </c>
      <c r="J526" s="3" t="s">
        <v>33</v>
      </c>
      <c r="K526" s="3" t="s">
        <v>35</v>
      </c>
      <c r="L526" s="20">
        <v>62</v>
      </c>
      <c r="M526" s="3" t="s">
        <v>17</v>
      </c>
      <c r="N526" s="20" t="str" cm="1">
        <f t="array" ref="N526">_xlfn.IFS(tbl_Clean[[#This Row],[Age]]&lt;=30,"25-30",tbl_Clean[[#This Row],[Age]]&lt;=40,"31-40",tbl_Clean[[#This Row],[Age]]&lt;=50,"41-50",tbl_Clean[[#This Row],[Age]]&lt;=60,"51-60",TRUE,"61+")</f>
        <v>61+</v>
      </c>
      <c r="O526" s="20">
        <f>_xlfn.XMATCH(tbl_Clean[[#This Row],[Age Band]],{"25-30","31-40","41-50","51-60","61+"})</f>
        <v>5</v>
      </c>
      <c r="P526" s="20" t="str" cm="1">
        <f t="array" ref="P526">_xlfn.IFS(tbl_Clean[[#This Row],[Income]]&lt;=30000,"$10k-30k",tbl_Clean[[#This Row],[Income]]&lt;=60000,"$40k-60k",tbl_Clean[[#This Row],[Income]]&lt;=90000,"$70k-90k",TRUE,"$100k+")</f>
        <v>$40k-60k</v>
      </c>
      <c r="Q526" s="20">
        <f>_xlfn.XMATCH(tbl_Clean[[#This Row],[Income Band]],{"$10k-30k","$40k-60k","$70k-90k","$100k+"})</f>
        <v>2</v>
      </c>
      <c r="R526" s="20" t="str">
        <f>IF(tbl_Clean[[#This Row],[Cars]]&lt;=1,"0-1 Cars","2+ Cars")</f>
        <v>2+ Cars</v>
      </c>
      <c r="S526" s="20">
        <f>_xlfn.XMATCH(tbl_Clean[[#This Row],[Commute Distance]],{"0-1 Miles","1-2 Miles","2-5 Miles","5-10 Miles","10+ Miles"})</f>
        <v>5</v>
      </c>
      <c r="T526" s="20">
        <f>_xlfn.XMATCH(tbl_Clean[[#This Row],[Education]],{"Partial High School","High School","Partial College","Bachelors","Graduate Degree"})</f>
        <v>2</v>
      </c>
      <c r="U526" s="20">
        <f>IF(tbl_Clean[[#This Row],[Purchased Bike]]="Yes",1,0)</f>
        <v>1</v>
      </c>
    </row>
    <row r="527" spans="1:21" x14ac:dyDescent="0.25">
      <c r="A527" s="20">
        <v>19413</v>
      </c>
      <c r="B527" s="3" t="s">
        <v>114</v>
      </c>
      <c r="C527" s="3" t="s">
        <v>113</v>
      </c>
      <c r="D527" s="19">
        <v>60000</v>
      </c>
      <c r="E527" s="20">
        <v>3</v>
      </c>
      <c r="F527" s="3" t="s">
        <v>15</v>
      </c>
      <c r="G527" s="3" t="s">
        <v>23</v>
      </c>
      <c r="H527" s="3" t="s">
        <v>20</v>
      </c>
      <c r="I527" s="20">
        <v>1</v>
      </c>
      <c r="J527" s="3" t="s">
        <v>18</v>
      </c>
      <c r="K527" s="3" t="s">
        <v>35</v>
      </c>
      <c r="L527" s="20">
        <v>47</v>
      </c>
      <c r="M527" s="3" t="s">
        <v>17</v>
      </c>
      <c r="N527" s="20" t="str" cm="1">
        <f t="array" ref="N527">_xlfn.IFS(tbl_Clean[[#This Row],[Age]]&lt;=30,"25-30",tbl_Clean[[#This Row],[Age]]&lt;=40,"31-40",tbl_Clean[[#This Row],[Age]]&lt;=50,"41-50",tbl_Clean[[#This Row],[Age]]&lt;=60,"51-60",TRUE,"61+")</f>
        <v>41-50</v>
      </c>
      <c r="O527" s="20">
        <f>_xlfn.XMATCH(tbl_Clean[[#This Row],[Age Band]],{"25-30","31-40","41-50","51-60","61+"})</f>
        <v>3</v>
      </c>
      <c r="P527" s="20" t="str" cm="1">
        <f t="array" ref="P527">_xlfn.IFS(tbl_Clean[[#This Row],[Income]]&lt;=30000,"$10k-30k",tbl_Clean[[#This Row],[Income]]&lt;=60000,"$40k-60k",tbl_Clean[[#This Row],[Income]]&lt;=90000,"$70k-90k",TRUE,"$100k+")</f>
        <v>$40k-60k</v>
      </c>
      <c r="Q527" s="20">
        <f>_xlfn.XMATCH(tbl_Clean[[#This Row],[Income Band]],{"$10k-30k","$40k-60k","$70k-90k","$100k+"})</f>
        <v>2</v>
      </c>
      <c r="R527" s="20" t="str">
        <f>IF(tbl_Clean[[#This Row],[Cars]]&lt;=1,"0-1 Cars","2+ Cars")</f>
        <v>0-1 Cars</v>
      </c>
      <c r="S527" s="20">
        <f>_xlfn.XMATCH(tbl_Clean[[#This Row],[Commute Distance]],{"0-1 Miles","1-2 Miles","2-5 Miles","5-10 Miles","10+ Miles"})</f>
        <v>1</v>
      </c>
      <c r="T527" s="20">
        <f>_xlfn.XMATCH(tbl_Clean[[#This Row],[Education]],{"Partial High School","High School","Partial College","Bachelors","Graduate Degree"})</f>
        <v>4</v>
      </c>
      <c r="U527" s="20">
        <f>IF(tbl_Clean[[#This Row],[Purchased Bike]]="Yes",1,0)</f>
        <v>1</v>
      </c>
    </row>
    <row r="528" spans="1:21" x14ac:dyDescent="0.25">
      <c r="A528" s="20">
        <v>13283</v>
      </c>
      <c r="B528" s="3" t="s">
        <v>111</v>
      </c>
      <c r="C528" s="3" t="s">
        <v>113</v>
      </c>
      <c r="D528" s="19">
        <v>80000</v>
      </c>
      <c r="E528" s="20">
        <v>3</v>
      </c>
      <c r="F528" s="3" t="s">
        <v>21</v>
      </c>
      <c r="G528" s="3" t="s">
        <v>23</v>
      </c>
      <c r="H528" s="3" t="s">
        <v>20</v>
      </c>
      <c r="I528" s="20">
        <v>2</v>
      </c>
      <c r="J528" s="3" t="s">
        <v>18</v>
      </c>
      <c r="K528" s="3" t="s">
        <v>35</v>
      </c>
      <c r="L528" s="20">
        <v>49</v>
      </c>
      <c r="M528" s="3" t="s">
        <v>17</v>
      </c>
      <c r="N528" s="20" t="str" cm="1">
        <f t="array" ref="N528">_xlfn.IFS(tbl_Clean[[#This Row],[Age]]&lt;=30,"25-30",tbl_Clean[[#This Row],[Age]]&lt;=40,"31-40",tbl_Clean[[#This Row],[Age]]&lt;=50,"41-50",tbl_Clean[[#This Row],[Age]]&lt;=60,"51-60",TRUE,"61+")</f>
        <v>41-50</v>
      </c>
      <c r="O528" s="20">
        <f>_xlfn.XMATCH(tbl_Clean[[#This Row],[Age Band]],{"25-30","31-40","41-50","51-60","61+"})</f>
        <v>3</v>
      </c>
      <c r="P528" s="20" t="str" cm="1">
        <f t="array" ref="P528">_xlfn.IFS(tbl_Clean[[#This Row],[Income]]&lt;=30000,"$10k-30k",tbl_Clean[[#This Row],[Income]]&lt;=60000,"$40k-60k",tbl_Clean[[#This Row],[Income]]&lt;=90000,"$70k-90k",TRUE,"$100k+")</f>
        <v>$70k-90k</v>
      </c>
      <c r="Q528" s="20">
        <f>_xlfn.XMATCH(tbl_Clean[[#This Row],[Income Band]],{"$10k-30k","$40k-60k","$70k-90k","$100k+"})</f>
        <v>3</v>
      </c>
      <c r="R528" s="20" t="str">
        <f>IF(tbl_Clean[[#This Row],[Cars]]&lt;=1,"0-1 Cars","2+ Cars")</f>
        <v>2+ Cars</v>
      </c>
      <c r="S528" s="20">
        <f>_xlfn.XMATCH(tbl_Clean[[#This Row],[Commute Distance]],{"0-1 Miles","1-2 Miles","2-5 Miles","5-10 Miles","10+ Miles"})</f>
        <v>1</v>
      </c>
      <c r="T528" s="20">
        <f>_xlfn.XMATCH(tbl_Clean[[#This Row],[Education]],{"Partial High School","High School","Partial College","Bachelors","Graduate Degree"})</f>
        <v>3</v>
      </c>
      <c r="U528" s="20">
        <f>IF(tbl_Clean[[#This Row],[Purchased Bike]]="Yes",1,0)</f>
        <v>1</v>
      </c>
    </row>
    <row r="529" spans="1:21" x14ac:dyDescent="0.25">
      <c r="A529" s="20">
        <v>17471</v>
      </c>
      <c r="B529" s="3" t="s">
        <v>114</v>
      </c>
      <c r="C529" s="3" t="s">
        <v>112</v>
      </c>
      <c r="D529" s="19">
        <v>80000</v>
      </c>
      <c r="E529" s="20">
        <v>4</v>
      </c>
      <c r="F529" s="3" t="s">
        <v>34</v>
      </c>
      <c r="G529" s="3" t="s">
        <v>31</v>
      </c>
      <c r="H529" s="3" t="s">
        <v>17</v>
      </c>
      <c r="I529" s="20">
        <v>2</v>
      </c>
      <c r="J529" s="3" t="s">
        <v>26</v>
      </c>
      <c r="K529" s="3" t="s">
        <v>35</v>
      </c>
      <c r="L529" s="20">
        <v>67</v>
      </c>
      <c r="M529" s="3" t="s">
        <v>20</v>
      </c>
      <c r="N529" s="20" t="str" cm="1">
        <f t="array" ref="N529">_xlfn.IFS(tbl_Clean[[#This Row],[Age]]&lt;=30,"25-30",tbl_Clean[[#This Row],[Age]]&lt;=40,"31-40",tbl_Clean[[#This Row],[Age]]&lt;=50,"41-50",tbl_Clean[[#This Row],[Age]]&lt;=60,"51-60",TRUE,"61+")</f>
        <v>61+</v>
      </c>
      <c r="O529" s="20">
        <f>_xlfn.XMATCH(tbl_Clean[[#This Row],[Age Band]],{"25-30","31-40","41-50","51-60","61+"})</f>
        <v>5</v>
      </c>
      <c r="P529" s="20" t="str" cm="1">
        <f t="array" ref="P529">_xlfn.IFS(tbl_Clean[[#This Row],[Income]]&lt;=30000,"$10k-30k",tbl_Clean[[#This Row],[Income]]&lt;=60000,"$40k-60k",tbl_Clean[[#This Row],[Income]]&lt;=90000,"$70k-90k",TRUE,"$100k+")</f>
        <v>$70k-90k</v>
      </c>
      <c r="Q529" s="20">
        <f>_xlfn.XMATCH(tbl_Clean[[#This Row],[Income Band]],{"$10k-30k","$40k-60k","$70k-90k","$100k+"})</f>
        <v>3</v>
      </c>
      <c r="R529" s="20" t="str">
        <f>IF(tbl_Clean[[#This Row],[Cars]]&lt;=1,"0-1 Cars","2+ Cars")</f>
        <v>2+ Cars</v>
      </c>
      <c r="S529" s="20">
        <f>_xlfn.XMATCH(tbl_Clean[[#This Row],[Commute Distance]],{"0-1 Miles","1-2 Miles","2-5 Miles","5-10 Miles","10+ Miles"})</f>
        <v>4</v>
      </c>
      <c r="T529" s="20">
        <f>_xlfn.XMATCH(tbl_Clean[[#This Row],[Education]],{"Partial High School","High School","Partial College","Bachelors","Graduate Degree"})</f>
        <v>5</v>
      </c>
      <c r="U529" s="20">
        <f>IF(tbl_Clean[[#This Row],[Purchased Bike]]="Yes",1,0)</f>
        <v>0</v>
      </c>
    </row>
    <row r="530" spans="1:21" x14ac:dyDescent="0.25">
      <c r="A530" s="20">
        <v>16791</v>
      </c>
      <c r="B530" s="3" t="s">
        <v>114</v>
      </c>
      <c r="C530" s="3" t="s">
        <v>113</v>
      </c>
      <c r="D530" s="19">
        <v>60000</v>
      </c>
      <c r="E530" s="20">
        <v>5</v>
      </c>
      <c r="F530" s="3" t="s">
        <v>15</v>
      </c>
      <c r="G530" s="3" t="s">
        <v>31</v>
      </c>
      <c r="H530" s="3" t="s">
        <v>17</v>
      </c>
      <c r="I530" s="20">
        <v>3</v>
      </c>
      <c r="J530" s="3" t="s">
        <v>33</v>
      </c>
      <c r="K530" s="3" t="s">
        <v>35</v>
      </c>
      <c r="L530" s="20">
        <v>59</v>
      </c>
      <c r="M530" s="3" t="s">
        <v>17</v>
      </c>
      <c r="N530" s="20" t="str" cm="1">
        <f t="array" ref="N530">_xlfn.IFS(tbl_Clean[[#This Row],[Age]]&lt;=30,"25-30",tbl_Clean[[#This Row],[Age]]&lt;=40,"31-40",tbl_Clean[[#This Row],[Age]]&lt;=50,"41-50",tbl_Clean[[#This Row],[Age]]&lt;=60,"51-60",TRUE,"61+")</f>
        <v>51-60</v>
      </c>
      <c r="O530" s="20">
        <f>_xlfn.XMATCH(tbl_Clean[[#This Row],[Age Band]],{"25-30","31-40","41-50","51-60","61+"})</f>
        <v>4</v>
      </c>
      <c r="P530" s="20" t="str" cm="1">
        <f t="array" ref="P530">_xlfn.IFS(tbl_Clean[[#This Row],[Income]]&lt;=30000,"$10k-30k",tbl_Clean[[#This Row],[Income]]&lt;=60000,"$40k-60k",tbl_Clean[[#This Row],[Income]]&lt;=90000,"$70k-90k",TRUE,"$100k+")</f>
        <v>$40k-60k</v>
      </c>
      <c r="Q530" s="20">
        <f>_xlfn.XMATCH(tbl_Clean[[#This Row],[Income Band]],{"$10k-30k","$40k-60k","$70k-90k","$100k+"})</f>
        <v>2</v>
      </c>
      <c r="R530" s="20" t="str">
        <f>IF(tbl_Clean[[#This Row],[Cars]]&lt;=1,"0-1 Cars","2+ Cars")</f>
        <v>2+ Cars</v>
      </c>
      <c r="S530" s="20">
        <f>_xlfn.XMATCH(tbl_Clean[[#This Row],[Commute Distance]],{"0-1 Miles","1-2 Miles","2-5 Miles","5-10 Miles","10+ Miles"})</f>
        <v>5</v>
      </c>
      <c r="T530" s="20">
        <f>_xlfn.XMATCH(tbl_Clean[[#This Row],[Education]],{"Partial High School","High School","Partial College","Bachelors","Graduate Degree"})</f>
        <v>4</v>
      </c>
      <c r="U530" s="20">
        <f>IF(tbl_Clean[[#This Row],[Purchased Bike]]="Yes",1,0)</f>
        <v>1</v>
      </c>
    </row>
    <row r="531" spans="1:21" x14ac:dyDescent="0.25">
      <c r="A531" s="20">
        <v>15382</v>
      </c>
      <c r="B531" s="3" t="s">
        <v>111</v>
      </c>
      <c r="C531" s="3" t="s">
        <v>112</v>
      </c>
      <c r="D531" s="19">
        <v>110000</v>
      </c>
      <c r="E531" s="20">
        <v>1</v>
      </c>
      <c r="F531" s="3" t="s">
        <v>15</v>
      </c>
      <c r="G531" s="3" t="s">
        <v>31</v>
      </c>
      <c r="H531" s="3" t="s">
        <v>17</v>
      </c>
      <c r="I531" s="20">
        <v>2</v>
      </c>
      <c r="J531" s="3" t="s">
        <v>29</v>
      </c>
      <c r="K531" s="3" t="s">
        <v>35</v>
      </c>
      <c r="L531" s="20">
        <v>44</v>
      </c>
      <c r="M531" s="3" t="s">
        <v>20</v>
      </c>
      <c r="N531" s="20" t="str" cm="1">
        <f t="array" ref="N531">_xlfn.IFS(tbl_Clean[[#This Row],[Age]]&lt;=30,"25-30",tbl_Clean[[#This Row],[Age]]&lt;=40,"31-40",tbl_Clean[[#This Row],[Age]]&lt;=50,"41-50",tbl_Clean[[#This Row],[Age]]&lt;=60,"51-60",TRUE,"61+")</f>
        <v>41-50</v>
      </c>
      <c r="O531" s="20">
        <f>_xlfn.XMATCH(tbl_Clean[[#This Row],[Age Band]],{"25-30","31-40","41-50","51-60","61+"})</f>
        <v>3</v>
      </c>
      <c r="P531" s="20" t="str" cm="1">
        <f t="array" ref="P531">_xlfn.IFS(tbl_Clean[[#This Row],[Income]]&lt;=30000,"$10k-30k",tbl_Clean[[#This Row],[Income]]&lt;=60000,"$40k-60k",tbl_Clean[[#This Row],[Income]]&lt;=90000,"$70k-90k",TRUE,"$100k+")</f>
        <v>$100k+</v>
      </c>
      <c r="Q531" s="20">
        <f>_xlfn.XMATCH(tbl_Clean[[#This Row],[Income Band]],{"$10k-30k","$40k-60k","$70k-90k","$100k+"})</f>
        <v>4</v>
      </c>
      <c r="R531" s="20" t="str">
        <f>IF(tbl_Clean[[#This Row],[Cars]]&lt;=1,"0-1 Cars","2+ Cars")</f>
        <v>2+ Cars</v>
      </c>
      <c r="S531" s="20">
        <f>_xlfn.XMATCH(tbl_Clean[[#This Row],[Commute Distance]],{"0-1 Miles","1-2 Miles","2-5 Miles","5-10 Miles","10+ Miles"})</f>
        <v>2</v>
      </c>
      <c r="T531" s="20">
        <f>_xlfn.XMATCH(tbl_Clean[[#This Row],[Education]],{"Partial High School","High School","Partial College","Bachelors","Graduate Degree"})</f>
        <v>4</v>
      </c>
      <c r="U531" s="20">
        <f>IF(tbl_Clean[[#This Row],[Purchased Bike]]="Yes",1,0)</f>
        <v>0</v>
      </c>
    </row>
    <row r="532" spans="1:21" x14ac:dyDescent="0.25">
      <c r="A532" s="20">
        <v>11641</v>
      </c>
      <c r="B532" s="3" t="s">
        <v>111</v>
      </c>
      <c r="C532" s="3" t="s">
        <v>113</v>
      </c>
      <c r="D532" s="19">
        <v>50000</v>
      </c>
      <c r="E532" s="20">
        <v>1</v>
      </c>
      <c r="F532" s="3" t="s">
        <v>15</v>
      </c>
      <c r="G532" s="3" t="s">
        <v>16</v>
      </c>
      <c r="H532" s="3" t="s">
        <v>17</v>
      </c>
      <c r="I532" s="20">
        <v>0</v>
      </c>
      <c r="J532" s="3" t="s">
        <v>18</v>
      </c>
      <c r="K532" s="3" t="s">
        <v>35</v>
      </c>
      <c r="L532" s="20">
        <v>36</v>
      </c>
      <c r="M532" s="3" t="s">
        <v>20</v>
      </c>
      <c r="N532" s="20" t="str" cm="1">
        <f t="array" ref="N532">_xlfn.IFS(tbl_Clean[[#This Row],[Age]]&lt;=30,"25-30",tbl_Clean[[#This Row],[Age]]&lt;=40,"31-40",tbl_Clean[[#This Row],[Age]]&lt;=50,"41-50",tbl_Clean[[#This Row],[Age]]&lt;=60,"51-60",TRUE,"61+")</f>
        <v>31-40</v>
      </c>
      <c r="O532" s="20">
        <f>_xlfn.XMATCH(tbl_Clean[[#This Row],[Age Band]],{"25-30","31-40","41-50","51-60","61+"})</f>
        <v>2</v>
      </c>
      <c r="P532" s="20" t="str" cm="1">
        <f t="array" ref="P532">_xlfn.IFS(tbl_Clean[[#This Row],[Income]]&lt;=30000,"$10k-30k",tbl_Clean[[#This Row],[Income]]&lt;=60000,"$40k-60k",tbl_Clean[[#This Row],[Income]]&lt;=90000,"$70k-90k",TRUE,"$100k+")</f>
        <v>$40k-60k</v>
      </c>
      <c r="Q532" s="20">
        <f>_xlfn.XMATCH(tbl_Clean[[#This Row],[Income Band]],{"$10k-30k","$40k-60k","$70k-90k","$100k+"})</f>
        <v>2</v>
      </c>
      <c r="R532" s="20" t="str">
        <f>IF(tbl_Clean[[#This Row],[Cars]]&lt;=1,"0-1 Cars","2+ Cars")</f>
        <v>0-1 Cars</v>
      </c>
      <c r="S532" s="20">
        <f>_xlfn.XMATCH(tbl_Clean[[#This Row],[Commute Distance]],{"0-1 Miles","1-2 Miles","2-5 Miles","5-10 Miles","10+ Miles"})</f>
        <v>1</v>
      </c>
      <c r="T532" s="20">
        <f>_xlfn.XMATCH(tbl_Clean[[#This Row],[Education]],{"Partial High School","High School","Partial College","Bachelors","Graduate Degree"})</f>
        <v>4</v>
      </c>
      <c r="U532" s="20">
        <f>IF(tbl_Clean[[#This Row],[Purchased Bike]]="Yes",1,0)</f>
        <v>0</v>
      </c>
    </row>
    <row r="533" spans="1:21" x14ac:dyDescent="0.25">
      <c r="A533" s="20">
        <v>11935</v>
      </c>
      <c r="B533" s="3" t="s">
        <v>114</v>
      </c>
      <c r="C533" s="3" t="s">
        <v>112</v>
      </c>
      <c r="D533" s="19">
        <v>30000</v>
      </c>
      <c r="E533" s="20">
        <v>0</v>
      </c>
      <c r="F533" s="3" t="s">
        <v>21</v>
      </c>
      <c r="G533" s="3" t="s">
        <v>16</v>
      </c>
      <c r="H533" s="3" t="s">
        <v>17</v>
      </c>
      <c r="I533" s="20">
        <v>1</v>
      </c>
      <c r="J533" s="3" t="s">
        <v>26</v>
      </c>
      <c r="K533" s="3" t="s">
        <v>35</v>
      </c>
      <c r="L533" s="20">
        <v>28</v>
      </c>
      <c r="M533" s="3" t="s">
        <v>20</v>
      </c>
      <c r="N533" s="20" t="str" cm="1">
        <f t="array" ref="N533">_xlfn.IFS(tbl_Clean[[#This Row],[Age]]&lt;=30,"25-30",tbl_Clean[[#This Row],[Age]]&lt;=40,"31-40",tbl_Clean[[#This Row],[Age]]&lt;=50,"41-50",tbl_Clean[[#This Row],[Age]]&lt;=60,"51-60",TRUE,"61+")</f>
        <v>25-30</v>
      </c>
      <c r="O533" s="20">
        <f>_xlfn.XMATCH(tbl_Clean[[#This Row],[Age Band]],{"25-30","31-40","41-50","51-60","61+"})</f>
        <v>1</v>
      </c>
      <c r="P533" s="20" t="str" cm="1">
        <f t="array" ref="P533">_xlfn.IFS(tbl_Clean[[#This Row],[Income]]&lt;=30000,"$10k-30k",tbl_Clean[[#This Row],[Income]]&lt;=60000,"$40k-60k",tbl_Clean[[#This Row],[Income]]&lt;=90000,"$70k-90k",TRUE,"$100k+")</f>
        <v>$10k-30k</v>
      </c>
      <c r="Q533" s="20">
        <f>_xlfn.XMATCH(tbl_Clean[[#This Row],[Income Band]],{"$10k-30k","$40k-60k","$70k-90k","$100k+"})</f>
        <v>1</v>
      </c>
      <c r="R533" s="20" t="str">
        <f>IF(tbl_Clean[[#This Row],[Cars]]&lt;=1,"0-1 Cars","2+ Cars")</f>
        <v>0-1 Cars</v>
      </c>
      <c r="S533" s="20">
        <f>_xlfn.XMATCH(tbl_Clean[[#This Row],[Commute Distance]],{"0-1 Miles","1-2 Miles","2-5 Miles","5-10 Miles","10+ Miles"})</f>
        <v>4</v>
      </c>
      <c r="T533" s="20">
        <f>_xlfn.XMATCH(tbl_Clean[[#This Row],[Education]],{"Partial High School","High School","Partial College","Bachelors","Graduate Degree"})</f>
        <v>3</v>
      </c>
      <c r="U533" s="20">
        <f>IF(tbl_Clean[[#This Row],[Purchased Bike]]="Yes",1,0)</f>
        <v>0</v>
      </c>
    </row>
    <row r="534" spans="1:21" x14ac:dyDescent="0.25">
      <c r="A534" s="20">
        <v>13233</v>
      </c>
      <c r="B534" s="3" t="s">
        <v>111</v>
      </c>
      <c r="C534" s="3" t="s">
        <v>113</v>
      </c>
      <c r="D534" s="19">
        <v>60000</v>
      </c>
      <c r="E534" s="20">
        <v>2</v>
      </c>
      <c r="F534" s="3" t="s">
        <v>21</v>
      </c>
      <c r="G534" s="3" t="s">
        <v>23</v>
      </c>
      <c r="H534" s="3" t="s">
        <v>17</v>
      </c>
      <c r="I534" s="20">
        <v>1</v>
      </c>
      <c r="J534" s="3" t="s">
        <v>33</v>
      </c>
      <c r="K534" s="3" t="s">
        <v>35</v>
      </c>
      <c r="L534" s="20">
        <v>57</v>
      </c>
      <c r="M534" s="3" t="s">
        <v>17</v>
      </c>
      <c r="N534" s="20" t="str" cm="1">
        <f t="array" ref="N534">_xlfn.IFS(tbl_Clean[[#This Row],[Age]]&lt;=30,"25-30",tbl_Clean[[#This Row],[Age]]&lt;=40,"31-40",tbl_Clean[[#This Row],[Age]]&lt;=50,"41-50",tbl_Clean[[#This Row],[Age]]&lt;=60,"51-60",TRUE,"61+")</f>
        <v>51-60</v>
      </c>
      <c r="O534" s="20">
        <f>_xlfn.XMATCH(tbl_Clean[[#This Row],[Age Band]],{"25-30","31-40","41-50","51-60","61+"})</f>
        <v>4</v>
      </c>
      <c r="P534" s="20" t="str" cm="1">
        <f t="array" ref="P534">_xlfn.IFS(tbl_Clean[[#This Row],[Income]]&lt;=30000,"$10k-30k",tbl_Clean[[#This Row],[Income]]&lt;=60000,"$40k-60k",tbl_Clean[[#This Row],[Income]]&lt;=90000,"$70k-90k",TRUE,"$100k+")</f>
        <v>$40k-60k</v>
      </c>
      <c r="Q534" s="20">
        <f>_xlfn.XMATCH(tbl_Clean[[#This Row],[Income Band]],{"$10k-30k","$40k-60k","$70k-90k","$100k+"})</f>
        <v>2</v>
      </c>
      <c r="R534" s="20" t="str">
        <f>IF(tbl_Clean[[#This Row],[Cars]]&lt;=1,"0-1 Cars","2+ Cars")</f>
        <v>0-1 Cars</v>
      </c>
      <c r="S534" s="20">
        <f>_xlfn.XMATCH(tbl_Clean[[#This Row],[Commute Distance]],{"0-1 Miles","1-2 Miles","2-5 Miles","5-10 Miles","10+ Miles"})</f>
        <v>5</v>
      </c>
      <c r="T534" s="20">
        <f>_xlfn.XMATCH(tbl_Clean[[#This Row],[Education]],{"Partial High School","High School","Partial College","Bachelors","Graduate Degree"})</f>
        <v>3</v>
      </c>
      <c r="U534" s="20">
        <f>IF(tbl_Clean[[#This Row],[Purchased Bike]]="Yes",1,0)</f>
        <v>1</v>
      </c>
    </row>
    <row r="535" spans="1:21" x14ac:dyDescent="0.25">
      <c r="A535" s="20">
        <v>25909</v>
      </c>
      <c r="B535" s="3" t="s">
        <v>111</v>
      </c>
      <c r="C535" s="3" t="s">
        <v>113</v>
      </c>
      <c r="D535" s="19">
        <v>60000</v>
      </c>
      <c r="E535" s="20">
        <v>0</v>
      </c>
      <c r="F535" s="3" t="s">
        <v>21</v>
      </c>
      <c r="G535" s="3" t="s">
        <v>16</v>
      </c>
      <c r="H535" s="3" t="s">
        <v>17</v>
      </c>
      <c r="I535" s="20">
        <v>1</v>
      </c>
      <c r="J535" s="3" t="s">
        <v>26</v>
      </c>
      <c r="K535" s="3" t="s">
        <v>35</v>
      </c>
      <c r="L535" s="20">
        <v>27</v>
      </c>
      <c r="M535" s="3" t="s">
        <v>17</v>
      </c>
      <c r="N535" s="20" t="str" cm="1">
        <f t="array" ref="N535">_xlfn.IFS(tbl_Clean[[#This Row],[Age]]&lt;=30,"25-30",tbl_Clean[[#This Row],[Age]]&lt;=40,"31-40",tbl_Clean[[#This Row],[Age]]&lt;=50,"41-50",tbl_Clean[[#This Row],[Age]]&lt;=60,"51-60",TRUE,"61+")</f>
        <v>25-30</v>
      </c>
      <c r="O535" s="20">
        <f>_xlfn.XMATCH(tbl_Clean[[#This Row],[Age Band]],{"25-30","31-40","41-50","51-60","61+"})</f>
        <v>1</v>
      </c>
      <c r="P535" s="20" t="str" cm="1">
        <f t="array" ref="P535">_xlfn.IFS(tbl_Clean[[#This Row],[Income]]&lt;=30000,"$10k-30k",tbl_Clean[[#This Row],[Income]]&lt;=60000,"$40k-60k",tbl_Clean[[#This Row],[Income]]&lt;=90000,"$70k-90k",TRUE,"$100k+")</f>
        <v>$40k-60k</v>
      </c>
      <c r="Q535" s="20">
        <f>_xlfn.XMATCH(tbl_Clean[[#This Row],[Income Band]],{"$10k-30k","$40k-60k","$70k-90k","$100k+"})</f>
        <v>2</v>
      </c>
      <c r="R535" s="20" t="str">
        <f>IF(tbl_Clean[[#This Row],[Cars]]&lt;=1,"0-1 Cars","2+ Cars")</f>
        <v>0-1 Cars</v>
      </c>
      <c r="S535" s="20">
        <f>_xlfn.XMATCH(tbl_Clean[[#This Row],[Commute Distance]],{"0-1 Miles","1-2 Miles","2-5 Miles","5-10 Miles","10+ Miles"})</f>
        <v>4</v>
      </c>
      <c r="T535" s="20">
        <f>_xlfn.XMATCH(tbl_Clean[[#This Row],[Education]],{"Partial High School","High School","Partial College","Bachelors","Graduate Degree"})</f>
        <v>3</v>
      </c>
      <c r="U535" s="20">
        <f>IF(tbl_Clean[[#This Row],[Purchased Bike]]="Yes",1,0)</f>
        <v>1</v>
      </c>
    </row>
    <row r="536" spans="1:21" x14ac:dyDescent="0.25">
      <c r="A536" s="20">
        <v>14092</v>
      </c>
      <c r="B536" s="3" t="s">
        <v>114</v>
      </c>
      <c r="C536" s="3" t="s">
        <v>113</v>
      </c>
      <c r="D536" s="19">
        <v>30000</v>
      </c>
      <c r="E536" s="20">
        <v>0</v>
      </c>
      <c r="F536" s="3" t="s">
        <v>32</v>
      </c>
      <c r="G536" s="3" t="s">
        <v>22</v>
      </c>
      <c r="H536" s="3" t="s">
        <v>17</v>
      </c>
      <c r="I536" s="20">
        <v>2</v>
      </c>
      <c r="J536" s="3" t="s">
        <v>26</v>
      </c>
      <c r="K536" s="3" t="s">
        <v>35</v>
      </c>
      <c r="L536" s="20">
        <v>28</v>
      </c>
      <c r="M536" s="3" t="s">
        <v>20</v>
      </c>
      <c r="N536" s="20" t="str" cm="1">
        <f t="array" ref="N536">_xlfn.IFS(tbl_Clean[[#This Row],[Age]]&lt;=30,"25-30",tbl_Clean[[#This Row],[Age]]&lt;=40,"31-40",tbl_Clean[[#This Row],[Age]]&lt;=50,"41-50",tbl_Clean[[#This Row],[Age]]&lt;=60,"51-60",TRUE,"61+")</f>
        <v>25-30</v>
      </c>
      <c r="O536" s="20">
        <f>_xlfn.XMATCH(tbl_Clean[[#This Row],[Age Band]],{"25-30","31-40","41-50","51-60","61+"})</f>
        <v>1</v>
      </c>
      <c r="P536" s="20" t="str" cm="1">
        <f t="array" ref="P536">_xlfn.IFS(tbl_Clean[[#This Row],[Income]]&lt;=30000,"$10k-30k",tbl_Clean[[#This Row],[Income]]&lt;=60000,"$40k-60k",tbl_Clean[[#This Row],[Income]]&lt;=90000,"$70k-90k",TRUE,"$100k+")</f>
        <v>$10k-30k</v>
      </c>
      <c r="Q536" s="20">
        <f>_xlfn.XMATCH(tbl_Clean[[#This Row],[Income Band]],{"$10k-30k","$40k-60k","$70k-90k","$100k+"})</f>
        <v>1</v>
      </c>
      <c r="R536" s="20" t="str">
        <f>IF(tbl_Clean[[#This Row],[Cars]]&lt;=1,"0-1 Cars","2+ Cars")</f>
        <v>2+ Cars</v>
      </c>
      <c r="S536" s="20">
        <f>_xlfn.XMATCH(tbl_Clean[[#This Row],[Commute Distance]],{"0-1 Miles","1-2 Miles","2-5 Miles","5-10 Miles","10+ Miles"})</f>
        <v>4</v>
      </c>
      <c r="T536" s="20">
        <f>_xlfn.XMATCH(tbl_Clean[[#This Row],[Education]],{"Partial High School","High School","Partial College","Bachelors","Graduate Degree"})</f>
        <v>1</v>
      </c>
      <c r="U536" s="20">
        <f>IF(tbl_Clean[[#This Row],[Purchased Bike]]="Yes",1,0)</f>
        <v>0</v>
      </c>
    </row>
    <row r="537" spans="1:21" x14ac:dyDescent="0.25">
      <c r="A537" s="20">
        <v>29143</v>
      </c>
      <c r="B537" s="3" t="s">
        <v>114</v>
      </c>
      <c r="C537" s="3" t="s">
        <v>112</v>
      </c>
      <c r="D537" s="19">
        <v>60000</v>
      </c>
      <c r="E537" s="20">
        <v>1</v>
      </c>
      <c r="F537" s="3" t="s">
        <v>15</v>
      </c>
      <c r="G537" s="3" t="s">
        <v>23</v>
      </c>
      <c r="H537" s="3" t="s">
        <v>20</v>
      </c>
      <c r="I537" s="20">
        <v>1</v>
      </c>
      <c r="J537" s="3" t="s">
        <v>18</v>
      </c>
      <c r="K537" s="3" t="s">
        <v>35</v>
      </c>
      <c r="L537" s="20">
        <v>44</v>
      </c>
      <c r="M537" s="3" t="s">
        <v>17</v>
      </c>
      <c r="N537" s="20" t="str" cm="1">
        <f t="array" ref="N537">_xlfn.IFS(tbl_Clean[[#This Row],[Age]]&lt;=30,"25-30",tbl_Clean[[#This Row],[Age]]&lt;=40,"31-40",tbl_Clean[[#This Row],[Age]]&lt;=50,"41-50",tbl_Clean[[#This Row],[Age]]&lt;=60,"51-60",TRUE,"61+")</f>
        <v>41-50</v>
      </c>
      <c r="O537" s="20">
        <f>_xlfn.XMATCH(tbl_Clean[[#This Row],[Age Band]],{"25-30","31-40","41-50","51-60","61+"})</f>
        <v>3</v>
      </c>
      <c r="P537" s="20" t="str" cm="1">
        <f t="array" ref="P537">_xlfn.IFS(tbl_Clean[[#This Row],[Income]]&lt;=30000,"$10k-30k",tbl_Clean[[#This Row],[Income]]&lt;=60000,"$40k-60k",tbl_Clean[[#This Row],[Income]]&lt;=90000,"$70k-90k",TRUE,"$100k+")</f>
        <v>$40k-60k</v>
      </c>
      <c r="Q537" s="20">
        <f>_xlfn.XMATCH(tbl_Clean[[#This Row],[Income Band]],{"$10k-30k","$40k-60k","$70k-90k","$100k+"})</f>
        <v>2</v>
      </c>
      <c r="R537" s="20" t="str">
        <f>IF(tbl_Clean[[#This Row],[Cars]]&lt;=1,"0-1 Cars","2+ Cars")</f>
        <v>0-1 Cars</v>
      </c>
      <c r="S537" s="20">
        <f>_xlfn.XMATCH(tbl_Clean[[#This Row],[Commute Distance]],{"0-1 Miles","1-2 Miles","2-5 Miles","5-10 Miles","10+ Miles"})</f>
        <v>1</v>
      </c>
      <c r="T537" s="20">
        <f>_xlfn.XMATCH(tbl_Clean[[#This Row],[Education]],{"Partial High School","High School","Partial College","Bachelors","Graduate Degree"})</f>
        <v>4</v>
      </c>
      <c r="U537" s="20">
        <f>IF(tbl_Clean[[#This Row],[Purchased Bike]]="Yes",1,0)</f>
        <v>1</v>
      </c>
    </row>
    <row r="538" spans="1:21" x14ac:dyDescent="0.25">
      <c r="A538" s="20">
        <v>24941</v>
      </c>
      <c r="B538" s="3" t="s">
        <v>111</v>
      </c>
      <c r="C538" s="3" t="s">
        <v>113</v>
      </c>
      <c r="D538" s="19">
        <v>60000</v>
      </c>
      <c r="E538" s="20">
        <v>3</v>
      </c>
      <c r="F538" s="3" t="s">
        <v>15</v>
      </c>
      <c r="G538" s="3" t="s">
        <v>31</v>
      </c>
      <c r="H538" s="3" t="s">
        <v>17</v>
      </c>
      <c r="I538" s="20">
        <v>2</v>
      </c>
      <c r="J538" s="3" t="s">
        <v>33</v>
      </c>
      <c r="K538" s="3" t="s">
        <v>35</v>
      </c>
      <c r="L538" s="20">
        <v>66</v>
      </c>
      <c r="M538" s="3" t="s">
        <v>20</v>
      </c>
      <c r="N538" s="20" t="str" cm="1">
        <f t="array" ref="N538">_xlfn.IFS(tbl_Clean[[#This Row],[Age]]&lt;=30,"25-30",tbl_Clean[[#This Row],[Age]]&lt;=40,"31-40",tbl_Clean[[#This Row],[Age]]&lt;=50,"41-50",tbl_Clean[[#This Row],[Age]]&lt;=60,"51-60",TRUE,"61+")</f>
        <v>61+</v>
      </c>
      <c r="O538" s="20">
        <f>_xlfn.XMATCH(tbl_Clean[[#This Row],[Age Band]],{"25-30","31-40","41-50","51-60","61+"})</f>
        <v>5</v>
      </c>
      <c r="P538" s="20" t="str" cm="1">
        <f t="array" ref="P538">_xlfn.IFS(tbl_Clean[[#This Row],[Income]]&lt;=30000,"$10k-30k",tbl_Clean[[#This Row],[Income]]&lt;=60000,"$40k-60k",tbl_Clean[[#This Row],[Income]]&lt;=90000,"$70k-90k",TRUE,"$100k+")</f>
        <v>$40k-60k</v>
      </c>
      <c r="Q538" s="20">
        <f>_xlfn.XMATCH(tbl_Clean[[#This Row],[Income Band]],{"$10k-30k","$40k-60k","$70k-90k","$100k+"})</f>
        <v>2</v>
      </c>
      <c r="R538" s="20" t="str">
        <f>IF(tbl_Clean[[#This Row],[Cars]]&lt;=1,"0-1 Cars","2+ Cars")</f>
        <v>2+ Cars</v>
      </c>
      <c r="S538" s="20">
        <f>_xlfn.XMATCH(tbl_Clean[[#This Row],[Commute Distance]],{"0-1 Miles","1-2 Miles","2-5 Miles","5-10 Miles","10+ Miles"})</f>
        <v>5</v>
      </c>
      <c r="T538" s="20">
        <f>_xlfn.XMATCH(tbl_Clean[[#This Row],[Education]],{"Partial High School","High School","Partial College","Bachelors","Graduate Degree"})</f>
        <v>4</v>
      </c>
      <c r="U538" s="20">
        <f>IF(tbl_Clean[[#This Row],[Purchased Bike]]="Yes",1,0)</f>
        <v>0</v>
      </c>
    </row>
    <row r="539" spans="1:21" x14ac:dyDescent="0.25">
      <c r="A539" s="20">
        <v>24637</v>
      </c>
      <c r="B539" s="3" t="s">
        <v>111</v>
      </c>
      <c r="C539" s="3" t="s">
        <v>113</v>
      </c>
      <c r="D539" s="19">
        <v>40000</v>
      </c>
      <c r="E539" s="20">
        <v>4</v>
      </c>
      <c r="F539" s="3" t="s">
        <v>30</v>
      </c>
      <c r="G539" s="3" t="s">
        <v>23</v>
      </c>
      <c r="H539" s="3" t="s">
        <v>17</v>
      </c>
      <c r="I539" s="20">
        <v>2</v>
      </c>
      <c r="J539" s="3" t="s">
        <v>33</v>
      </c>
      <c r="K539" s="3" t="s">
        <v>35</v>
      </c>
      <c r="L539" s="20">
        <v>64</v>
      </c>
      <c r="M539" s="3" t="s">
        <v>20</v>
      </c>
      <c r="N539" s="20" t="str" cm="1">
        <f t="array" ref="N539">_xlfn.IFS(tbl_Clean[[#This Row],[Age]]&lt;=30,"25-30",tbl_Clean[[#This Row],[Age]]&lt;=40,"31-40",tbl_Clean[[#This Row],[Age]]&lt;=50,"41-50",tbl_Clean[[#This Row],[Age]]&lt;=60,"51-60",TRUE,"61+")</f>
        <v>61+</v>
      </c>
      <c r="O539" s="20">
        <f>_xlfn.XMATCH(tbl_Clean[[#This Row],[Age Band]],{"25-30","31-40","41-50","51-60","61+"})</f>
        <v>5</v>
      </c>
      <c r="P539" s="20" t="str" cm="1">
        <f t="array" ref="P539">_xlfn.IFS(tbl_Clean[[#This Row],[Income]]&lt;=30000,"$10k-30k",tbl_Clean[[#This Row],[Income]]&lt;=60000,"$40k-60k",tbl_Clean[[#This Row],[Income]]&lt;=90000,"$70k-90k",TRUE,"$100k+")</f>
        <v>$40k-60k</v>
      </c>
      <c r="Q539" s="20">
        <f>_xlfn.XMATCH(tbl_Clean[[#This Row],[Income Band]],{"$10k-30k","$40k-60k","$70k-90k","$100k+"})</f>
        <v>2</v>
      </c>
      <c r="R539" s="20" t="str">
        <f>IF(tbl_Clean[[#This Row],[Cars]]&lt;=1,"0-1 Cars","2+ Cars")</f>
        <v>2+ Cars</v>
      </c>
      <c r="S539" s="20">
        <f>_xlfn.XMATCH(tbl_Clean[[#This Row],[Commute Distance]],{"0-1 Miles","1-2 Miles","2-5 Miles","5-10 Miles","10+ Miles"})</f>
        <v>5</v>
      </c>
      <c r="T539" s="20">
        <f>_xlfn.XMATCH(tbl_Clean[[#This Row],[Education]],{"Partial High School","High School","Partial College","Bachelors","Graduate Degree"})</f>
        <v>2</v>
      </c>
      <c r="U539" s="20">
        <f>IF(tbl_Clean[[#This Row],[Purchased Bike]]="Yes",1,0)</f>
        <v>0</v>
      </c>
    </row>
    <row r="540" spans="1:21" x14ac:dyDescent="0.25">
      <c r="A540" s="20">
        <v>23893</v>
      </c>
      <c r="B540" s="3" t="s">
        <v>111</v>
      </c>
      <c r="C540" s="3" t="s">
        <v>113</v>
      </c>
      <c r="D540" s="19">
        <v>50000</v>
      </c>
      <c r="E540" s="20">
        <v>3</v>
      </c>
      <c r="F540" s="3" t="s">
        <v>15</v>
      </c>
      <c r="G540" s="3" t="s">
        <v>16</v>
      </c>
      <c r="H540" s="3" t="s">
        <v>17</v>
      </c>
      <c r="I540" s="20">
        <v>3</v>
      </c>
      <c r="J540" s="3" t="s">
        <v>33</v>
      </c>
      <c r="K540" s="3" t="s">
        <v>35</v>
      </c>
      <c r="L540" s="20">
        <v>41</v>
      </c>
      <c r="M540" s="3" t="s">
        <v>20</v>
      </c>
      <c r="N540" s="20" t="str" cm="1">
        <f t="array" ref="N540">_xlfn.IFS(tbl_Clean[[#This Row],[Age]]&lt;=30,"25-30",tbl_Clean[[#This Row],[Age]]&lt;=40,"31-40",tbl_Clean[[#This Row],[Age]]&lt;=50,"41-50",tbl_Clean[[#This Row],[Age]]&lt;=60,"51-60",TRUE,"61+")</f>
        <v>41-50</v>
      </c>
      <c r="O540" s="20">
        <f>_xlfn.XMATCH(tbl_Clean[[#This Row],[Age Band]],{"25-30","31-40","41-50","51-60","61+"})</f>
        <v>3</v>
      </c>
      <c r="P540" s="20" t="str" cm="1">
        <f t="array" ref="P540">_xlfn.IFS(tbl_Clean[[#This Row],[Income]]&lt;=30000,"$10k-30k",tbl_Clean[[#This Row],[Income]]&lt;=60000,"$40k-60k",tbl_Clean[[#This Row],[Income]]&lt;=90000,"$70k-90k",TRUE,"$100k+")</f>
        <v>$40k-60k</v>
      </c>
      <c r="Q540" s="20">
        <f>_xlfn.XMATCH(tbl_Clean[[#This Row],[Income Band]],{"$10k-30k","$40k-60k","$70k-90k","$100k+"})</f>
        <v>2</v>
      </c>
      <c r="R540" s="20" t="str">
        <f>IF(tbl_Clean[[#This Row],[Cars]]&lt;=1,"0-1 Cars","2+ Cars")</f>
        <v>2+ Cars</v>
      </c>
      <c r="S540" s="20">
        <f>_xlfn.XMATCH(tbl_Clean[[#This Row],[Commute Distance]],{"0-1 Miles","1-2 Miles","2-5 Miles","5-10 Miles","10+ Miles"})</f>
        <v>5</v>
      </c>
      <c r="T540" s="20">
        <f>_xlfn.XMATCH(tbl_Clean[[#This Row],[Education]],{"Partial High School","High School","Partial College","Bachelors","Graduate Degree"})</f>
        <v>4</v>
      </c>
      <c r="U540" s="20">
        <f>IF(tbl_Clean[[#This Row],[Purchased Bike]]="Yes",1,0)</f>
        <v>0</v>
      </c>
    </row>
    <row r="541" spans="1:21" x14ac:dyDescent="0.25">
      <c r="A541" s="20">
        <v>13907</v>
      </c>
      <c r="B541" s="3" t="s">
        <v>114</v>
      </c>
      <c r="C541" s="3" t="s">
        <v>112</v>
      </c>
      <c r="D541" s="19">
        <v>80000</v>
      </c>
      <c r="E541" s="20">
        <v>3</v>
      </c>
      <c r="F541" s="3" t="s">
        <v>15</v>
      </c>
      <c r="G541" s="3" t="s">
        <v>16</v>
      </c>
      <c r="H541" s="3" t="s">
        <v>17</v>
      </c>
      <c r="I541" s="20">
        <v>1</v>
      </c>
      <c r="J541" s="3" t="s">
        <v>18</v>
      </c>
      <c r="K541" s="3" t="s">
        <v>35</v>
      </c>
      <c r="L541" s="20">
        <v>41</v>
      </c>
      <c r="M541" s="3" t="s">
        <v>17</v>
      </c>
      <c r="N541" s="20" t="str" cm="1">
        <f t="array" ref="N541">_xlfn.IFS(tbl_Clean[[#This Row],[Age]]&lt;=30,"25-30",tbl_Clean[[#This Row],[Age]]&lt;=40,"31-40",tbl_Clean[[#This Row],[Age]]&lt;=50,"41-50",tbl_Clean[[#This Row],[Age]]&lt;=60,"51-60",TRUE,"61+")</f>
        <v>41-50</v>
      </c>
      <c r="O541" s="20">
        <f>_xlfn.XMATCH(tbl_Clean[[#This Row],[Age Band]],{"25-30","31-40","41-50","51-60","61+"})</f>
        <v>3</v>
      </c>
      <c r="P541" s="20" t="str" cm="1">
        <f t="array" ref="P541">_xlfn.IFS(tbl_Clean[[#This Row],[Income]]&lt;=30000,"$10k-30k",tbl_Clean[[#This Row],[Income]]&lt;=60000,"$40k-60k",tbl_Clean[[#This Row],[Income]]&lt;=90000,"$70k-90k",TRUE,"$100k+")</f>
        <v>$70k-90k</v>
      </c>
      <c r="Q541" s="20">
        <f>_xlfn.XMATCH(tbl_Clean[[#This Row],[Income Band]],{"$10k-30k","$40k-60k","$70k-90k","$100k+"})</f>
        <v>3</v>
      </c>
      <c r="R541" s="20" t="str">
        <f>IF(tbl_Clean[[#This Row],[Cars]]&lt;=1,"0-1 Cars","2+ Cars")</f>
        <v>0-1 Cars</v>
      </c>
      <c r="S541" s="20">
        <f>_xlfn.XMATCH(tbl_Clean[[#This Row],[Commute Distance]],{"0-1 Miles","1-2 Miles","2-5 Miles","5-10 Miles","10+ Miles"})</f>
        <v>1</v>
      </c>
      <c r="T541" s="20">
        <f>_xlfn.XMATCH(tbl_Clean[[#This Row],[Education]],{"Partial High School","High School","Partial College","Bachelors","Graduate Degree"})</f>
        <v>4</v>
      </c>
      <c r="U541" s="20">
        <f>IF(tbl_Clean[[#This Row],[Purchased Bike]]="Yes",1,0)</f>
        <v>1</v>
      </c>
    </row>
    <row r="542" spans="1:21" x14ac:dyDescent="0.25">
      <c r="A542" s="20">
        <v>14900</v>
      </c>
      <c r="B542" s="3" t="s">
        <v>111</v>
      </c>
      <c r="C542" s="3" t="s">
        <v>112</v>
      </c>
      <c r="D542" s="19">
        <v>40000</v>
      </c>
      <c r="E542" s="20">
        <v>1</v>
      </c>
      <c r="F542" s="3" t="s">
        <v>21</v>
      </c>
      <c r="G542" s="3" t="s">
        <v>22</v>
      </c>
      <c r="H542" s="3" t="s">
        <v>17</v>
      </c>
      <c r="I542" s="20">
        <v>1</v>
      </c>
      <c r="J542" s="3" t="s">
        <v>29</v>
      </c>
      <c r="K542" s="3" t="s">
        <v>35</v>
      </c>
      <c r="L542" s="20">
        <v>49</v>
      </c>
      <c r="M542" s="3" t="s">
        <v>17</v>
      </c>
      <c r="N542" s="20" t="str" cm="1">
        <f t="array" ref="N542">_xlfn.IFS(tbl_Clean[[#This Row],[Age]]&lt;=30,"25-30",tbl_Clean[[#This Row],[Age]]&lt;=40,"31-40",tbl_Clean[[#This Row],[Age]]&lt;=50,"41-50",tbl_Clean[[#This Row],[Age]]&lt;=60,"51-60",TRUE,"61+")</f>
        <v>41-50</v>
      </c>
      <c r="O542" s="20">
        <f>_xlfn.XMATCH(tbl_Clean[[#This Row],[Age Band]],{"25-30","31-40","41-50","51-60","61+"})</f>
        <v>3</v>
      </c>
      <c r="P542" s="20" t="str" cm="1">
        <f t="array" ref="P542">_xlfn.IFS(tbl_Clean[[#This Row],[Income]]&lt;=30000,"$10k-30k",tbl_Clean[[#This Row],[Income]]&lt;=60000,"$40k-60k",tbl_Clean[[#This Row],[Income]]&lt;=90000,"$70k-90k",TRUE,"$100k+")</f>
        <v>$40k-60k</v>
      </c>
      <c r="Q542" s="20">
        <f>_xlfn.XMATCH(tbl_Clean[[#This Row],[Income Band]],{"$10k-30k","$40k-60k","$70k-90k","$100k+"})</f>
        <v>2</v>
      </c>
      <c r="R542" s="20" t="str">
        <f>IF(tbl_Clean[[#This Row],[Cars]]&lt;=1,"0-1 Cars","2+ Cars")</f>
        <v>0-1 Cars</v>
      </c>
      <c r="S542" s="20">
        <f>_xlfn.XMATCH(tbl_Clean[[#This Row],[Commute Distance]],{"0-1 Miles","1-2 Miles","2-5 Miles","5-10 Miles","10+ Miles"})</f>
        <v>2</v>
      </c>
      <c r="T542" s="20">
        <f>_xlfn.XMATCH(tbl_Clean[[#This Row],[Education]],{"Partial High School","High School","Partial College","Bachelors","Graduate Degree"})</f>
        <v>3</v>
      </c>
      <c r="U542" s="20">
        <f>IF(tbl_Clean[[#This Row],[Purchased Bike]]="Yes",1,0)</f>
        <v>1</v>
      </c>
    </row>
    <row r="543" spans="1:21" x14ac:dyDescent="0.25">
      <c r="A543" s="20">
        <v>11262</v>
      </c>
      <c r="B543" s="3" t="s">
        <v>111</v>
      </c>
      <c r="C543" s="3" t="s">
        <v>112</v>
      </c>
      <c r="D543" s="19">
        <v>80000</v>
      </c>
      <c r="E543" s="20">
        <v>4</v>
      </c>
      <c r="F543" s="3" t="s">
        <v>15</v>
      </c>
      <c r="G543" s="3" t="s">
        <v>31</v>
      </c>
      <c r="H543" s="3" t="s">
        <v>17</v>
      </c>
      <c r="I543" s="20">
        <v>0</v>
      </c>
      <c r="J543" s="3" t="s">
        <v>18</v>
      </c>
      <c r="K543" s="3" t="s">
        <v>35</v>
      </c>
      <c r="L543" s="20">
        <v>42</v>
      </c>
      <c r="M543" s="3" t="s">
        <v>20</v>
      </c>
      <c r="N543" s="20" t="str" cm="1">
        <f t="array" ref="N543">_xlfn.IFS(tbl_Clean[[#This Row],[Age]]&lt;=30,"25-30",tbl_Clean[[#This Row],[Age]]&lt;=40,"31-40",tbl_Clean[[#This Row],[Age]]&lt;=50,"41-50",tbl_Clean[[#This Row],[Age]]&lt;=60,"51-60",TRUE,"61+")</f>
        <v>41-50</v>
      </c>
      <c r="O543" s="20">
        <f>_xlfn.XMATCH(tbl_Clean[[#This Row],[Age Band]],{"25-30","31-40","41-50","51-60","61+"})</f>
        <v>3</v>
      </c>
      <c r="P543" s="20" t="str" cm="1">
        <f t="array" ref="P543">_xlfn.IFS(tbl_Clean[[#This Row],[Income]]&lt;=30000,"$10k-30k",tbl_Clean[[#This Row],[Income]]&lt;=60000,"$40k-60k",tbl_Clean[[#This Row],[Income]]&lt;=90000,"$70k-90k",TRUE,"$100k+")</f>
        <v>$70k-90k</v>
      </c>
      <c r="Q543" s="20">
        <f>_xlfn.XMATCH(tbl_Clean[[#This Row],[Income Band]],{"$10k-30k","$40k-60k","$70k-90k","$100k+"})</f>
        <v>3</v>
      </c>
      <c r="R543" s="20" t="str">
        <f>IF(tbl_Clean[[#This Row],[Cars]]&lt;=1,"0-1 Cars","2+ Cars")</f>
        <v>0-1 Cars</v>
      </c>
      <c r="S543" s="20">
        <f>_xlfn.XMATCH(tbl_Clean[[#This Row],[Commute Distance]],{"0-1 Miles","1-2 Miles","2-5 Miles","5-10 Miles","10+ Miles"})</f>
        <v>1</v>
      </c>
      <c r="T543" s="20">
        <f>_xlfn.XMATCH(tbl_Clean[[#This Row],[Education]],{"Partial High School","High School","Partial College","Bachelors","Graduate Degree"})</f>
        <v>4</v>
      </c>
      <c r="U543" s="20">
        <f>IF(tbl_Clean[[#This Row],[Purchased Bike]]="Yes",1,0)</f>
        <v>0</v>
      </c>
    </row>
    <row r="544" spans="1:21" x14ac:dyDescent="0.25">
      <c r="A544" s="20">
        <v>22294</v>
      </c>
      <c r="B544" s="3" t="s">
        <v>114</v>
      </c>
      <c r="C544" s="3" t="s">
        <v>112</v>
      </c>
      <c r="D544" s="19">
        <v>70000</v>
      </c>
      <c r="E544" s="20">
        <v>0</v>
      </c>
      <c r="F544" s="3" t="s">
        <v>15</v>
      </c>
      <c r="G544" s="3" t="s">
        <v>23</v>
      </c>
      <c r="H544" s="3" t="s">
        <v>20</v>
      </c>
      <c r="I544" s="20">
        <v>1</v>
      </c>
      <c r="J544" s="3" t="s">
        <v>24</v>
      </c>
      <c r="K544" s="3" t="s">
        <v>35</v>
      </c>
      <c r="L544" s="20">
        <v>37</v>
      </c>
      <c r="M544" s="3" t="s">
        <v>17</v>
      </c>
      <c r="N544" s="20" t="str" cm="1">
        <f t="array" ref="N544">_xlfn.IFS(tbl_Clean[[#This Row],[Age]]&lt;=30,"25-30",tbl_Clean[[#This Row],[Age]]&lt;=40,"31-40",tbl_Clean[[#This Row],[Age]]&lt;=50,"41-50",tbl_Clean[[#This Row],[Age]]&lt;=60,"51-60",TRUE,"61+")</f>
        <v>31-40</v>
      </c>
      <c r="O544" s="20">
        <f>_xlfn.XMATCH(tbl_Clean[[#This Row],[Age Band]],{"25-30","31-40","41-50","51-60","61+"})</f>
        <v>2</v>
      </c>
      <c r="P544" s="20" t="str" cm="1">
        <f t="array" ref="P544">_xlfn.IFS(tbl_Clean[[#This Row],[Income]]&lt;=30000,"$10k-30k",tbl_Clean[[#This Row],[Income]]&lt;=60000,"$40k-60k",tbl_Clean[[#This Row],[Income]]&lt;=90000,"$70k-90k",TRUE,"$100k+")</f>
        <v>$70k-90k</v>
      </c>
      <c r="Q544" s="20">
        <f>_xlfn.XMATCH(tbl_Clean[[#This Row],[Income Band]],{"$10k-30k","$40k-60k","$70k-90k","$100k+"})</f>
        <v>3</v>
      </c>
      <c r="R544" s="20" t="str">
        <f>IF(tbl_Clean[[#This Row],[Cars]]&lt;=1,"0-1 Cars","2+ Cars")</f>
        <v>0-1 Cars</v>
      </c>
      <c r="S544" s="20">
        <f>_xlfn.XMATCH(tbl_Clean[[#This Row],[Commute Distance]],{"0-1 Miles","1-2 Miles","2-5 Miles","5-10 Miles","10+ Miles"})</f>
        <v>3</v>
      </c>
      <c r="T544" s="20">
        <f>_xlfn.XMATCH(tbl_Clean[[#This Row],[Education]],{"Partial High School","High School","Partial College","Bachelors","Graduate Degree"})</f>
        <v>4</v>
      </c>
      <c r="U544" s="20">
        <f>IF(tbl_Clean[[#This Row],[Purchased Bike]]="Yes",1,0)</f>
        <v>1</v>
      </c>
    </row>
    <row r="545" spans="1:21" x14ac:dyDescent="0.25">
      <c r="A545" s="20">
        <v>12195</v>
      </c>
      <c r="B545" s="3" t="s">
        <v>114</v>
      </c>
      <c r="C545" s="3" t="s">
        <v>112</v>
      </c>
      <c r="D545" s="19">
        <v>70000</v>
      </c>
      <c r="E545" s="20">
        <v>3</v>
      </c>
      <c r="F545" s="3" t="s">
        <v>34</v>
      </c>
      <c r="G545" s="3" t="s">
        <v>31</v>
      </c>
      <c r="H545" s="3" t="s">
        <v>17</v>
      </c>
      <c r="I545" s="20">
        <v>2</v>
      </c>
      <c r="J545" s="3" t="s">
        <v>29</v>
      </c>
      <c r="K545" s="3" t="s">
        <v>35</v>
      </c>
      <c r="L545" s="20">
        <v>52</v>
      </c>
      <c r="M545" s="3" t="s">
        <v>20</v>
      </c>
      <c r="N545" s="20" t="str" cm="1">
        <f t="array" ref="N545">_xlfn.IFS(tbl_Clean[[#This Row],[Age]]&lt;=30,"25-30",tbl_Clean[[#This Row],[Age]]&lt;=40,"31-40",tbl_Clean[[#This Row],[Age]]&lt;=50,"41-50",tbl_Clean[[#This Row],[Age]]&lt;=60,"51-60",TRUE,"61+")</f>
        <v>51-60</v>
      </c>
      <c r="O545" s="20">
        <f>_xlfn.XMATCH(tbl_Clean[[#This Row],[Age Band]],{"25-30","31-40","41-50","51-60","61+"})</f>
        <v>4</v>
      </c>
      <c r="P545" s="20" t="str" cm="1">
        <f t="array" ref="P545">_xlfn.IFS(tbl_Clean[[#This Row],[Income]]&lt;=30000,"$10k-30k",tbl_Clean[[#This Row],[Income]]&lt;=60000,"$40k-60k",tbl_Clean[[#This Row],[Income]]&lt;=90000,"$70k-90k",TRUE,"$100k+")</f>
        <v>$70k-90k</v>
      </c>
      <c r="Q545" s="20">
        <f>_xlfn.XMATCH(tbl_Clean[[#This Row],[Income Band]],{"$10k-30k","$40k-60k","$70k-90k","$100k+"})</f>
        <v>3</v>
      </c>
      <c r="R545" s="20" t="str">
        <f>IF(tbl_Clean[[#This Row],[Cars]]&lt;=1,"0-1 Cars","2+ Cars")</f>
        <v>2+ Cars</v>
      </c>
      <c r="S545" s="20">
        <f>_xlfn.XMATCH(tbl_Clean[[#This Row],[Commute Distance]],{"0-1 Miles","1-2 Miles","2-5 Miles","5-10 Miles","10+ Miles"})</f>
        <v>2</v>
      </c>
      <c r="T545" s="20">
        <f>_xlfn.XMATCH(tbl_Clean[[#This Row],[Education]],{"Partial High School","High School","Partial College","Bachelors","Graduate Degree"})</f>
        <v>5</v>
      </c>
      <c r="U545" s="20">
        <f>IF(tbl_Clean[[#This Row],[Purchased Bike]]="Yes",1,0)</f>
        <v>0</v>
      </c>
    </row>
    <row r="546" spans="1:21" x14ac:dyDescent="0.25">
      <c r="A546" s="20">
        <v>25375</v>
      </c>
      <c r="B546" s="3" t="s">
        <v>111</v>
      </c>
      <c r="C546" s="3" t="s">
        <v>113</v>
      </c>
      <c r="D546" s="19">
        <v>50000</v>
      </c>
      <c r="E546" s="20">
        <v>1</v>
      </c>
      <c r="F546" s="3" t="s">
        <v>34</v>
      </c>
      <c r="G546" s="3" t="s">
        <v>16</v>
      </c>
      <c r="H546" s="3" t="s">
        <v>17</v>
      </c>
      <c r="I546" s="20">
        <v>0</v>
      </c>
      <c r="J546" s="3" t="s">
        <v>29</v>
      </c>
      <c r="K546" s="3" t="s">
        <v>35</v>
      </c>
      <c r="L546" s="20">
        <v>34</v>
      </c>
      <c r="M546" s="3" t="s">
        <v>20</v>
      </c>
      <c r="N546" s="20" t="str" cm="1">
        <f t="array" ref="N546">_xlfn.IFS(tbl_Clean[[#This Row],[Age]]&lt;=30,"25-30",tbl_Clean[[#This Row],[Age]]&lt;=40,"31-40",tbl_Clean[[#This Row],[Age]]&lt;=50,"41-50",tbl_Clean[[#This Row],[Age]]&lt;=60,"51-60",TRUE,"61+")</f>
        <v>31-40</v>
      </c>
      <c r="O546" s="20">
        <f>_xlfn.XMATCH(tbl_Clean[[#This Row],[Age Band]],{"25-30","31-40","41-50","51-60","61+"})</f>
        <v>2</v>
      </c>
      <c r="P546" s="20" t="str" cm="1">
        <f t="array" ref="P546">_xlfn.IFS(tbl_Clean[[#This Row],[Income]]&lt;=30000,"$10k-30k",tbl_Clean[[#This Row],[Income]]&lt;=60000,"$40k-60k",tbl_Clean[[#This Row],[Income]]&lt;=90000,"$70k-90k",TRUE,"$100k+")</f>
        <v>$40k-60k</v>
      </c>
      <c r="Q546" s="20">
        <f>_xlfn.XMATCH(tbl_Clean[[#This Row],[Income Band]],{"$10k-30k","$40k-60k","$70k-90k","$100k+"})</f>
        <v>2</v>
      </c>
      <c r="R546" s="20" t="str">
        <f>IF(tbl_Clean[[#This Row],[Cars]]&lt;=1,"0-1 Cars","2+ Cars")</f>
        <v>0-1 Cars</v>
      </c>
      <c r="S546" s="20">
        <f>_xlfn.XMATCH(tbl_Clean[[#This Row],[Commute Distance]],{"0-1 Miles","1-2 Miles","2-5 Miles","5-10 Miles","10+ Miles"})</f>
        <v>2</v>
      </c>
      <c r="T546" s="20">
        <f>_xlfn.XMATCH(tbl_Clean[[#This Row],[Education]],{"Partial High School","High School","Partial College","Bachelors","Graduate Degree"})</f>
        <v>5</v>
      </c>
      <c r="U546" s="20">
        <f>IF(tbl_Clean[[#This Row],[Purchased Bike]]="Yes",1,0)</f>
        <v>0</v>
      </c>
    </row>
    <row r="547" spans="1:21" x14ac:dyDescent="0.25">
      <c r="A547" s="20">
        <v>11143</v>
      </c>
      <c r="B547" s="3" t="s">
        <v>111</v>
      </c>
      <c r="C547" s="3" t="s">
        <v>113</v>
      </c>
      <c r="D547" s="19">
        <v>40000</v>
      </c>
      <c r="E547" s="20">
        <v>0</v>
      </c>
      <c r="F547" s="3" t="s">
        <v>30</v>
      </c>
      <c r="G547" s="3" t="s">
        <v>16</v>
      </c>
      <c r="H547" s="3" t="s">
        <v>17</v>
      </c>
      <c r="I547" s="20">
        <v>2</v>
      </c>
      <c r="J547" s="3" t="s">
        <v>26</v>
      </c>
      <c r="K547" s="3" t="s">
        <v>35</v>
      </c>
      <c r="L547" s="20">
        <v>29</v>
      </c>
      <c r="M547" s="3" t="s">
        <v>20</v>
      </c>
      <c r="N547" s="20" t="str" cm="1">
        <f t="array" ref="N547">_xlfn.IFS(tbl_Clean[[#This Row],[Age]]&lt;=30,"25-30",tbl_Clean[[#This Row],[Age]]&lt;=40,"31-40",tbl_Clean[[#This Row],[Age]]&lt;=50,"41-50",tbl_Clean[[#This Row],[Age]]&lt;=60,"51-60",TRUE,"61+")</f>
        <v>25-30</v>
      </c>
      <c r="O547" s="20">
        <f>_xlfn.XMATCH(tbl_Clean[[#This Row],[Age Band]],{"25-30","31-40","41-50","51-60","61+"})</f>
        <v>1</v>
      </c>
      <c r="P547" s="20" t="str" cm="1">
        <f t="array" ref="P547">_xlfn.IFS(tbl_Clean[[#This Row],[Income]]&lt;=30000,"$10k-30k",tbl_Clean[[#This Row],[Income]]&lt;=60000,"$40k-60k",tbl_Clean[[#This Row],[Income]]&lt;=90000,"$70k-90k",TRUE,"$100k+")</f>
        <v>$40k-60k</v>
      </c>
      <c r="Q547" s="20">
        <f>_xlfn.XMATCH(tbl_Clean[[#This Row],[Income Band]],{"$10k-30k","$40k-60k","$70k-90k","$100k+"})</f>
        <v>2</v>
      </c>
      <c r="R547" s="20" t="str">
        <f>IF(tbl_Clean[[#This Row],[Cars]]&lt;=1,"0-1 Cars","2+ Cars")</f>
        <v>2+ Cars</v>
      </c>
      <c r="S547" s="20">
        <f>_xlfn.XMATCH(tbl_Clean[[#This Row],[Commute Distance]],{"0-1 Miles","1-2 Miles","2-5 Miles","5-10 Miles","10+ Miles"})</f>
        <v>4</v>
      </c>
      <c r="T547" s="20">
        <f>_xlfn.XMATCH(tbl_Clean[[#This Row],[Education]],{"Partial High School","High School","Partial College","Bachelors","Graduate Degree"})</f>
        <v>2</v>
      </c>
      <c r="U547" s="20">
        <f>IF(tbl_Clean[[#This Row],[Purchased Bike]]="Yes",1,0)</f>
        <v>0</v>
      </c>
    </row>
    <row r="548" spans="1:21" x14ac:dyDescent="0.25">
      <c r="A548" s="20">
        <v>25898</v>
      </c>
      <c r="B548" s="3" t="s">
        <v>111</v>
      </c>
      <c r="C548" s="3" t="s">
        <v>112</v>
      </c>
      <c r="D548" s="19">
        <v>70000</v>
      </c>
      <c r="E548" s="20">
        <v>2</v>
      </c>
      <c r="F548" s="3" t="s">
        <v>30</v>
      </c>
      <c r="G548" s="3" t="s">
        <v>23</v>
      </c>
      <c r="H548" s="3" t="s">
        <v>17</v>
      </c>
      <c r="I548" s="20">
        <v>2</v>
      </c>
      <c r="J548" s="3" t="s">
        <v>24</v>
      </c>
      <c r="K548" s="3" t="s">
        <v>35</v>
      </c>
      <c r="L548" s="20">
        <v>53</v>
      </c>
      <c r="M548" s="3" t="s">
        <v>20</v>
      </c>
      <c r="N548" s="20" t="str" cm="1">
        <f t="array" ref="N548">_xlfn.IFS(tbl_Clean[[#This Row],[Age]]&lt;=30,"25-30",tbl_Clean[[#This Row],[Age]]&lt;=40,"31-40",tbl_Clean[[#This Row],[Age]]&lt;=50,"41-50",tbl_Clean[[#This Row],[Age]]&lt;=60,"51-60",TRUE,"61+")</f>
        <v>51-60</v>
      </c>
      <c r="O548" s="20">
        <f>_xlfn.XMATCH(tbl_Clean[[#This Row],[Age Band]],{"25-30","31-40","41-50","51-60","61+"})</f>
        <v>4</v>
      </c>
      <c r="P548" s="20" t="str" cm="1">
        <f t="array" ref="P548">_xlfn.IFS(tbl_Clean[[#This Row],[Income]]&lt;=30000,"$10k-30k",tbl_Clean[[#This Row],[Income]]&lt;=60000,"$40k-60k",tbl_Clean[[#This Row],[Income]]&lt;=90000,"$70k-90k",TRUE,"$100k+")</f>
        <v>$70k-90k</v>
      </c>
      <c r="Q548" s="20">
        <f>_xlfn.XMATCH(tbl_Clean[[#This Row],[Income Band]],{"$10k-30k","$40k-60k","$70k-90k","$100k+"})</f>
        <v>3</v>
      </c>
      <c r="R548" s="20" t="str">
        <f>IF(tbl_Clean[[#This Row],[Cars]]&lt;=1,"0-1 Cars","2+ Cars")</f>
        <v>2+ Cars</v>
      </c>
      <c r="S548" s="20">
        <f>_xlfn.XMATCH(tbl_Clean[[#This Row],[Commute Distance]],{"0-1 Miles","1-2 Miles","2-5 Miles","5-10 Miles","10+ Miles"})</f>
        <v>3</v>
      </c>
      <c r="T548" s="20">
        <f>_xlfn.XMATCH(tbl_Clean[[#This Row],[Education]],{"Partial High School","High School","Partial College","Bachelors","Graduate Degree"})</f>
        <v>2</v>
      </c>
      <c r="U548" s="20">
        <f>IF(tbl_Clean[[#This Row],[Purchased Bike]]="Yes",1,0)</f>
        <v>0</v>
      </c>
    </row>
    <row r="549" spans="1:21" x14ac:dyDescent="0.25">
      <c r="A549" s="20">
        <v>24397</v>
      </c>
      <c r="B549" s="3" t="s">
        <v>114</v>
      </c>
      <c r="C549" s="3" t="s">
        <v>113</v>
      </c>
      <c r="D549" s="19">
        <v>120000</v>
      </c>
      <c r="E549" s="20">
        <v>2</v>
      </c>
      <c r="F549" s="3" t="s">
        <v>15</v>
      </c>
      <c r="G549" s="3" t="s">
        <v>31</v>
      </c>
      <c r="H549" s="3" t="s">
        <v>20</v>
      </c>
      <c r="I549" s="20">
        <v>4</v>
      </c>
      <c r="J549" s="3" t="s">
        <v>29</v>
      </c>
      <c r="K549" s="3" t="s">
        <v>35</v>
      </c>
      <c r="L549" s="20">
        <v>40</v>
      </c>
      <c r="M549" s="3" t="s">
        <v>20</v>
      </c>
      <c r="N549" s="20" t="str" cm="1">
        <f t="array" ref="N549">_xlfn.IFS(tbl_Clean[[#This Row],[Age]]&lt;=30,"25-30",tbl_Clean[[#This Row],[Age]]&lt;=40,"31-40",tbl_Clean[[#This Row],[Age]]&lt;=50,"41-50",tbl_Clean[[#This Row],[Age]]&lt;=60,"51-60",TRUE,"61+")</f>
        <v>31-40</v>
      </c>
      <c r="O549" s="20">
        <f>_xlfn.XMATCH(tbl_Clean[[#This Row],[Age Band]],{"25-30","31-40","41-50","51-60","61+"})</f>
        <v>2</v>
      </c>
      <c r="P549" s="20" t="str" cm="1">
        <f t="array" ref="P549">_xlfn.IFS(tbl_Clean[[#This Row],[Income]]&lt;=30000,"$10k-30k",tbl_Clean[[#This Row],[Income]]&lt;=60000,"$40k-60k",tbl_Clean[[#This Row],[Income]]&lt;=90000,"$70k-90k",TRUE,"$100k+")</f>
        <v>$100k+</v>
      </c>
      <c r="Q549" s="20">
        <f>_xlfn.XMATCH(tbl_Clean[[#This Row],[Income Band]],{"$10k-30k","$40k-60k","$70k-90k","$100k+"})</f>
        <v>4</v>
      </c>
      <c r="R549" s="20" t="str">
        <f>IF(tbl_Clean[[#This Row],[Cars]]&lt;=1,"0-1 Cars","2+ Cars")</f>
        <v>2+ Cars</v>
      </c>
      <c r="S549" s="20">
        <f>_xlfn.XMATCH(tbl_Clean[[#This Row],[Commute Distance]],{"0-1 Miles","1-2 Miles","2-5 Miles","5-10 Miles","10+ Miles"})</f>
        <v>2</v>
      </c>
      <c r="T549" s="20">
        <f>_xlfn.XMATCH(tbl_Clean[[#This Row],[Education]],{"Partial High School","High School","Partial College","Bachelors","Graduate Degree"})</f>
        <v>4</v>
      </c>
      <c r="U549" s="20">
        <f>IF(tbl_Clean[[#This Row],[Purchased Bike]]="Yes",1,0)</f>
        <v>0</v>
      </c>
    </row>
    <row r="550" spans="1:21" x14ac:dyDescent="0.25">
      <c r="A550" s="20">
        <v>19758</v>
      </c>
      <c r="B550" s="3" t="s">
        <v>114</v>
      </c>
      <c r="C550" s="3" t="s">
        <v>113</v>
      </c>
      <c r="D550" s="19">
        <v>60000</v>
      </c>
      <c r="E550" s="20">
        <v>0</v>
      </c>
      <c r="F550" s="3" t="s">
        <v>21</v>
      </c>
      <c r="G550" s="3" t="s">
        <v>16</v>
      </c>
      <c r="H550" s="3" t="s">
        <v>20</v>
      </c>
      <c r="I550" s="20">
        <v>2</v>
      </c>
      <c r="J550" s="3" t="s">
        <v>29</v>
      </c>
      <c r="K550" s="3" t="s">
        <v>35</v>
      </c>
      <c r="L550" s="20">
        <v>29</v>
      </c>
      <c r="M550" s="3" t="s">
        <v>20</v>
      </c>
      <c r="N550" s="20" t="str" cm="1">
        <f t="array" ref="N550">_xlfn.IFS(tbl_Clean[[#This Row],[Age]]&lt;=30,"25-30",tbl_Clean[[#This Row],[Age]]&lt;=40,"31-40",tbl_Clean[[#This Row],[Age]]&lt;=50,"41-50",tbl_Clean[[#This Row],[Age]]&lt;=60,"51-60",TRUE,"61+")</f>
        <v>25-30</v>
      </c>
      <c r="O550" s="20">
        <f>_xlfn.XMATCH(tbl_Clean[[#This Row],[Age Band]],{"25-30","31-40","41-50","51-60","61+"})</f>
        <v>1</v>
      </c>
      <c r="P550" s="20" t="str" cm="1">
        <f t="array" ref="P550">_xlfn.IFS(tbl_Clean[[#This Row],[Income]]&lt;=30000,"$10k-30k",tbl_Clean[[#This Row],[Income]]&lt;=60000,"$40k-60k",tbl_Clean[[#This Row],[Income]]&lt;=90000,"$70k-90k",TRUE,"$100k+")</f>
        <v>$40k-60k</v>
      </c>
      <c r="Q550" s="20">
        <f>_xlfn.XMATCH(tbl_Clean[[#This Row],[Income Band]],{"$10k-30k","$40k-60k","$70k-90k","$100k+"})</f>
        <v>2</v>
      </c>
      <c r="R550" s="20" t="str">
        <f>IF(tbl_Clean[[#This Row],[Cars]]&lt;=1,"0-1 Cars","2+ Cars")</f>
        <v>2+ Cars</v>
      </c>
      <c r="S550" s="20">
        <f>_xlfn.XMATCH(tbl_Clean[[#This Row],[Commute Distance]],{"0-1 Miles","1-2 Miles","2-5 Miles","5-10 Miles","10+ Miles"})</f>
        <v>2</v>
      </c>
      <c r="T550" s="20">
        <f>_xlfn.XMATCH(tbl_Clean[[#This Row],[Education]],{"Partial High School","High School","Partial College","Bachelors","Graduate Degree"})</f>
        <v>3</v>
      </c>
      <c r="U550" s="20">
        <f>IF(tbl_Clean[[#This Row],[Purchased Bike]]="Yes",1,0)</f>
        <v>0</v>
      </c>
    </row>
    <row r="551" spans="1:21" x14ac:dyDescent="0.25">
      <c r="A551" s="20">
        <v>15529</v>
      </c>
      <c r="B551" s="3" t="s">
        <v>111</v>
      </c>
      <c r="C551" s="3" t="s">
        <v>113</v>
      </c>
      <c r="D551" s="19">
        <v>60000</v>
      </c>
      <c r="E551" s="20">
        <v>4</v>
      </c>
      <c r="F551" s="3" t="s">
        <v>15</v>
      </c>
      <c r="G551" s="3" t="s">
        <v>23</v>
      </c>
      <c r="H551" s="3" t="s">
        <v>17</v>
      </c>
      <c r="I551" s="20">
        <v>2</v>
      </c>
      <c r="J551" s="3" t="s">
        <v>24</v>
      </c>
      <c r="K551" s="3" t="s">
        <v>35</v>
      </c>
      <c r="L551" s="20">
        <v>43</v>
      </c>
      <c r="M551" s="3" t="s">
        <v>17</v>
      </c>
      <c r="N551" s="20" t="str" cm="1">
        <f t="array" ref="N551">_xlfn.IFS(tbl_Clean[[#This Row],[Age]]&lt;=30,"25-30",tbl_Clean[[#This Row],[Age]]&lt;=40,"31-40",tbl_Clean[[#This Row],[Age]]&lt;=50,"41-50",tbl_Clean[[#This Row],[Age]]&lt;=60,"51-60",TRUE,"61+")</f>
        <v>41-50</v>
      </c>
      <c r="O551" s="20">
        <f>_xlfn.XMATCH(tbl_Clean[[#This Row],[Age Band]],{"25-30","31-40","41-50","51-60","61+"})</f>
        <v>3</v>
      </c>
      <c r="P551" s="20" t="str" cm="1">
        <f t="array" ref="P551">_xlfn.IFS(tbl_Clean[[#This Row],[Income]]&lt;=30000,"$10k-30k",tbl_Clean[[#This Row],[Income]]&lt;=60000,"$40k-60k",tbl_Clean[[#This Row],[Income]]&lt;=90000,"$70k-90k",TRUE,"$100k+")</f>
        <v>$40k-60k</v>
      </c>
      <c r="Q551" s="20">
        <f>_xlfn.XMATCH(tbl_Clean[[#This Row],[Income Band]],{"$10k-30k","$40k-60k","$70k-90k","$100k+"})</f>
        <v>2</v>
      </c>
      <c r="R551" s="20" t="str">
        <f>IF(tbl_Clean[[#This Row],[Cars]]&lt;=1,"0-1 Cars","2+ Cars")</f>
        <v>2+ Cars</v>
      </c>
      <c r="S551" s="20">
        <f>_xlfn.XMATCH(tbl_Clean[[#This Row],[Commute Distance]],{"0-1 Miles","1-2 Miles","2-5 Miles","5-10 Miles","10+ Miles"})</f>
        <v>3</v>
      </c>
      <c r="T551" s="20">
        <f>_xlfn.XMATCH(tbl_Clean[[#This Row],[Education]],{"Partial High School","High School","Partial College","Bachelors","Graduate Degree"})</f>
        <v>4</v>
      </c>
      <c r="U551" s="20">
        <f>IF(tbl_Clean[[#This Row],[Purchased Bike]]="Yes",1,0)</f>
        <v>1</v>
      </c>
    </row>
    <row r="552" spans="1:21" x14ac:dyDescent="0.25">
      <c r="A552" s="20">
        <v>19884</v>
      </c>
      <c r="B552" s="3" t="s">
        <v>111</v>
      </c>
      <c r="C552" s="3" t="s">
        <v>113</v>
      </c>
      <c r="D552" s="19">
        <v>60000</v>
      </c>
      <c r="E552" s="20">
        <v>2</v>
      </c>
      <c r="F552" s="3" t="s">
        <v>30</v>
      </c>
      <c r="G552" s="3" t="s">
        <v>23</v>
      </c>
      <c r="H552" s="3" t="s">
        <v>17</v>
      </c>
      <c r="I552" s="20">
        <v>2</v>
      </c>
      <c r="J552" s="3" t="s">
        <v>24</v>
      </c>
      <c r="K552" s="3" t="s">
        <v>35</v>
      </c>
      <c r="L552" s="20">
        <v>55</v>
      </c>
      <c r="M552" s="3" t="s">
        <v>17</v>
      </c>
      <c r="N552" s="20" t="str" cm="1">
        <f t="array" ref="N552">_xlfn.IFS(tbl_Clean[[#This Row],[Age]]&lt;=30,"25-30",tbl_Clean[[#This Row],[Age]]&lt;=40,"31-40",tbl_Clean[[#This Row],[Age]]&lt;=50,"41-50",tbl_Clean[[#This Row],[Age]]&lt;=60,"51-60",TRUE,"61+")</f>
        <v>51-60</v>
      </c>
      <c r="O552" s="20">
        <f>_xlfn.XMATCH(tbl_Clean[[#This Row],[Age Band]],{"25-30","31-40","41-50","51-60","61+"})</f>
        <v>4</v>
      </c>
      <c r="P552" s="20" t="str" cm="1">
        <f t="array" ref="P552">_xlfn.IFS(tbl_Clean[[#This Row],[Income]]&lt;=30000,"$10k-30k",tbl_Clean[[#This Row],[Income]]&lt;=60000,"$40k-60k",tbl_Clean[[#This Row],[Income]]&lt;=90000,"$70k-90k",TRUE,"$100k+")</f>
        <v>$40k-60k</v>
      </c>
      <c r="Q552" s="20">
        <f>_xlfn.XMATCH(tbl_Clean[[#This Row],[Income Band]],{"$10k-30k","$40k-60k","$70k-90k","$100k+"})</f>
        <v>2</v>
      </c>
      <c r="R552" s="20" t="str">
        <f>IF(tbl_Clean[[#This Row],[Cars]]&lt;=1,"0-1 Cars","2+ Cars")</f>
        <v>2+ Cars</v>
      </c>
      <c r="S552" s="20">
        <f>_xlfn.XMATCH(tbl_Clean[[#This Row],[Commute Distance]],{"0-1 Miles","1-2 Miles","2-5 Miles","5-10 Miles","10+ Miles"})</f>
        <v>3</v>
      </c>
      <c r="T552" s="20">
        <f>_xlfn.XMATCH(tbl_Clean[[#This Row],[Education]],{"Partial High School","High School","Partial College","Bachelors","Graduate Degree"})</f>
        <v>2</v>
      </c>
      <c r="U552" s="20">
        <f>IF(tbl_Clean[[#This Row],[Purchased Bike]]="Yes",1,0)</f>
        <v>1</v>
      </c>
    </row>
    <row r="553" spans="1:21" x14ac:dyDescent="0.25">
      <c r="A553" s="20">
        <v>18674</v>
      </c>
      <c r="B553" s="3" t="s">
        <v>114</v>
      </c>
      <c r="C553" s="3" t="s">
        <v>112</v>
      </c>
      <c r="D553" s="19">
        <v>80000</v>
      </c>
      <c r="E553" s="20">
        <v>4</v>
      </c>
      <c r="F553" s="3" t="s">
        <v>34</v>
      </c>
      <c r="G553" s="3" t="s">
        <v>16</v>
      </c>
      <c r="H553" s="3" t="s">
        <v>20</v>
      </c>
      <c r="I553" s="20">
        <v>0</v>
      </c>
      <c r="J553" s="3" t="s">
        <v>18</v>
      </c>
      <c r="K553" s="3" t="s">
        <v>35</v>
      </c>
      <c r="L553" s="20">
        <v>48</v>
      </c>
      <c r="M553" s="3" t="s">
        <v>20</v>
      </c>
      <c r="N553" s="20" t="str" cm="1">
        <f t="array" ref="N553">_xlfn.IFS(tbl_Clean[[#This Row],[Age]]&lt;=30,"25-30",tbl_Clean[[#This Row],[Age]]&lt;=40,"31-40",tbl_Clean[[#This Row],[Age]]&lt;=50,"41-50",tbl_Clean[[#This Row],[Age]]&lt;=60,"51-60",TRUE,"61+")</f>
        <v>41-50</v>
      </c>
      <c r="O553" s="20">
        <f>_xlfn.XMATCH(tbl_Clean[[#This Row],[Age Band]],{"25-30","31-40","41-50","51-60","61+"})</f>
        <v>3</v>
      </c>
      <c r="P553" s="20" t="str" cm="1">
        <f t="array" ref="P553">_xlfn.IFS(tbl_Clean[[#This Row],[Income]]&lt;=30000,"$10k-30k",tbl_Clean[[#This Row],[Income]]&lt;=60000,"$40k-60k",tbl_Clean[[#This Row],[Income]]&lt;=90000,"$70k-90k",TRUE,"$100k+")</f>
        <v>$70k-90k</v>
      </c>
      <c r="Q553" s="20">
        <f>_xlfn.XMATCH(tbl_Clean[[#This Row],[Income Band]],{"$10k-30k","$40k-60k","$70k-90k","$100k+"})</f>
        <v>3</v>
      </c>
      <c r="R553" s="20" t="str">
        <f>IF(tbl_Clean[[#This Row],[Cars]]&lt;=1,"0-1 Cars","2+ Cars")</f>
        <v>0-1 Cars</v>
      </c>
      <c r="S553" s="20">
        <f>_xlfn.XMATCH(tbl_Clean[[#This Row],[Commute Distance]],{"0-1 Miles","1-2 Miles","2-5 Miles","5-10 Miles","10+ Miles"})</f>
        <v>1</v>
      </c>
      <c r="T553" s="20">
        <f>_xlfn.XMATCH(tbl_Clean[[#This Row],[Education]],{"Partial High School","High School","Partial College","Bachelors","Graduate Degree"})</f>
        <v>5</v>
      </c>
      <c r="U553" s="20">
        <f>IF(tbl_Clean[[#This Row],[Purchased Bike]]="Yes",1,0)</f>
        <v>0</v>
      </c>
    </row>
    <row r="554" spans="1:21" x14ac:dyDescent="0.25">
      <c r="A554" s="20">
        <v>13453</v>
      </c>
      <c r="B554" s="3" t="s">
        <v>111</v>
      </c>
      <c r="C554" s="3" t="s">
        <v>112</v>
      </c>
      <c r="D554" s="19">
        <v>130000</v>
      </c>
      <c r="E554" s="20">
        <v>3</v>
      </c>
      <c r="F554" s="3" t="s">
        <v>15</v>
      </c>
      <c r="G554" s="3" t="s">
        <v>31</v>
      </c>
      <c r="H554" s="3" t="s">
        <v>17</v>
      </c>
      <c r="I554" s="20">
        <v>3</v>
      </c>
      <c r="J554" s="3" t="s">
        <v>18</v>
      </c>
      <c r="K554" s="3" t="s">
        <v>35</v>
      </c>
      <c r="L554" s="20">
        <v>45</v>
      </c>
      <c r="M554" s="3" t="s">
        <v>17</v>
      </c>
      <c r="N554" s="20" t="str" cm="1">
        <f t="array" ref="N554">_xlfn.IFS(tbl_Clean[[#This Row],[Age]]&lt;=30,"25-30",tbl_Clean[[#This Row],[Age]]&lt;=40,"31-40",tbl_Clean[[#This Row],[Age]]&lt;=50,"41-50",tbl_Clean[[#This Row],[Age]]&lt;=60,"51-60",TRUE,"61+")</f>
        <v>41-50</v>
      </c>
      <c r="O554" s="20">
        <f>_xlfn.XMATCH(tbl_Clean[[#This Row],[Age Band]],{"25-30","31-40","41-50","51-60","61+"})</f>
        <v>3</v>
      </c>
      <c r="P554" s="20" t="str" cm="1">
        <f t="array" ref="P554">_xlfn.IFS(tbl_Clean[[#This Row],[Income]]&lt;=30000,"$10k-30k",tbl_Clean[[#This Row],[Income]]&lt;=60000,"$40k-60k",tbl_Clean[[#This Row],[Income]]&lt;=90000,"$70k-90k",TRUE,"$100k+")</f>
        <v>$100k+</v>
      </c>
      <c r="Q554" s="20">
        <f>_xlfn.XMATCH(tbl_Clean[[#This Row],[Income Band]],{"$10k-30k","$40k-60k","$70k-90k","$100k+"})</f>
        <v>4</v>
      </c>
      <c r="R554" s="20" t="str">
        <f>IF(tbl_Clean[[#This Row],[Cars]]&lt;=1,"0-1 Cars","2+ Cars")</f>
        <v>2+ Cars</v>
      </c>
      <c r="S554" s="20">
        <f>_xlfn.XMATCH(tbl_Clean[[#This Row],[Commute Distance]],{"0-1 Miles","1-2 Miles","2-5 Miles","5-10 Miles","10+ Miles"})</f>
        <v>1</v>
      </c>
      <c r="T554" s="20">
        <f>_xlfn.XMATCH(tbl_Clean[[#This Row],[Education]],{"Partial High School","High School","Partial College","Bachelors","Graduate Degree"})</f>
        <v>4</v>
      </c>
      <c r="U554" s="20">
        <f>IF(tbl_Clean[[#This Row],[Purchased Bike]]="Yes",1,0)</f>
        <v>1</v>
      </c>
    </row>
    <row r="555" spans="1:21" x14ac:dyDescent="0.25">
      <c r="A555" s="20">
        <v>14063</v>
      </c>
      <c r="B555" s="3" t="s">
        <v>114</v>
      </c>
      <c r="C555" s="3" t="s">
        <v>112</v>
      </c>
      <c r="D555" s="19">
        <v>70000</v>
      </c>
      <c r="E555" s="20">
        <v>0</v>
      </c>
      <c r="F555" s="3" t="s">
        <v>15</v>
      </c>
      <c r="G555" s="3" t="s">
        <v>23</v>
      </c>
      <c r="H555" s="3" t="s">
        <v>20</v>
      </c>
      <c r="I555" s="20">
        <v>1</v>
      </c>
      <c r="J555" s="3" t="s">
        <v>18</v>
      </c>
      <c r="K555" s="3" t="s">
        <v>27</v>
      </c>
      <c r="L555" s="20">
        <v>42</v>
      </c>
      <c r="M555" s="3" t="s">
        <v>17</v>
      </c>
      <c r="N555" s="20" t="str" cm="1">
        <f t="array" ref="N555">_xlfn.IFS(tbl_Clean[[#This Row],[Age]]&lt;=30,"25-30",tbl_Clean[[#This Row],[Age]]&lt;=40,"31-40",tbl_Clean[[#This Row],[Age]]&lt;=50,"41-50",tbl_Clean[[#This Row],[Age]]&lt;=60,"51-60",TRUE,"61+")</f>
        <v>41-50</v>
      </c>
      <c r="O555" s="20">
        <f>_xlfn.XMATCH(tbl_Clean[[#This Row],[Age Band]],{"25-30","31-40","41-50","51-60","61+"})</f>
        <v>3</v>
      </c>
      <c r="P555" s="20" t="str" cm="1">
        <f t="array" ref="P555">_xlfn.IFS(tbl_Clean[[#This Row],[Income]]&lt;=30000,"$10k-30k",tbl_Clean[[#This Row],[Income]]&lt;=60000,"$40k-60k",tbl_Clean[[#This Row],[Income]]&lt;=90000,"$70k-90k",TRUE,"$100k+")</f>
        <v>$70k-90k</v>
      </c>
      <c r="Q555" s="20">
        <f>_xlfn.XMATCH(tbl_Clean[[#This Row],[Income Band]],{"$10k-30k","$40k-60k","$70k-90k","$100k+"})</f>
        <v>3</v>
      </c>
      <c r="R555" s="20" t="str">
        <f>IF(tbl_Clean[[#This Row],[Cars]]&lt;=1,"0-1 Cars","2+ Cars")</f>
        <v>0-1 Cars</v>
      </c>
      <c r="S555" s="20">
        <f>_xlfn.XMATCH(tbl_Clean[[#This Row],[Commute Distance]],{"0-1 Miles","1-2 Miles","2-5 Miles","5-10 Miles","10+ Miles"})</f>
        <v>1</v>
      </c>
      <c r="T555" s="20">
        <f>_xlfn.XMATCH(tbl_Clean[[#This Row],[Education]],{"Partial High School","High School","Partial College","Bachelors","Graduate Degree"})</f>
        <v>4</v>
      </c>
      <c r="U555" s="20">
        <f>IF(tbl_Clean[[#This Row],[Purchased Bike]]="Yes",1,0)</f>
        <v>1</v>
      </c>
    </row>
    <row r="556" spans="1:21" x14ac:dyDescent="0.25">
      <c r="A556" s="20">
        <v>27393</v>
      </c>
      <c r="B556" s="3" t="s">
        <v>111</v>
      </c>
      <c r="C556" s="3" t="s">
        <v>112</v>
      </c>
      <c r="D556" s="19">
        <v>50000</v>
      </c>
      <c r="E556" s="20">
        <v>4</v>
      </c>
      <c r="F556" s="3" t="s">
        <v>15</v>
      </c>
      <c r="G556" s="3" t="s">
        <v>31</v>
      </c>
      <c r="H556" s="3" t="s">
        <v>17</v>
      </c>
      <c r="I556" s="20">
        <v>2</v>
      </c>
      <c r="J556" s="3" t="s">
        <v>33</v>
      </c>
      <c r="K556" s="3" t="s">
        <v>35</v>
      </c>
      <c r="L556" s="20">
        <v>63</v>
      </c>
      <c r="M556" s="3" t="s">
        <v>20</v>
      </c>
      <c r="N556" s="20" t="str" cm="1">
        <f t="array" ref="N556">_xlfn.IFS(tbl_Clean[[#This Row],[Age]]&lt;=30,"25-30",tbl_Clean[[#This Row],[Age]]&lt;=40,"31-40",tbl_Clean[[#This Row],[Age]]&lt;=50,"41-50",tbl_Clean[[#This Row],[Age]]&lt;=60,"51-60",TRUE,"61+")</f>
        <v>61+</v>
      </c>
      <c r="O556" s="20">
        <f>_xlfn.XMATCH(tbl_Clean[[#This Row],[Age Band]],{"25-30","31-40","41-50","51-60","61+"})</f>
        <v>5</v>
      </c>
      <c r="P556" s="20" t="str" cm="1">
        <f t="array" ref="P556">_xlfn.IFS(tbl_Clean[[#This Row],[Income]]&lt;=30000,"$10k-30k",tbl_Clean[[#This Row],[Income]]&lt;=60000,"$40k-60k",tbl_Clean[[#This Row],[Income]]&lt;=90000,"$70k-90k",TRUE,"$100k+")</f>
        <v>$40k-60k</v>
      </c>
      <c r="Q556" s="20">
        <f>_xlfn.XMATCH(tbl_Clean[[#This Row],[Income Band]],{"$10k-30k","$40k-60k","$70k-90k","$100k+"})</f>
        <v>2</v>
      </c>
      <c r="R556" s="20" t="str">
        <f>IF(tbl_Clean[[#This Row],[Cars]]&lt;=1,"0-1 Cars","2+ Cars")</f>
        <v>2+ Cars</v>
      </c>
      <c r="S556" s="20">
        <f>_xlfn.XMATCH(tbl_Clean[[#This Row],[Commute Distance]],{"0-1 Miles","1-2 Miles","2-5 Miles","5-10 Miles","10+ Miles"})</f>
        <v>5</v>
      </c>
      <c r="T556" s="20">
        <f>_xlfn.XMATCH(tbl_Clean[[#This Row],[Education]],{"Partial High School","High School","Partial College","Bachelors","Graduate Degree"})</f>
        <v>4</v>
      </c>
      <c r="U556" s="20">
        <f>IF(tbl_Clean[[#This Row],[Purchased Bike]]="Yes",1,0)</f>
        <v>0</v>
      </c>
    </row>
    <row r="557" spans="1:21" x14ac:dyDescent="0.25">
      <c r="A557" s="20">
        <v>14417</v>
      </c>
      <c r="B557" s="3" t="s">
        <v>114</v>
      </c>
      <c r="C557" s="3" t="s">
        <v>113</v>
      </c>
      <c r="D557" s="19">
        <v>60000</v>
      </c>
      <c r="E557" s="20">
        <v>3</v>
      </c>
      <c r="F557" s="3" t="s">
        <v>30</v>
      </c>
      <c r="G557" s="3" t="s">
        <v>23</v>
      </c>
      <c r="H557" s="3" t="s">
        <v>17</v>
      </c>
      <c r="I557" s="20">
        <v>2</v>
      </c>
      <c r="J557" s="3" t="s">
        <v>33</v>
      </c>
      <c r="K557" s="3" t="s">
        <v>35</v>
      </c>
      <c r="L557" s="20">
        <v>54</v>
      </c>
      <c r="M557" s="3" t="s">
        <v>17</v>
      </c>
      <c r="N557" s="20" t="str" cm="1">
        <f t="array" ref="N557">_xlfn.IFS(tbl_Clean[[#This Row],[Age]]&lt;=30,"25-30",tbl_Clean[[#This Row],[Age]]&lt;=40,"31-40",tbl_Clean[[#This Row],[Age]]&lt;=50,"41-50",tbl_Clean[[#This Row],[Age]]&lt;=60,"51-60",TRUE,"61+")</f>
        <v>51-60</v>
      </c>
      <c r="O557" s="20">
        <f>_xlfn.XMATCH(tbl_Clean[[#This Row],[Age Band]],{"25-30","31-40","41-50","51-60","61+"})</f>
        <v>4</v>
      </c>
      <c r="P557" s="20" t="str" cm="1">
        <f t="array" ref="P557">_xlfn.IFS(tbl_Clean[[#This Row],[Income]]&lt;=30000,"$10k-30k",tbl_Clean[[#This Row],[Income]]&lt;=60000,"$40k-60k",tbl_Clean[[#This Row],[Income]]&lt;=90000,"$70k-90k",TRUE,"$100k+")</f>
        <v>$40k-60k</v>
      </c>
      <c r="Q557" s="20">
        <f>_xlfn.XMATCH(tbl_Clean[[#This Row],[Income Band]],{"$10k-30k","$40k-60k","$70k-90k","$100k+"})</f>
        <v>2</v>
      </c>
      <c r="R557" s="20" t="str">
        <f>IF(tbl_Clean[[#This Row],[Cars]]&lt;=1,"0-1 Cars","2+ Cars")</f>
        <v>2+ Cars</v>
      </c>
      <c r="S557" s="20">
        <f>_xlfn.XMATCH(tbl_Clean[[#This Row],[Commute Distance]],{"0-1 Miles","1-2 Miles","2-5 Miles","5-10 Miles","10+ Miles"})</f>
        <v>5</v>
      </c>
      <c r="T557" s="20">
        <f>_xlfn.XMATCH(tbl_Clean[[#This Row],[Education]],{"Partial High School","High School","Partial College","Bachelors","Graduate Degree"})</f>
        <v>2</v>
      </c>
      <c r="U557" s="20">
        <f>IF(tbl_Clean[[#This Row],[Purchased Bike]]="Yes",1,0)</f>
        <v>1</v>
      </c>
    </row>
    <row r="558" spans="1:21" x14ac:dyDescent="0.25">
      <c r="A558" s="20">
        <v>17533</v>
      </c>
      <c r="B558" s="3" t="s">
        <v>111</v>
      </c>
      <c r="C558" s="3" t="s">
        <v>113</v>
      </c>
      <c r="D558" s="19">
        <v>40000</v>
      </c>
      <c r="E558" s="20">
        <v>3</v>
      </c>
      <c r="F558" s="3" t="s">
        <v>21</v>
      </c>
      <c r="G558" s="3" t="s">
        <v>23</v>
      </c>
      <c r="H558" s="3" t="s">
        <v>20</v>
      </c>
      <c r="I558" s="20">
        <v>2</v>
      </c>
      <c r="J558" s="3" t="s">
        <v>26</v>
      </c>
      <c r="K558" s="3" t="s">
        <v>35</v>
      </c>
      <c r="L558" s="20">
        <v>73</v>
      </c>
      <c r="M558" s="3" t="s">
        <v>17</v>
      </c>
      <c r="N558" s="20" t="str" cm="1">
        <f t="array" ref="N558">_xlfn.IFS(tbl_Clean[[#This Row],[Age]]&lt;=30,"25-30",tbl_Clean[[#This Row],[Age]]&lt;=40,"31-40",tbl_Clean[[#This Row],[Age]]&lt;=50,"41-50",tbl_Clean[[#This Row],[Age]]&lt;=60,"51-60",TRUE,"61+")</f>
        <v>61+</v>
      </c>
      <c r="O558" s="20">
        <f>_xlfn.XMATCH(tbl_Clean[[#This Row],[Age Band]],{"25-30","31-40","41-50","51-60","61+"})</f>
        <v>5</v>
      </c>
      <c r="P558" s="20" t="str" cm="1">
        <f t="array" ref="P558">_xlfn.IFS(tbl_Clean[[#This Row],[Income]]&lt;=30000,"$10k-30k",tbl_Clean[[#This Row],[Income]]&lt;=60000,"$40k-60k",tbl_Clean[[#This Row],[Income]]&lt;=90000,"$70k-90k",TRUE,"$100k+")</f>
        <v>$40k-60k</v>
      </c>
      <c r="Q558" s="20">
        <f>_xlfn.XMATCH(tbl_Clean[[#This Row],[Income Band]],{"$10k-30k","$40k-60k","$70k-90k","$100k+"})</f>
        <v>2</v>
      </c>
      <c r="R558" s="20" t="str">
        <f>IF(tbl_Clean[[#This Row],[Cars]]&lt;=1,"0-1 Cars","2+ Cars")</f>
        <v>2+ Cars</v>
      </c>
      <c r="S558" s="20">
        <f>_xlfn.XMATCH(tbl_Clean[[#This Row],[Commute Distance]],{"0-1 Miles","1-2 Miles","2-5 Miles","5-10 Miles","10+ Miles"})</f>
        <v>4</v>
      </c>
      <c r="T558" s="20">
        <f>_xlfn.XMATCH(tbl_Clean[[#This Row],[Education]],{"Partial High School","High School","Partial College","Bachelors","Graduate Degree"})</f>
        <v>3</v>
      </c>
      <c r="U558" s="20">
        <f>IF(tbl_Clean[[#This Row],[Purchased Bike]]="Yes",1,0)</f>
        <v>1</v>
      </c>
    </row>
    <row r="559" spans="1:21" x14ac:dyDescent="0.25">
      <c r="A559" s="20">
        <v>18580</v>
      </c>
      <c r="B559" s="3" t="s">
        <v>111</v>
      </c>
      <c r="C559" s="3" t="s">
        <v>112</v>
      </c>
      <c r="D559" s="19">
        <v>60000</v>
      </c>
      <c r="E559" s="20">
        <v>2</v>
      </c>
      <c r="F559" s="3" t="s">
        <v>34</v>
      </c>
      <c r="G559" s="3" t="s">
        <v>23</v>
      </c>
      <c r="H559" s="3" t="s">
        <v>17</v>
      </c>
      <c r="I559" s="20">
        <v>0</v>
      </c>
      <c r="J559" s="3" t="s">
        <v>24</v>
      </c>
      <c r="K559" s="3" t="s">
        <v>35</v>
      </c>
      <c r="L559" s="20">
        <v>40</v>
      </c>
      <c r="M559" s="3" t="s">
        <v>17</v>
      </c>
      <c r="N559" s="20" t="str" cm="1">
        <f t="array" ref="N559">_xlfn.IFS(tbl_Clean[[#This Row],[Age]]&lt;=30,"25-30",tbl_Clean[[#This Row],[Age]]&lt;=40,"31-40",tbl_Clean[[#This Row],[Age]]&lt;=50,"41-50",tbl_Clean[[#This Row],[Age]]&lt;=60,"51-60",TRUE,"61+")</f>
        <v>31-40</v>
      </c>
      <c r="O559" s="20">
        <f>_xlfn.XMATCH(tbl_Clean[[#This Row],[Age Band]],{"25-30","31-40","41-50","51-60","61+"})</f>
        <v>2</v>
      </c>
      <c r="P559" s="20" t="str" cm="1">
        <f t="array" ref="P559">_xlfn.IFS(tbl_Clean[[#This Row],[Income]]&lt;=30000,"$10k-30k",tbl_Clean[[#This Row],[Income]]&lt;=60000,"$40k-60k",tbl_Clean[[#This Row],[Income]]&lt;=90000,"$70k-90k",TRUE,"$100k+")</f>
        <v>$40k-60k</v>
      </c>
      <c r="Q559" s="20">
        <f>_xlfn.XMATCH(tbl_Clean[[#This Row],[Income Band]],{"$10k-30k","$40k-60k","$70k-90k","$100k+"})</f>
        <v>2</v>
      </c>
      <c r="R559" s="20" t="str">
        <f>IF(tbl_Clean[[#This Row],[Cars]]&lt;=1,"0-1 Cars","2+ Cars")</f>
        <v>0-1 Cars</v>
      </c>
      <c r="S559" s="20">
        <f>_xlfn.XMATCH(tbl_Clean[[#This Row],[Commute Distance]],{"0-1 Miles","1-2 Miles","2-5 Miles","5-10 Miles","10+ Miles"})</f>
        <v>3</v>
      </c>
      <c r="T559" s="20">
        <f>_xlfn.XMATCH(tbl_Clean[[#This Row],[Education]],{"Partial High School","High School","Partial College","Bachelors","Graduate Degree"})</f>
        <v>5</v>
      </c>
      <c r="U559" s="20">
        <f>IF(tbl_Clean[[#This Row],[Purchased Bike]]="Yes",1,0)</f>
        <v>1</v>
      </c>
    </row>
    <row r="560" spans="1:21" x14ac:dyDescent="0.25">
      <c r="A560" s="20">
        <v>17025</v>
      </c>
      <c r="B560" s="3" t="s">
        <v>114</v>
      </c>
      <c r="C560" s="3" t="s">
        <v>113</v>
      </c>
      <c r="D560" s="19">
        <v>50000</v>
      </c>
      <c r="E560" s="20">
        <v>0</v>
      </c>
      <c r="F560" s="3" t="s">
        <v>21</v>
      </c>
      <c r="G560" s="3" t="s">
        <v>16</v>
      </c>
      <c r="H560" s="3" t="s">
        <v>20</v>
      </c>
      <c r="I560" s="20">
        <v>1</v>
      </c>
      <c r="J560" s="3" t="s">
        <v>24</v>
      </c>
      <c r="K560" s="3" t="s">
        <v>35</v>
      </c>
      <c r="L560" s="20">
        <v>39</v>
      </c>
      <c r="M560" s="3" t="s">
        <v>17</v>
      </c>
      <c r="N560" s="20" t="str" cm="1">
        <f t="array" ref="N560">_xlfn.IFS(tbl_Clean[[#This Row],[Age]]&lt;=30,"25-30",tbl_Clean[[#This Row],[Age]]&lt;=40,"31-40",tbl_Clean[[#This Row],[Age]]&lt;=50,"41-50",tbl_Clean[[#This Row],[Age]]&lt;=60,"51-60",TRUE,"61+")</f>
        <v>31-40</v>
      </c>
      <c r="O560" s="20">
        <f>_xlfn.XMATCH(tbl_Clean[[#This Row],[Age Band]],{"25-30","31-40","41-50","51-60","61+"})</f>
        <v>2</v>
      </c>
      <c r="P560" s="20" t="str" cm="1">
        <f t="array" ref="P560">_xlfn.IFS(tbl_Clean[[#This Row],[Income]]&lt;=30000,"$10k-30k",tbl_Clean[[#This Row],[Income]]&lt;=60000,"$40k-60k",tbl_Clean[[#This Row],[Income]]&lt;=90000,"$70k-90k",TRUE,"$100k+")</f>
        <v>$40k-60k</v>
      </c>
      <c r="Q560" s="20">
        <f>_xlfn.XMATCH(tbl_Clean[[#This Row],[Income Band]],{"$10k-30k","$40k-60k","$70k-90k","$100k+"})</f>
        <v>2</v>
      </c>
      <c r="R560" s="20" t="str">
        <f>IF(tbl_Clean[[#This Row],[Cars]]&lt;=1,"0-1 Cars","2+ Cars")</f>
        <v>0-1 Cars</v>
      </c>
      <c r="S560" s="20">
        <f>_xlfn.XMATCH(tbl_Clean[[#This Row],[Commute Distance]],{"0-1 Miles","1-2 Miles","2-5 Miles","5-10 Miles","10+ Miles"})</f>
        <v>3</v>
      </c>
      <c r="T560" s="20">
        <f>_xlfn.XMATCH(tbl_Clean[[#This Row],[Education]],{"Partial High School","High School","Partial College","Bachelors","Graduate Degree"})</f>
        <v>3</v>
      </c>
      <c r="U560" s="20">
        <f>IF(tbl_Clean[[#This Row],[Purchased Bike]]="Yes",1,0)</f>
        <v>1</v>
      </c>
    </row>
    <row r="561" spans="1:21" x14ac:dyDescent="0.25">
      <c r="A561" s="20">
        <v>25293</v>
      </c>
      <c r="B561" s="3" t="s">
        <v>111</v>
      </c>
      <c r="C561" s="3" t="s">
        <v>113</v>
      </c>
      <c r="D561" s="19">
        <v>80000</v>
      </c>
      <c r="E561" s="20">
        <v>4</v>
      </c>
      <c r="F561" s="3" t="s">
        <v>15</v>
      </c>
      <c r="G561" s="3" t="s">
        <v>31</v>
      </c>
      <c r="H561" s="3" t="s">
        <v>17</v>
      </c>
      <c r="I561" s="20">
        <v>0</v>
      </c>
      <c r="J561" s="3" t="s">
        <v>29</v>
      </c>
      <c r="K561" s="3" t="s">
        <v>35</v>
      </c>
      <c r="L561" s="20">
        <v>42</v>
      </c>
      <c r="M561" s="3" t="s">
        <v>20</v>
      </c>
      <c r="N561" s="20" t="str" cm="1">
        <f t="array" ref="N561">_xlfn.IFS(tbl_Clean[[#This Row],[Age]]&lt;=30,"25-30",tbl_Clean[[#This Row],[Age]]&lt;=40,"31-40",tbl_Clean[[#This Row],[Age]]&lt;=50,"41-50",tbl_Clean[[#This Row],[Age]]&lt;=60,"51-60",TRUE,"61+")</f>
        <v>41-50</v>
      </c>
      <c r="O561" s="20">
        <f>_xlfn.XMATCH(tbl_Clean[[#This Row],[Age Band]],{"25-30","31-40","41-50","51-60","61+"})</f>
        <v>3</v>
      </c>
      <c r="P561" s="20" t="str" cm="1">
        <f t="array" ref="P561">_xlfn.IFS(tbl_Clean[[#This Row],[Income]]&lt;=30000,"$10k-30k",tbl_Clean[[#This Row],[Income]]&lt;=60000,"$40k-60k",tbl_Clean[[#This Row],[Income]]&lt;=90000,"$70k-90k",TRUE,"$100k+")</f>
        <v>$70k-90k</v>
      </c>
      <c r="Q561" s="20">
        <f>_xlfn.XMATCH(tbl_Clean[[#This Row],[Income Band]],{"$10k-30k","$40k-60k","$70k-90k","$100k+"})</f>
        <v>3</v>
      </c>
      <c r="R561" s="20" t="str">
        <f>IF(tbl_Clean[[#This Row],[Cars]]&lt;=1,"0-1 Cars","2+ Cars")</f>
        <v>0-1 Cars</v>
      </c>
      <c r="S561" s="20">
        <f>_xlfn.XMATCH(tbl_Clean[[#This Row],[Commute Distance]],{"0-1 Miles","1-2 Miles","2-5 Miles","5-10 Miles","10+ Miles"})</f>
        <v>2</v>
      </c>
      <c r="T561" s="20">
        <f>_xlfn.XMATCH(tbl_Clean[[#This Row],[Education]],{"Partial High School","High School","Partial College","Bachelors","Graduate Degree"})</f>
        <v>4</v>
      </c>
      <c r="U561" s="20">
        <f>IF(tbl_Clean[[#This Row],[Purchased Bike]]="Yes",1,0)</f>
        <v>0</v>
      </c>
    </row>
    <row r="562" spans="1:21" x14ac:dyDescent="0.25">
      <c r="A562" s="20">
        <v>24725</v>
      </c>
      <c r="B562" s="3" t="s">
        <v>111</v>
      </c>
      <c r="C562" s="3" t="s">
        <v>112</v>
      </c>
      <c r="D562" s="19">
        <v>40000</v>
      </c>
      <c r="E562" s="20">
        <v>3</v>
      </c>
      <c r="F562" s="3" t="s">
        <v>21</v>
      </c>
      <c r="G562" s="3" t="s">
        <v>22</v>
      </c>
      <c r="H562" s="3" t="s">
        <v>17</v>
      </c>
      <c r="I562" s="20">
        <v>0</v>
      </c>
      <c r="J562" s="3" t="s">
        <v>29</v>
      </c>
      <c r="K562" s="3" t="s">
        <v>35</v>
      </c>
      <c r="L562" s="20">
        <v>31</v>
      </c>
      <c r="M562" s="3" t="s">
        <v>20</v>
      </c>
      <c r="N562" s="20" t="str" cm="1">
        <f t="array" ref="N562">_xlfn.IFS(tbl_Clean[[#This Row],[Age]]&lt;=30,"25-30",tbl_Clean[[#This Row],[Age]]&lt;=40,"31-40",tbl_Clean[[#This Row],[Age]]&lt;=50,"41-50",tbl_Clean[[#This Row],[Age]]&lt;=60,"51-60",TRUE,"61+")</f>
        <v>31-40</v>
      </c>
      <c r="O562" s="20">
        <f>_xlfn.XMATCH(tbl_Clean[[#This Row],[Age Band]],{"25-30","31-40","41-50","51-60","61+"})</f>
        <v>2</v>
      </c>
      <c r="P562" s="20" t="str" cm="1">
        <f t="array" ref="P562">_xlfn.IFS(tbl_Clean[[#This Row],[Income]]&lt;=30000,"$10k-30k",tbl_Clean[[#This Row],[Income]]&lt;=60000,"$40k-60k",tbl_Clean[[#This Row],[Income]]&lt;=90000,"$70k-90k",TRUE,"$100k+")</f>
        <v>$40k-60k</v>
      </c>
      <c r="Q562" s="20">
        <f>_xlfn.XMATCH(tbl_Clean[[#This Row],[Income Band]],{"$10k-30k","$40k-60k","$70k-90k","$100k+"})</f>
        <v>2</v>
      </c>
      <c r="R562" s="20" t="str">
        <f>IF(tbl_Clean[[#This Row],[Cars]]&lt;=1,"0-1 Cars","2+ Cars")</f>
        <v>0-1 Cars</v>
      </c>
      <c r="S562" s="20">
        <f>_xlfn.XMATCH(tbl_Clean[[#This Row],[Commute Distance]],{"0-1 Miles","1-2 Miles","2-5 Miles","5-10 Miles","10+ Miles"})</f>
        <v>2</v>
      </c>
      <c r="T562" s="20">
        <f>_xlfn.XMATCH(tbl_Clean[[#This Row],[Education]],{"Partial High School","High School","Partial College","Bachelors","Graduate Degree"})</f>
        <v>3</v>
      </c>
      <c r="U562" s="20">
        <f>IF(tbl_Clean[[#This Row],[Purchased Bike]]="Yes",1,0)</f>
        <v>0</v>
      </c>
    </row>
    <row r="563" spans="1:21" x14ac:dyDescent="0.25">
      <c r="A563" s="20">
        <v>23200</v>
      </c>
      <c r="B563" s="3" t="s">
        <v>111</v>
      </c>
      <c r="C563" s="3" t="s">
        <v>112</v>
      </c>
      <c r="D563" s="19">
        <v>50000</v>
      </c>
      <c r="E563" s="20">
        <v>3</v>
      </c>
      <c r="F563" s="3" t="s">
        <v>15</v>
      </c>
      <c r="G563" s="3" t="s">
        <v>16</v>
      </c>
      <c r="H563" s="3" t="s">
        <v>17</v>
      </c>
      <c r="I563" s="20">
        <v>2</v>
      </c>
      <c r="J563" s="3" t="s">
        <v>18</v>
      </c>
      <c r="K563" s="3" t="s">
        <v>35</v>
      </c>
      <c r="L563" s="20">
        <v>41</v>
      </c>
      <c r="M563" s="3" t="s">
        <v>20</v>
      </c>
      <c r="N563" s="20" t="str" cm="1">
        <f t="array" ref="N563">_xlfn.IFS(tbl_Clean[[#This Row],[Age]]&lt;=30,"25-30",tbl_Clean[[#This Row],[Age]]&lt;=40,"31-40",tbl_Clean[[#This Row],[Age]]&lt;=50,"41-50",tbl_Clean[[#This Row],[Age]]&lt;=60,"51-60",TRUE,"61+")</f>
        <v>41-50</v>
      </c>
      <c r="O563" s="20">
        <f>_xlfn.XMATCH(tbl_Clean[[#This Row],[Age Band]],{"25-30","31-40","41-50","51-60","61+"})</f>
        <v>3</v>
      </c>
      <c r="P563" s="20" t="str" cm="1">
        <f t="array" ref="P563">_xlfn.IFS(tbl_Clean[[#This Row],[Income]]&lt;=30000,"$10k-30k",tbl_Clean[[#This Row],[Income]]&lt;=60000,"$40k-60k",tbl_Clean[[#This Row],[Income]]&lt;=90000,"$70k-90k",TRUE,"$100k+")</f>
        <v>$40k-60k</v>
      </c>
      <c r="Q563" s="20">
        <f>_xlfn.XMATCH(tbl_Clean[[#This Row],[Income Band]],{"$10k-30k","$40k-60k","$70k-90k","$100k+"})</f>
        <v>2</v>
      </c>
      <c r="R563" s="20" t="str">
        <f>IF(tbl_Clean[[#This Row],[Cars]]&lt;=1,"0-1 Cars","2+ Cars")</f>
        <v>2+ Cars</v>
      </c>
      <c r="S563" s="20">
        <f>_xlfn.XMATCH(tbl_Clean[[#This Row],[Commute Distance]],{"0-1 Miles","1-2 Miles","2-5 Miles","5-10 Miles","10+ Miles"})</f>
        <v>1</v>
      </c>
      <c r="T563" s="20">
        <f>_xlfn.XMATCH(tbl_Clean[[#This Row],[Education]],{"Partial High School","High School","Partial College","Bachelors","Graduate Degree"})</f>
        <v>4</v>
      </c>
      <c r="U563" s="20">
        <f>IF(tbl_Clean[[#This Row],[Purchased Bike]]="Yes",1,0)</f>
        <v>0</v>
      </c>
    </row>
    <row r="564" spans="1:21" x14ac:dyDescent="0.25">
      <c r="A564" s="20">
        <v>15895</v>
      </c>
      <c r="B564" s="3" t="s">
        <v>114</v>
      </c>
      <c r="C564" s="3" t="s">
        <v>112</v>
      </c>
      <c r="D564" s="19">
        <v>60000</v>
      </c>
      <c r="E564" s="20">
        <v>2</v>
      </c>
      <c r="F564" s="3" t="s">
        <v>15</v>
      </c>
      <c r="G564" s="3" t="s">
        <v>31</v>
      </c>
      <c r="H564" s="3" t="s">
        <v>17</v>
      </c>
      <c r="I564" s="20">
        <v>0</v>
      </c>
      <c r="J564" s="3" t="s">
        <v>33</v>
      </c>
      <c r="K564" s="3" t="s">
        <v>35</v>
      </c>
      <c r="L564" s="20">
        <v>58</v>
      </c>
      <c r="M564" s="3" t="s">
        <v>20</v>
      </c>
      <c r="N564" s="20" t="str" cm="1">
        <f t="array" ref="N564">_xlfn.IFS(tbl_Clean[[#This Row],[Age]]&lt;=30,"25-30",tbl_Clean[[#This Row],[Age]]&lt;=40,"31-40",tbl_Clean[[#This Row],[Age]]&lt;=50,"41-50",tbl_Clean[[#This Row],[Age]]&lt;=60,"51-60",TRUE,"61+")</f>
        <v>51-60</v>
      </c>
      <c r="O564" s="20">
        <f>_xlfn.XMATCH(tbl_Clean[[#This Row],[Age Band]],{"25-30","31-40","41-50","51-60","61+"})</f>
        <v>4</v>
      </c>
      <c r="P564" s="20" t="str" cm="1">
        <f t="array" ref="P564">_xlfn.IFS(tbl_Clean[[#This Row],[Income]]&lt;=30000,"$10k-30k",tbl_Clean[[#This Row],[Income]]&lt;=60000,"$40k-60k",tbl_Clean[[#This Row],[Income]]&lt;=90000,"$70k-90k",TRUE,"$100k+")</f>
        <v>$40k-60k</v>
      </c>
      <c r="Q564" s="20">
        <f>_xlfn.XMATCH(tbl_Clean[[#This Row],[Income Band]],{"$10k-30k","$40k-60k","$70k-90k","$100k+"})</f>
        <v>2</v>
      </c>
      <c r="R564" s="20" t="str">
        <f>IF(tbl_Clean[[#This Row],[Cars]]&lt;=1,"0-1 Cars","2+ Cars")</f>
        <v>0-1 Cars</v>
      </c>
      <c r="S564" s="20">
        <f>_xlfn.XMATCH(tbl_Clean[[#This Row],[Commute Distance]],{"0-1 Miles","1-2 Miles","2-5 Miles","5-10 Miles","10+ Miles"})</f>
        <v>5</v>
      </c>
      <c r="T564" s="20">
        <f>_xlfn.XMATCH(tbl_Clean[[#This Row],[Education]],{"Partial High School","High School","Partial College","Bachelors","Graduate Degree"})</f>
        <v>4</v>
      </c>
      <c r="U564" s="20">
        <f>IF(tbl_Clean[[#This Row],[Purchased Bike]]="Yes",1,0)</f>
        <v>0</v>
      </c>
    </row>
    <row r="565" spans="1:21" x14ac:dyDescent="0.25">
      <c r="A565" s="20">
        <v>18577</v>
      </c>
      <c r="B565" s="3" t="s">
        <v>111</v>
      </c>
      <c r="C565" s="3" t="s">
        <v>112</v>
      </c>
      <c r="D565" s="19">
        <v>60000</v>
      </c>
      <c r="E565" s="20">
        <v>0</v>
      </c>
      <c r="F565" s="3" t="s">
        <v>34</v>
      </c>
      <c r="G565" s="3" t="s">
        <v>23</v>
      </c>
      <c r="H565" s="3" t="s">
        <v>17</v>
      </c>
      <c r="I565" s="20">
        <v>0</v>
      </c>
      <c r="J565" s="3" t="s">
        <v>18</v>
      </c>
      <c r="K565" s="3" t="s">
        <v>35</v>
      </c>
      <c r="L565" s="20">
        <v>40</v>
      </c>
      <c r="M565" s="3" t="s">
        <v>20</v>
      </c>
      <c r="N565" s="20" t="str" cm="1">
        <f t="array" ref="N565">_xlfn.IFS(tbl_Clean[[#This Row],[Age]]&lt;=30,"25-30",tbl_Clean[[#This Row],[Age]]&lt;=40,"31-40",tbl_Clean[[#This Row],[Age]]&lt;=50,"41-50",tbl_Clean[[#This Row],[Age]]&lt;=60,"51-60",TRUE,"61+")</f>
        <v>31-40</v>
      </c>
      <c r="O565" s="20">
        <f>_xlfn.XMATCH(tbl_Clean[[#This Row],[Age Band]],{"25-30","31-40","41-50","51-60","61+"})</f>
        <v>2</v>
      </c>
      <c r="P565" s="20" t="str" cm="1">
        <f t="array" ref="P565">_xlfn.IFS(tbl_Clean[[#This Row],[Income]]&lt;=30000,"$10k-30k",tbl_Clean[[#This Row],[Income]]&lt;=60000,"$40k-60k",tbl_Clean[[#This Row],[Income]]&lt;=90000,"$70k-90k",TRUE,"$100k+")</f>
        <v>$40k-60k</v>
      </c>
      <c r="Q565" s="20">
        <f>_xlfn.XMATCH(tbl_Clean[[#This Row],[Income Band]],{"$10k-30k","$40k-60k","$70k-90k","$100k+"})</f>
        <v>2</v>
      </c>
      <c r="R565" s="20" t="str">
        <f>IF(tbl_Clean[[#This Row],[Cars]]&lt;=1,"0-1 Cars","2+ Cars")</f>
        <v>0-1 Cars</v>
      </c>
      <c r="S565" s="20">
        <f>_xlfn.XMATCH(tbl_Clean[[#This Row],[Commute Distance]],{"0-1 Miles","1-2 Miles","2-5 Miles","5-10 Miles","10+ Miles"})</f>
        <v>1</v>
      </c>
      <c r="T565" s="20">
        <f>_xlfn.XMATCH(tbl_Clean[[#This Row],[Education]],{"Partial High School","High School","Partial College","Bachelors","Graduate Degree"})</f>
        <v>5</v>
      </c>
      <c r="U565" s="20">
        <f>IF(tbl_Clean[[#This Row],[Purchased Bike]]="Yes",1,0)</f>
        <v>0</v>
      </c>
    </row>
    <row r="566" spans="1:21" x14ac:dyDescent="0.25">
      <c r="A566" s="20">
        <v>27218</v>
      </c>
      <c r="B566" s="3" t="s">
        <v>111</v>
      </c>
      <c r="C566" s="3" t="s">
        <v>112</v>
      </c>
      <c r="D566" s="19">
        <v>20000</v>
      </c>
      <c r="E566" s="20">
        <v>2</v>
      </c>
      <c r="F566" s="3" t="s">
        <v>32</v>
      </c>
      <c r="G566" s="3" t="s">
        <v>22</v>
      </c>
      <c r="H566" s="3" t="s">
        <v>20</v>
      </c>
      <c r="I566" s="20">
        <v>0</v>
      </c>
      <c r="J566" s="3" t="s">
        <v>18</v>
      </c>
      <c r="K566" s="3" t="s">
        <v>35</v>
      </c>
      <c r="L566" s="20">
        <v>48</v>
      </c>
      <c r="M566" s="3" t="s">
        <v>20</v>
      </c>
      <c r="N566" s="20" t="str" cm="1">
        <f t="array" ref="N566">_xlfn.IFS(tbl_Clean[[#This Row],[Age]]&lt;=30,"25-30",tbl_Clean[[#This Row],[Age]]&lt;=40,"31-40",tbl_Clean[[#This Row],[Age]]&lt;=50,"41-50",tbl_Clean[[#This Row],[Age]]&lt;=60,"51-60",TRUE,"61+")</f>
        <v>41-50</v>
      </c>
      <c r="O566" s="20">
        <f>_xlfn.XMATCH(tbl_Clean[[#This Row],[Age Band]],{"25-30","31-40","41-50","51-60","61+"})</f>
        <v>3</v>
      </c>
      <c r="P566" s="20" t="str" cm="1">
        <f t="array" ref="P566">_xlfn.IFS(tbl_Clean[[#This Row],[Income]]&lt;=30000,"$10k-30k",tbl_Clean[[#This Row],[Income]]&lt;=60000,"$40k-60k",tbl_Clean[[#This Row],[Income]]&lt;=90000,"$70k-90k",TRUE,"$100k+")</f>
        <v>$10k-30k</v>
      </c>
      <c r="Q566" s="20">
        <f>_xlfn.XMATCH(tbl_Clean[[#This Row],[Income Band]],{"$10k-30k","$40k-60k","$70k-90k","$100k+"})</f>
        <v>1</v>
      </c>
      <c r="R566" s="20" t="str">
        <f>IF(tbl_Clean[[#This Row],[Cars]]&lt;=1,"0-1 Cars","2+ Cars")</f>
        <v>0-1 Cars</v>
      </c>
      <c r="S566" s="20">
        <f>_xlfn.XMATCH(tbl_Clean[[#This Row],[Commute Distance]],{"0-1 Miles","1-2 Miles","2-5 Miles","5-10 Miles","10+ Miles"})</f>
        <v>1</v>
      </c>
      <c r="T566" s="20">
        <f>_xlfn.XMATCH(tbl_Clean[[#This Row],[Education]],{"Partial High School","High School","Partial College","Bachelors","Graduate Degree"})</f>
        <v>1</v>
      </c>
      <c r="U566" s="20">
        <f>IF(tbl_Clean[[#This Row],[Purchased Bike]]="Yes",1,0)</f>
        <v>0</v>
      </c>
    </row>
    <row r="567" spans="1:21" x14ac:dyDescent="0.25">
      <c r="A567" s="20">
        <v>18560</v>
      </c>
      <c r="B567" s="3" t="s">
        <v>111</v>
      </c>
      <c r="C567" s="3" t="s">
        <v>112</v>
      </c>
      <c r="D567" s="19">
        <v>70000</v>
      </c>
      <c r="E567" s="20">
        <v>2</v>
      </c>
      <c r="F567" s="3" t="s">
        <v>34</v>
      </c>
      <c r="G567" s="3" t="s">
        <v>23</v>
      </c>
      <c r="H567" s="3" t="s">
        <v>17</v>
      </c>
      <c r="I567" s="20">
        <v>0</v>
      </c>
      <c r="J567" s="3" t="s">
        <v>24</v>
      </c>
      <c r="K567" s="3" t="s">
        <v>35</v>
      </c>
      <c r="L567" s="20">
        <v>34</v>
      </c>
      <c r="M567" s="3" t="s">
        <v>17</v>
      </c>
      <c r="N567" s="20" t="str" cm="1">
        <f t="array" ref="N567">_xlfn.IFS(tbl_Clean[[#This Row],[Age]]&lt;=30,"25-30",tbl_Clean[[#This Row],[Age]]&lt;=40,"31-40",tbl_Clean[[#This Row],[Age]]&lt;=50,"41-50",tbl_Clean[[#This Row],[Age]]&lt;=60,"51-60",TRUE,"61+")</f>
        <v>31-40</v>
      </c>
      <c r="O567" s="20">
        <f>_xlfn.XMATCH(tbl_Clean[[#This Row],[Age Band]],{"25-30","31-40","41-50","51-60","61+"})</f>
        <v>2</v>
      </c>
      <c r="P567" s="20" t="str" cm="1">
        <f t="array" ref="P567">_xlfn.IFS(tbl_Clean[[#This Row],[Income]]&lt;=30000,"$10k-30k",tbl_Clean[[#This Row],[Income]]&lt;=60000,"$40k-60k",tbl_Clean[[#This Row],[Income]]&lt;=90000,"$70k-90k",TRUE,"$100k+")</f>
        <v>$70k-90k</v>
      </c>
      <c r="Q567" s="20">
        <f>_xlfn.XMATCH(tbl_Clean[[#This Row],[Income Band]],{"$10k-30k","$40k-60k","$70k-90k","$100k+"})</f>
        <v>3</v>
      </c>
      <c r="R567" s="20" t="str">
        <f>IF(tbl_Clean[[#This Row],[Cars]]&lt;=1,"0-1 Cars","2+ Cars")</f>
        <v>0-1 Cars</v>
      </c>
      <c r="S567" s="20">
        <f>_xlfn.XMATCH(tbl_Clean[[#This Row],[Commute Distance]],{"0-1 Miles","1-2 Miles","2-5 Miles","5-10 Miles","10+ Miles"})</f>
        <v>3</v>
      </c>
      <c r="T567" s="20">
        <f>_xlfn.XMATCH(tbl_Clean[[#This Row],[Education]],{"Partial High School","High School","Partial College","Bachelors","Graduate Degree"})</f>
        <v>5</v>
      </c>
      <c r="U567" s="20">
        <f>IF(tbl_Clean[[#This Row],[Purchased Bike]]="Yes",1,0)</f>
        <v>1</v>
      </c>
    </row>
    <row r="568" spans="1:21" x14ac:dyDescent="0.25">
      <c r="A568" s="20">
        <v>25006</v>
      </c>
      <c r="B568" s="3" t="s">
        <v>114</v>
      </c>
      <c r="C568" s="3" t="s">
        <v>112</v>
      </c>
      <c r="D568" s="19">
        <v>30000</v>
      </c>
      <c r="E568" s="20">
        <v>0</v>
      </c>
      <c r="F568" s="3" t="s">
        <v>21</v>
      </c>
      <c r="G568" s="3" t="s">
        <v>16</v>
      </c>
      <c r="H568" s="3" t="s">
        <v>17</v>
      </c>
      <c r="I568" s="20">
        <v>1</v>
      </c>
      <c r="J568" s="3" t="s">
        <v>26</v>
      </c>
      <c r="K568" s="3" t="s">
        <v>35</v>
      </c>
      <c r="L568" s="20">
        <v>28</v>
      </c>
      <c r="M568" s="3" t="s">
        <v>20</v>
      </c>
      <c r="N568" s="20" t="str" cm="1">
        <f t="array" ref="N568">_xlfn.IFS(tbl_Clean[[#This Row],[Age]]&lt;=30,"25-30",tbl_Clean[[#This Row],[Age]]&lt;=40,"31-40",tbl_Clean[[#This Row],[Age]]&lt;=50,"41-50",tbl_Clean[[#This Row],[Age]]&lt;=60,"51-60",TRUE,"61+")</f>
        <v>25-30</v>
      </c>
      <c r="O568" s="20">
        <f>_xlfn.XMATCH(tbl_Clean[[#This Row],[Age Band]],{"25-30","31-40","41-50","51-60","61+"})</f>
        <v>1</v>
      </c>
      <c r="P568" s="20" t="str" cm="1">
        <f t="array" ref="P568">_xlfn.IFS(tbl_Clean[[#This Row],[Income]]&lt;=30000,"$10k-30k",tbl_Clean[[#This Row],[Income]]&lt;=60000,"$40k-60k",tbl_Clean[[#This Row],[Income]]&lt;=90000,"$70k-90k",TRUE,"$100k+")</f>
        <v>$10k-30k</v>
      </c>
      <c r="Q568" s="20">
        <f>_xlfn.XMATCH(tbl_Clean[[#This Row],[Income Band]],{"$10k-30k","$40k-60k","$70k-90k","$100k+"})</f>
        <v>1</v>
      </c>
      <c r="R568" s="20" t="str">
        <f>IF(tbl_Clean[[#This Row],[Cars]]&lt;=1,"0-1 Cars","2+ Cars")</f>
        <v>0-1 Cars</v>
      </c>
      <c r="S568" s="20">
        <f>_xlfn.XMATCH(tbl_Clean[[#This Row],[Commute Distance]],{"0-1 Miles","1-2 Miles","2-5 Miles","5-10 Miles","10+ Miles"})</f>
        <v>4</v>
      </c>
      <c r="T568" s="20">
        <f>_xlfn.XMATCH(tbl_Clean[[#This Row],[Education]],{"Partial High School","High School","Partial College","Bachelors","Graduate Degree"})</f>
        <v>3</v>
      </c>
      <c r="U568" s="20">
        <f>IF(tbl_Clean[[#This Row],[Purchased Bike]]="Yes",1,0)</f>
        <v>0</v>
      </c>
    </row>
    <row r="569" spans="1:21" x14ac:dyDescent="0.25">
      <c r="A569" s="20">
        <v>17369</v>
      </c>
      <c r="B569" s="3" t="s">
        <v>114</v>
      </c>
      <c r="C569" s="3" t="s">
        <v>113</v>
      </c>
      <c r="D569" s="19">
        <v>30000</v>
      </c>
      <c r="E569" s="20">
        <v>0</v>
      </c>
      <c r="F569" s="3" t="s">
        <v>21</v>
      </c>
      <c r="G569" s="3" t="s">
        <v>16</v>
      </c>
      <c r="H569" s="3" t="s">
        <v>17</v>
      </c>
      <c r="I569" s="20">
        <v>1</v>
      </c>
      <c r="J569" s="3" t="s">
        <v>26</v>
      </c>
      <c r="K569" s="3" t="s">
        <v>35</v>
      </c>
      <c r="L569" s="20">
        <v>27</v>
      </c>
      <c r="M569" s="3" t="s">
        <v>20</v>
      </c>
      <c r="N569" s="20" t="str" cm="1">
        <f t="array" ref="N569">_xlfn.IFS(tbl_Clean[[#This Row],[Age]]&lt;=30,"25-30",tbl_Clean[[#This Row],[Age]]&lt;=40,"31-40",tbl_Clean[[#This Row],[Age]]&lt;=50,"41-50",tbl_Clean[[#This Row],[Age]]&lt;=60,"51-60",TRUE,"61+")</f>
        <v>25-30</v>
      </c>
      <c r="O569" s="20">
        <f>_xlfn.XMATCH(tbl_Clean[[#This Row],[Age Band]],{"25-30","31-40","41-50","51-60","61+"})</f>
        <v>1</v>
      </c>
      <c r="P569" s="20" t="str" cm="1">
        <f t="array" ref="P569">_xlfn.IFS(tbl_Clean[[#This Row],[Income]]&lt;=30000,"$10k-30k",tbl_Clean[[#This Row],[Income]]&lt;=60000,"$40k-60k",tbl_Clean[[#This Row],[Income]]&lt;=90000,"$70k-90k",TRUE,"$100k+")</f>
        <v>$10k-30k</v>
      </c>
      <c r="Q569" s="20">
        <f>_xlfn.XMATCH(tbl_Clean[[#This Row],[Income Band]],{"$10k-30k","$40k-60k","$70k-90k","$100k+"})</f>
        <v>1</v>
      </c>
      <c r="R569" s="20" t="str">
        <f>IF(tbl_Clean[[#This Row],[Cars]]&lt;=1,"0-1 Cars","2+ Cars")</f>
        <v>0-1 Cars</v>
      </c>
      <c r="S569" s="20">
        <f>_xlfn.XMATCH(tbl_Clean[[#This Row],[Commute Distance]],{"0-1 Miles","1-2 Miles","2-5 Miles","5-10 Miles","10+ Miles"})</f>
        <v>4</v>
      </c>
      <c r="T569" s="20">
        <f>_xlfn.XMATCH(tbl_Clean[[#This Row],[Education]],{"Partial High School","High School","Partial College","Bachelors","Graduate Degree"})</f>
        <v>3</v>
      </c>
      <c r="U569" s="20">
        <f>IF(tbl_Clean[[#This Row],[Purchased Bike]]="Yes",1,0)</f>
        <v>0</v>
      </c>
    </row>
    <row r="570" spans="1:21" x14ac:dyDescent="0.25">
      <c r="A570" s="20">
        <v>14495</v>
      </c>
      <c r="B570" s="3" t="s">
        <v>111</v>
      </c>
      <c r="C570" s="3" t="s">
        <v>113</v>
      </c>
      <c r="D570" s="19">
        <v>40000</v>
      </c>
      <c r="E570" s="20">
        <v>3</v>
      </c>
      <c r="F570" s="3" t="s">
        <v>21</v>
      </c>
      <c r="G570" s="3" t="s">
        <v>23</v>
      </c>
      <c r="H570" s="3" t="s">
        <v>20</v>
      </c>
      <c r="I570" s="20">
        <v>2</v>
      </c>
      <c r="J570" s="3" t="s">
        <v>26</v>
      </c>
      <c r="K570" s="3" t="s">
        <v>35</v>
      </c>
      <c r="L570" s="20">
        <v>54</v>
      </c>
      <c r="M570" s="3" t="s">
        <v>17</v>
      </c>
      <c r="N570" s="20" t="str" cm="1">
        <f t="array" ref="N570">_xlfn.IFS(tbl_Clean[[#This Row],[Age]]&lt;=30,"25-30",tbl_Clean[[#This Row],[Age]]&lt;=40,"31-40",tbl_Clean[[#This Row],[Age]]&lt;=50,"41-50",tbl_Clean[[#This Row],[Age]]&lt;=60,"51-60",TRUE,"61+")</f>
        <v>51-60</v>
      </c>
      <c r="O570" s="20">
        <f>_xlfn.XMATCH(tbl_Clean[[#This Row],[Age Band]],{"25-30","31-40","41-50","51-60","61+"})</f>
        <v>4</v>
      </c>
      <c r="P570" s="20" t="str" cm="1">
        <f t="array" ref="P570">_xlfn.IFS(tbl_Clean[[#This Row],[Income]]&lt;=30000,"$10k-30k",tbl_Clean[[#This Row],[Income]]&lt;=60000,"$40k-60k",tbl_Clean[[#This Row],[Income]]&lt;=90000,"$70k-90k",TRUE,"$100k+")</f>
        <v>$40k-60k</v>
      </c>
      <c r="Q570" s="20">
        <f>_xlfn.XMATCH(tbl_Clean[[#This Row],[Income Band]],{"$10k-30k","$40k-60k","$70k-90k","$100k+"})</f>
        <v>2</v>
      </c>
      <c r="R570" s="20" t="str">
        <f>IF(tbl_Clean[[#This Row],[Cars]]&lt;=1,"0-1 Cars","2+ Cars")</f>
        <v>2+ Cars</v>
      </c>
      <c r="S570" s="20">
        <f>_xlfn.XMATCH(tbl_Clean[[#This Row],[Commute Distance]],{"0-1 Miles","1-2 Miles","2-5 Miles","5-10 Miles","10+ Miles"})</f>
        <v>4</v>
      </c>
      <c r="T570" s="20">
        <f>_xlfn.XMATCH(tbl_Clean[[#This Row],[Education]],{"Partial High School","High School","Partial College","Bachelors","Graduate Degree"})</f>
        <v>3</v>
      </c>
      <c r="U570" s="20">
        <f>IF(tbl_Clean[[#This Row],[Purchased Bike]]="Yes",1,0)</f>
        <v>1</v>
      </c>
    </row>
    <row r="571" spans="1:21" x14ac:dyDescent="0.25">
      <c r="A571" s="20">
        <v>18847</v>
      </c>
      <c r="B571" s="3" t="s">
        <v>111</v>
      </c>
      <c r="C571" s="3" t="s">
        <v>112</v>
      </c>
      <c r="D571" s="19">
        <v>60000</v>
      </c>
      <c r="E571" s="20">
        <v>2</v>
      </c>
      <c r="F571" s="3" t="s">
        <v>34</v>
      </c>
      <c r="G571" s="3" t="s">
        <v>31</v>
      </c>
      <c r="H571" s="3" t="s">
        <v>17</v>
      </c>
      <c r="I571" s="20">
        <v>2</v>
      </c>
      <c r="J571" s="3" t="s">
        <v>26</v>
      </c>
      <c r="K571" s="3" t="s">
        <v>35</v>
      </c>
      <c r="L571" s="20">
        <v>70</v>
      </c>
      <c r="M571" s="3" t="s">
        <v>20</v>
      </c>
      <c r="N571" s="20" t="str" cm="1">
        <f t="array" ref="N571">_xlfn.IFS(tbl_Clean[[#This Row],[Age]]&lt;=30,"25-30",tbl_Clean[[#This Row],[Age]]&lt;=40,"31-40",tbl_Clean[[#This Row],[Age]]&lt;=50,"41-50",tbl_Clean[[#This Row],[Age]]&lt;=60,"51-60",TRUE,"61+")</f>
        <v>61+</v>
      </c>
      <c r="O571" s="20">
        <f>_xlfn.XMATCH(tbl_Clean[[#This Row],[Age Band]],{"25-30","31-40","41-50","51-60","61+"})</f>
        <v>5</v>
      </c>
      <c r="P571" s="20" t="str" cm="1">
        <f t="array" ref="P571">_xlfn.IFS(tbl_Clean[[#This Row],[Income]]&lt;=30000,"$10k-30k",tbl_Clean[[#This Row],[Income]]&lt;=60000,"$40k-60k",tbl_Clean[[#This Row],[Income]]&lt;=90000,"$70k-90k",TRUE,"$100k+")</f>
        <v>$40k-60k</v>
      </c>
      <c r="Q571" s="20">
        <f>_xlfn.XMATCH(tbl_Clean[[#This Row],[Income Band]],{"$10k-30k","$40k-60k","$70k-90k","$100k+"})</f>
        <v>2</v>
      </c>
      <c r="R571" s="20" t="str">
        <f>IF(tbl_Clean[[#This Row],[Cars]]&lt;=1,"0-1 Cars","2+ Cars")</f>
        <v>2+ Cars</v>
      </c>
      <c r="S571" s="20">
        <f>_xlfn.XMATCH(tbl_Clean[[#This Row],[Commute Distance]],{"0-1 Miles","1-2 Miles","2-5 Miles","5-10 Miles","10+ Miles"})</f>
        <v>4</v>
      </c>
      <c r="T571" s="20">
        <f>_xlfn.XMATCH(tbl_Clean[[#This Row],[Education]],{"Partial High School","High School","Partial College","Bachelors","Graduate Degree"})</f>
        <v>5</v>
      </c>
      <c r="U571" s="20">
        <f>IF(tbl_Clean[[#This Row],[Purchased Bike]]="Yes",1,0)</f>
        <v>0</v>
      </c>
    </row>
    <row r="572" spans="1:21" x14ac:dyDescent="0.25">
      <c r="A572" s="20">
        <v>14754</v>
      </c>
      <c r="B572" s="3" t="s">
        <v>111</v>
      </c>
      <c r="C572" s="3" t="s">
        <v>113</v>
      </c>
      <c r="D572" s="19">
        <v>40000</v>
      </c>
      <c r="E572" s="20">
        <v>1</v>
      </c>
      <c r="F572" s="3" t="s">
        <v>21</v>
      </c>
      <c r="G572" s="3" t="s">
        <v>22</v>
      </c>
      <c r="H572" s="3" t="s">
        <v>17</v>
      </c>
      <c r="I572" s="20">
        <v>1</v>
      </c>
      <c r="J572" s="3" t="s">
        <v>29</v>
      </c>
      <c r="K572" s="3" t="s">
        <v>35</v>
      </c>
      <c r="L572" s="20">
        <v>48</v>
      </c>
      <c r="M572" s="3" t="s">
        <v>17</v>
      </c>
      <c r="N572" s="20" t="str" cm="1">
        <f t="array" ref="N572">_xlfn.IFS(tbl_Clean[[#This Row],[Age]]&lt;=30,"25-30",tbl_Clean[[#This Row],[Age]]&lt;=40,"31-40",tbl_Clean[[#This Row],[Age]]&lt;=50,"41-50",tbl_Clean[[#This Row],[Age]]&lt;=60,"51-60",TRUE,"61+")</f>
        <v>41-50</v>
      </c>
      <c r="O572" s="20">
        <f>_xlfn.XMATCH(tbl_Clean[[#This Row],[Age Band]],{"25-30","31-40","41-50","51-60","61+"})</f>
        <v>3</v>
      </c>
      <c r="P572" s="20" t="str" cm="1">
        <f t="array" ref="P572">_xlfn.IFS(tbl_Clean[[#This Row],[Income]]&lt;=30000,"$10k-30k",tbl_Clean[[#This Row],[Income]]&lt;=60000,"$40k-60k",tbl_Clean[[#This Row],[Income]]&lt;=90000,"$70k-90k",TRUE,"$100k+")</f>
        <v>$40k-60k</v>
      </c>
      <c r="Q572" s="20">
        <f>_xlfn.XMATCH(tbl_Clean[[#This Row],[Income Band]],{"$10k-30k","$40k-60k","$70k-90k","$100k+"})</f>
        <v>2</v>
      </c>
      <c r="R572" s="20" t="str">
        <f>IF(tbl_Clean[[#This Row],[Cars]]&lt;=1,"0-1 Cars","2+ Cars")</f>
        <v>0-1 Cars</v>
      </c>
      <c r="S572" s="20">
        <f>_xlfn.XMATCH(tbl_Clean[[#This Row],[Commute Distance]],{"0-1 Miles","1-2 Miles","2-5 Miles","5-10 Miles","10+ Miles"})</f>
        <v>2</v>
      </c>
      <c r="T572" s="20">
        <f>_xlfn.XMATCH(tbl_Clean[[#This Row],[Education]],{"Partial High School","High School","Partial College","Bachelors","Graduate Degree"})</f>
        <v>3</v>
      </c>
      <c r="U572" s="20">
        <f>IF(tbl_Clean[[#This Row],[Purchased Bike]]="Yes",1,0)</f>
        <v>1</v>
      </c>
    </row>
    <row r="573" spans="1:21" x14ac:dyDescent="0.25">
      <c r="A573" s="20">
        <v>23378</v>
      </c>
      <c r="B573" s="3" t="s">
        <v>111</v>
      </c>
      <c r="C573" s="3" t="s">
        <v>113</v>
      </c>
      <c r="D573" s="19">
        <v>70000</v>
      </c>
      <c r="E573" s="20">
        <v>1</v>
      </c>
      <c r="F573" s="3" t="s">
        <v>21</v>
      </c>
      <c r="G573" s="3" t="s">
        <v>16</v>
      </c>
      <c r="H573" s="3" t="s">
        <v>17</v>
      </c>
      <c r="I573" s="20">
        <v>1</v>
      </c>
      <c r="J573" s="3" t="s">
        <v>24</v>
      </c>
      <c r="K573" s="3" t="s">
        <v>35</v>
      </c>
      <c r="L573" s="20">
        <v>44</v>
      </c>
      <c r="M573" s="3" t="s">
        <v>17</v>
      </c>
      <c r="N573" s="20" t="str" cm="1">
        <f t="array" ref="N573">_xlfn.IFS(tbl_Clean[[#This Row],[Age]]&lt;=30,"25-30",tbl_Clean[[#This Row],[Age]]&lt;=40,"31-40",tbl_Clean[[#This Row],[Age]]&lt;=50,"41-50",tbl_Clean[[#This Row],[Age]]&lt;=60,"51-60",TRUE,"61+")</f>
        <v>41-50</v>
      </c>
      <c r="O573" s="20">
        <f>_xlfn.XMATCH(tbl_Clean[[#This Row],[Age Band]],{"25-30","31-40","41-50","51-60","61+"})</f>
        <v>3</v>
      </c>
      <c r="P573" s="20" t="str" cm="1">
        <f t="array" ref="P573">_xlfn.IFS(tbl_Clean[[#This Row],[Income]]&lt;=30000,"$10k-30k",tbl_Clean[[#This Row],[Income]]&lt;=60000,"$40k-60k",tbl_Clean[[#This Row],[Income]]&lt;=90000,"$70k-90k",TRUE,"$100k+")</f>
        <v>$70k-90k</v>
      </c>
      <c r="Q573" s="20">
        <f>_xlfn.XMATCH(tbl_Clean[[#This Row],[Income Band]],{"$10k-30k","$40k-60k","$70k-90k","$100k+"})</f>
        <v>3</v>
      </c>
      <c r="R573" s="20" t="str">
        <f>IF(tbl_Clean[[#This Row],[Cars]]&lt;=1,"0-1 Cars","2+ Cars")</f>
        <v>0-1 Cars</v>
      </c>
      <c r="S573" s="20">
        <f>_xlfn.XMATCH(tbl_Clean[[#This Row],[Commute Distance]],{"0-1 Miles","1-2 Miles","2-5 Miles","5-10 Miles","10+ Miles"})</f>
        <v>3</v>
      </c>
      <c r="T573" s="20">
        <f>_xlfn.XMATCH(tbl_Clean[[#This Row],[Education]],{"Partial High School","High School","Partial College","Bachelors","Graduate Degree"})</f>
        <v>3</v>
      </c>
      <c r="U573" s="20">
        <f>IF(tbl_Clean[[#This Row],[Purchased Bike]]="Yes",1,0)</f>
        <v>1</v>
      </c>
    </row>
    <row r="574" spans="1:21" x14ac:dyDescent="0.25">
      <c r="A574" s="20">
        <v>26452</v>
      </c>
      <c r="B574" s="3" t="s">
        <v>114</v>
      </c>
      <c r="C574" s="3" t="s">
        <v>113</v>
      </c>
      <c r="D574" s="19">
        <v>50000</v>
      </c>
      <c r="E574" s="20">
        <v>3</v>
      </c>
      <c r="F574" s="3" t="s">
        <v>34</v>
      </c>
      <c r="G574" s="3" t="s">
        <v>31</v>
      </c>
      <c r="H574" s="3" t="s">
        <v>17</v>
      </c>
      <c r="I574" s="20">
        <v>2</v>
      </c>
      <c r="J574" s="3" t="s">
        <v>33</v>
      </c>
      <c r="K574" s="3" t="s">
        <v>35</v>
      </c>
      <c r="L574" s="20">
        <v>69</v>
      </c>
      <c r="M574" s="3" t="s">
        <v>20</v>
      </c>
      <c r="N574" s="20" t="str" cm="1">
        <f t="array" ref="N574">_xlfn.IFS(tbl_Clean[[#This Row],[Age]]&lt;=30,"25-30",tbl_Clean[[#This Row],[Age]]&lt;=40,"31-40",tbl_Clean[[#This Row],[Age]]&lt;=50,"41-50",tbl_Clean[[#This Row],[Age]]&lt;=60,"51-60",TRUE,"61+")</f>
        <v>61+</v>
      </c>
      <c r="O574" s="20">
        <f>_xlfn.XMATCH(tbl_Clean[[#This Row],[Age Band]],{"25-30","31-40","41-50","51-60","61+"})</f>
        <v>5</v>
      </c>
      <c r="P574" s="20" t="str" cm="1">
        <f t="array" ref="P574">_xlfn.IFS(tbl_Clean[[#This Row],[Income]]&lt;=30000,"$10k-30k",tbl_Clean[[#This Row],[Income]]&lt;=60000,"$40k-60k",tbl_Clean[[#This Row],[Income]]&lt;=90000,"$70k-90k",TRUE,"$100k+")</f>
        <v>$40k-60k</v>
      </c>
      <c r="Q574" s="20">
        <f>_xlfn.XMATCH(tbl_Clean[[#This Row],[Income Band]],{"$10k-30k","$40k-60k","$70k-90k","$100k+"})</f>
        <v>2</v>
      </c>
      <c r="R574" s="20" t="str">
        <f>IF(tbl_Clean[[#This Row],[Cars]]&lt;=1,"0-1 Cars","2+ Cars")</f>
        <v>2+ Cars</v>
      </c>
      <c r="S574" s="20">
        <f>_xlfn.XMATCH(tbl_Clean[[#This Row],[Commute Distance]],{"0-1 Miles","1-2 Miles","2-5 Miles","5-10 Miles","10+ Miles"})</f>
        <v>5</v>
      </c>
      <c r="T574" s="20">
        <f>_xlfn.XMATCH(tbl_Clean[[#This Row],[Education]],{"Partial High School","High School","Partial College","Bachelors","Graduate Degree"})</f>
        <v>5</v>
      </c>
      <c r="U574" s="20">
        <f>IF(tbl_Clean[[#This Row],[Purchased Bike]]="Yes",1,0)</f>
        <v>0</v>
      </c>
    </row>
    <row r="575" spans="1:21" x14ac:dyDescent="0.25">
      <c r="A575" s="20">
        <v>20370</v>
      </c>
      <c r="B575" s="3" t="s">
        <v>111</v>
      </c>
      <c r="C575" s="3" t="s">
        <v>113</v>
      </c>
      <c r="D575" s="19">
        <v>70000</v>
      </c>
      <c r="E575" s="20">
        <v>3</v>
      </c>
      <c r="F575" s="3" t="s">
        <v>32</v>
      </c>
      <c r="G575" s="3" t="s">
        <v>16</v>
      </c>
      <c r="H575" s="3" t="s">
        <v>17</v>
      </c>
      <c r="I575" s="20">
        <v>2</v>
      </c>
      <c r="J575" s="3" t="s">
        <v>26</v>
      </c>
      <c r="K575" s="3" t="s">
        <v>35</v>
      </c>
      <c r="L575" s="20">
        <v>52</v>
      </c>
      <c r="M575" s="3" t="s">
        <v>20</v>
      </c>
      <c r="N575" s="20" t="str" cm="1">
        <f t="array" ref="N575">_xlfn.IFS(tbl_Clean[[#This Row],[Age]]&lt;=30,"25-30",tbl_Clean[[#This Row],[Age]]&lt;=40,"31-40",tbl_Clean[[#This Row],[Age]]&lt;=50,"41-50",tbl_Clean[[#This Row],[Age]]&lt;=60,"51-60",TRUE,"61+")</f>
        <v>51-60</v>
      </c>
      <c r="O575" s="20">
        <f>_xlfn.XMATCH(tbl_Clean[[#This Row],[Age Band]],{"25-30","31-40","41-50","51-60","61+"})</f>
        <v>4</v>
      </c>
      <c r="P575" s="20" t="str" cm="1">
        <f t="array" ref="P575">_xlfn.IFS(tbl_Clean[[#This Row],[Income]]&lt;=30000,"$10k-30k",tbl_Clean[[#This Row],[Income]]&lt;=60000,"$40k-60k",tbl_Clean[[#This Row],[Income]]&lt;=90000,"$70k-90k",TRUE,"$100k+")</f>
        <v>$70k-90k</v>
      </c>
      <c r="Q575" s="20">
        <f>_xlfn.XMATCH(tbl_Clean[[#This Row],[Income Band]],{"$10k-30k","$40k-60k","$70k-90k","$100k+"})</f>
        <v>3</v>
      </c>
      <c r="R575" s="20" t="str">
        <f>IF(tbl_Clean[[#This Row],[Cars]]&lt;=1,"0-1 Cars","2+ Cars")</f>
        <v>2+ Cars</v>
      </c>
      <c r="S575" s="20">
        <f>_xlfn.XMATCH(tbl_Clean[[#This Row],[Commute Distance]],{"0-1 Miles","1-2 Miles","2-5 Miles","5-10 Miles","10+ Miles"})</f>
        <v>4</v>
      </c>
      <c r="T575" s="20">
        <f>_xlfn.XMATCH(tbl_Clean[[#This Row],[Education]],{"Partial High School","High School","Partial College","Bachelors","Graduate Degree"})</f>
        <v>1</v>
      </c>
      <c r="U575" s="20">
        <f>IF(tbl_Clean[[#This Row],[Purchased Bike]]="Yes",1,0)</f>
        <v>0</v>
      </c>
    </row>
    <row r="576" spans="1:21" x14ac:dyDescent="0.25">
      <c r="A576" s="20">
        <v>20528</v>
      </c>
      <c r="B576" s="3" t="s">
        <v>111</v>
      </c>
      <c r="C576" s="3" t="s">
        <v>113</v>
      </c>
      <c r="D576" s="19">
        <v>40000</v>
      </c>
      <c r="E576" s="20">
        <v>2</v>
      </c>
      <c r="F576" s="3" t="s">
        <v>32</v>
      </c>
      <c r="G576" s="3" t="s">
        <v>16</v>
      </c>
      <c r="H576" s="3" t="s">
        <v>17</v>
      </c>
      <c r="I576" s="20">
        <v>2</v>
      </c>
      <c r="J576" s="3" t="s">
        <v>24</v>
      </c>
      <c r="K576" s="3" t="s">
        <v>35</v>
      </c>
      <c r="L576" s="20">
        <v>55</v>
      </c>
      <c r="M576" s="3" t="s">
        <v>20</v>
      </c>
      <c r="N576" s="20" t="str" cm="1">
        <f t="array" ref="N576">_xlfn.IFS(tbl_Clean[[#This Row],[Age]]&lt;=30,"25-30",tbl_Clean[[#This Row],[Age]]&lt;=40,"31-40",tbl_Clean[[#This Row],[Age]]&lt;=50,"41-50",tbl_Clean[[#This Row],[Age]]&lt;=60,"51-60",TRUE,"61+")</f>
        <v>51-60</v>
      </c>
      <c r="O576" s="20">
        <f>_xlfn.XMATCH(tbl_Clean[[#This Row],[Age Band]],{"25-30","31-40","41-50","51-60","61+"})</f>
        <v>4</v>
      </c>
      <c r="P576" s="20" t="str" cm="1">
        <f t="array" ref="P576">_xlfn.IFS(tbl_Clean[[#This Row],[Income]]&lt;=30000,"$10k-30k",tbl_Clean[[#This Row],[Income]]&lt;=60000,"$40k-60k",tbl_Clean[[#This Row],[Income]]&lt;=90000,"$70k-90k",TRUE,"$100k+")</f>
        <v>$40k-60k</v>
      </c>
      <c r="Q576" s="20">
        <f>_xlfn.XMATCH(tbl_Clean[[#This Row],[Income Band]],{"$10k-30k","$40k-60k","$70k-90k","$100k+"})</f>
        <v>2</v>
      </c>
      <c r="R576" s="20" t="str">
        <f>IF(tbl_Clean[[#This Row],[Cars]]&lt;=1,"0-1 Cars","2+ Cars")</f>
        <v>2+ Cars</v>
      </c>
      <c r="S576" s="20">
        <f>_xlfn.XMATCH(tbl_Clean[[#This Row],[Commute Distance]],{"0-1 Miles","1-2 Miles","2-5 Miles","5-10 Miles","10+ Miles"})</f>
        <v>3</v>
      </c>
      <c r="T576" s="20">
        <f>_xlfn.XMATCH(tbl_Clean[[#This Row],[Education]],{"Partial High School","High School","Partial College","Bachelors","Graduate Degree"})</f>
        <v>1</v>
      </c>
      <c r="U576" s="20">
        <f>IF(tbl_Clean[[#This Row],[Purchased Bike]]="Yes",1,0)</f>
        <v>0</v>
      </c>
    </row>
    <row r="577" spans="1:21" x14ac:dyDescent="0.25">
      <c r="A577" s="20">
        <v>23549</v>
      </c>
      <c r="B577" s="3" t="s">
        <v>114</v>
      </c>
      <c r="C577" s="3" t="s">
        <v>113</v>
      </c>
      <c r="D577" s="19">
        <v>30000</v>
      </c>
      <c r="E577" s="20">
        <v>0</v>
      </c>
      <c r="F577" s="3" t="s">
        <v>30</v>
      </c>
      <c r="G577" s="3" t="s">
        <v>16</v>
      </c>
      <c r="H577" s="3" t="s">
        <v>17</v>
      </c>
      <c r="I577" s="20">
        <v>2</v>
      </c>
      <c r="J577" s="3" t="s">
        <v>26</v>
      </c>
      <c r="K577" s="3" t="s">
        <v>35</v>
      </c>
      <c r="L577" s="20">
        <v>30</v>
      </c>
      <c r="M577" s="3" t="s">
        <v>20</v>
      </c>
      <c r="N577" s="20" t="str" cm="1">
        <f t="array" ref="N577">_xlfn.IFS(tbl_Clean[[#This Row],[Age]]&lt;=30,"25-30",tbl_Clean[[#This Row],[Age]]&lt;=40,"31-40",tbl_Clean[[#This Row],[Age]]&lt;=50,"41-50",tbl_Clean[[#This Row],[Age]]&lt;=60,"51-60",TRUE,"61+")</f>
        <v>25-30</v>
      </c>
      <c r="O577" s="20">
        <f>_xlfn.XMATCH(tbl_Clean[[#This Row],[Age Band]],{"25-30","31-40","41-50","51-60","61+"})</f>
        <v>1</v>
      </c>
      <c r="P577" s="20" t="str" cm="1">
        <f t="array" ref="P577">_xlfn.IFS(tbl_Clean[[#This Row],[Income]]&lt;=30000,"$10k-30k",tbl_Clean[[#This Row],[Income]]&lt;=60000,"$40k-60k",tbl_Clean[[#This Row],[Income]]&lt;=90000,"$70k-90k",TRUE,"$100k+")</f>
        <v>$10k-30k</v>
      </c>
      <c r="Q577" s="20">
        <f>_xlfn.XMATCH(tbl_Clean[[#This Row],[Income Band]],{"$10k-30k","$40k-60k","$70k-90k","$100k+"})</f>
        <v>1</v>
      </c>
      <c r="R577" s="20" t="str">
        <f>IF(tbl_Clean[[#This Row],[Cars]]&lt;=1,"0-1 Cars","2+ Cars")</f>
        <v>2+ Cars</v>
      </c>
      <c r="S577" s="20">
        <f>_xlfn.XMATCH(tbl_Clean[[#This Row],[Commute Distance]],{"0-1 Miles","1-2 Miles","2-5 Miles","5-10 Miles","10+ Miles"})</f>
        <v>4</v>
      </c>
      <c r="T577" s="20">
        <f>_xlfn.XMATCH(tbl_Clean[[#This Row],[Education]],{"Partial High School","High School","Partial College","Bachelors","Graduate Degree"})</f>
        <v>2</v>
      </c>
      <c r="U577" s="20">
        <f>IF(tbl_Clean[[#This Row],[Purchased Bike]]="Yes",1,0)</f>
        <v>0</v>
      </c>
    </row>
    <row r="578" spans="1:21" x14ac:dyDescent="0.25">
      <c r="A578" s="20">
        <v>21751</v>
      </c>
      <c r="B578" s="3" t="s">
        <v>111</v>
      </c>
      <c r="C578" s="3" t="s">
        <v>113</v>
      </c>
      <c r="D578" s="19">
        <v>60000</v>
      </c>
      <c r="E578" s="20">
        <v>3</v>
      </c>
      <c r="F578" s="3" t="s">
        <v>34</v>
      </c>
      <c r="G578" s="3" t="s">
        <v>31</v>
      </c>
      <c r="H578" s="3" t="s">
        <v>17</v>
      </c>
      <c r="I578" s="20">
        <v>2</v>
      </c>
      <c r="J578" s="3" t="s">
        <v>29</v>
      </c>
      <c r="K578" s="3" t="s">
        <v>35</v>
      </c>
      <c r="L578" s="20">
        <v>63</v>
      </c>
      <c r="M578" s="3" t="s">
        <v>20</v>
      </c>
      <c r="N578" s="20" t="str" cm="1">
        <f t="array" ref="N578">_xlfn.IFS(tbl_Clean[[#This Row],[Age]]&lt;=30,"25-30",tbl_Clean[[#This Row],[Age]]&lt;=40,"31-40",tbl_Clean[[#This Row],[Age]]&lt;=50,"41-50",tbl_Clean[[#This Row],[Age]]&lt;=60,"51-60",TRUE,"61+")</f>
        <v>61+</v>
      </c>
      <c r="O578" s="20">
        <f>_xlfn.XMATCH(tbl_Clean[[#This Row],[Age Band]],{"25-30","31-40","41-50","51-60","61+"})</f>
        <v>5</v>
      </c>
      <c r="P578" s="20" t="str" cm="1">
        <f t="array" ref="P578">_xlfn.IFS(tbl_Clean[[#This Row],[Income]]&lt;=30000,"$10k-30k",tbl_Clean[[#This Row],[Income]]&lt;=60000,"$40k-60k",tbl_Clean[[#This Row],[Income]]&lt;=90000,"$70k-90k",TRUE,"$100k+")</f>
        <v>$40k-60k</v>
      </c>
      <c r="Q578" s="20">
        <f>_xlfn.XMATCH(tbl_Clean[[#This Row],[Income Band]],{"$10k-30k","$40k-60k","$70k-90k","$100k+"})</f>
        <v>2</v>
      </c>
      <c r="R578" s="20" t="str">
        <f>IF(tbl_Clean[[#This Row],[Cars]]&lt;=1,"0-1 Cars","2+ Cars")</f>
        <v>2+ Cars</v>
      </c>
      <c r="S578" s="20">
        <f>_xlfn.XMATCH(tbl_Clean[[#This Row],[Commute Distance]],{"0-1 Miles","1-2 Miles","2-5 Miles","5-10 Miles","10+ Miles"})</f>
        <v>2</v>
      </c>
      <c r="T578" s="20">
        <f>_xlfn.XMATCH(tbl_Clean[[#This Row],[Education]],{"Partial High School","High School","Partial College","Bachelors","Graduate Degree"})</f>
        <v>5</v>
      </c>
      <c r="U578" s="20">
        <f>IF(tbl_Clean[[#This Row],[Purchased Bike]]="Yes",1,0)</f>
        <v>0</v>
      </c>
    </row>
    <row r="579" spans="1:21" x14ac:dyDescent="0.25">
      <c r="A579" s="20">
        <v>21266</v>
      </c>
      <c r="B579" s="3" t="s">
        <v>114</v>
      </c>
      <c r="C579" s="3" t="s">
        <v>112</v>
      </c>
      <c r="D579" s="19">
        <v>80000</v>
      </c>
      <c r="E579" s="20">
        <v>0</v>
      </c>
      <c r="F579" s="3" t="s">
        <v>15</v>
      </c>
      <c r="G579" s="3" t="s">
        <v>31</v>
      </c>
      <c r="H579" s="3" t="s">
        <v>17</v>
      </c>
      <c r="I579" s="20">
        <v>1</v>
      </c>
      <c r="J579" s="3" t="s">
        <v>29</v>
      </c>
      <c r="K579" s="3" t="s">
        <v>35</v>
      </c>
      <c r="L579" s="20">
        <v>34</v>
      </c>
      <c r="M579" s="3" t="s">
        <v>17</v>
      </c>
      <c r="N579" s="20" t="str" cm="1">
        <f t="array" ref="N579">_xlfn.IFS(tbl_Clean[[#This Row],[Age]]&lt;=30,"25-30",tbl_Clean[[#This Row],[Age]]&lt;=40,"31-40",tbl_Clean[[#This Row],[Age]]&lt;=50,"41-50",tbl_Clean[[#This Row],[Age]]&lt;=60,"51-60",TRUE,"61+")</f>
        <v>31-40</v>
      </c>
      <c r="O579" s="20">
        <f>_xlfn.XMATCH(tbl_Clean[[#This Row],[Age Band]],{"25-30","31-40","41-50","51-60","61+"})</f>
        <v>2</v>
      </c>
      <c r="P579" s="20" t="str" cm="1">
        <f t="array" ref="P579">_xlfn.IFS(tbl_Clean[[#This Row],[Income]]&lt;=30000,"$10k-30k",tbl_Clean[[#This Row],[Income]]&lt;=60000,"$40k-60k",tbl_Clean[[#This Row],[Income]]&lt;=90000,"$70k-90k",TRUE,"$100k+")</f>
        <v>$70k-90k</v>
      </c>
      <c r="Q579" s="20">
        <f>_xlfn.XMATCH(tbl_Clean[[#This Row],[Income Band]],{"$10k-30k","$40k-60k","$70k-90k","$100k+"})</f>
        <v>3</v>
      </c>
      <c r="R579" s="20" t="str">
        <f>IF(tbl_Clean[[#This Row],[Cars]]&lt;=1,"0-1 Cars","2+ Cars")</f>
        <v>0-1 Cars</v>
      </c>
      <c r="S579" s="20">
        <f>_xlfn.XMATCH(tbl_Clean[[#This Row],[Commute Distance]],{"0-1 Miles","1-2 Miles","2-5 Miles","5-10 Miles","10+ Miles"})</f>
        <v>2</v>
      </c>
      <c r="T579" s="20">
        <f>_xlfn.XMATCH(tbl_Clean[[#This Row],[Education]],{"Partial High School","High School","Partial College","Bachelors","Graduate Degree"})</f>
        <v>4</v>
      </c>
      <c r="U579" s="20">
        <f>IF(tbl_Clean[[#This Row],[Purchased Bike]]="Yes",1,0)</f>
        <v>1</v>
      </c>
    </row>
    <row r="580" spans="1:21" x14ac:dyDescent="0.25">
      <c r="A580" s="20">
        <v>13388</v>
      </c>
      <c r="B580" s="3" t="s">
        <v>114</v>
      </c>
      <c r="C580" s="3" t="s">
        <v>113</v>
      </c>
      <c r="D580" s="19">
        <v>60000</v>
      </c>
      <c r="E580" s="20">
        <v>2</v>
      </c>
      <c r="F580" s="3" t="s">
        <v>21</v>
      </c>
      <c r="G580" s="3" t="s">
        <v>23</v>
      </c>
      <c r="H580" s="3" t="s">
        <v>17</v>
      </c>
      <c r="I580" s="20">
        <v>1</v>
      </c>
      <c r="J580" s="3" t="s">
        <v>33</v>
      </c>
      <c r="K580" s="3" t="s">
        <v>35</v>
      </c>
      <c r="L580" s="20">
        <v>56</v>
      </c>
      <c r="M580" s="3" t="s">
        <v>20</v>
      </c>
      <c r="N580" s="20" t="str" cm="1">
        <f t="array" ref="N580">_xlfn.IFS(tbl_Clean[[#This Row],[Age]]&lt;=30,"25-30",tbl_Clean[[#This Row],[Age]]&lt;=40,"31-40",tbl_Clean[[#This Row],[Age]]&lt;=50,"41-50",tbl_Clean[[#This Row],[Age]]&lt;=60,"51-60",TRUE,"61+")</f>
        <v>51-60</v>
      </c>
      <c r="O580" s="20">
        <f>_xlfn.XMATCH(tbl_Clean[[#This Row],[Age Band]],{"25-30","31-40","41-50","51-60","61+"})</f>
        <v>4</v>
      </c>
      <c r="P580" s="20" t="str" cm="1">
        <f t="array" ref="P580">_xlfn.IFS(tbl_Clean[[#This Row],[Income]]&lt;=30000,"$10k-30k",tbl_Clean[[#This Row],[Income]]&lt;=60000,"$40k-60k",tbl_Clean[[#This Row],[Income]]&lt;=90000,"$70k-90k",TRUE,"$100k+")</f>
        <v>$40k-60k</v>
      </c>
      <c r="Q580" s="20">
        <f>_xlfn.XMATCH(tbl_Clean[[#This Row],[Income Band]],{"$10k-30k","$40k-60k","$70k-90k","$100k+"})</f>
        <v>2</v>
      </c>
      <c r="R580" s="20" t="str">
        <f>IF(tbl_Clean[[#This Row],[Cars]]&lt;=1,"0-1 Cars","2+ Cars")</f>
        <v>0-1 Cars</v>
      </c>
      <c r="S580" s="20">
        <f>_xlfn.XMATCH(tbl_Clean[[#This Row],[Commute Distance]],{"0-1 Miles","1-2 Miles","2-5 Miles","5-10 Miles","10+ Miles"})</f>
        <v>5</v>
      </c>
      <c r="T580" s="20">
        <f>_xlfn.XMATCH(tbl_Clean[[#This Row],[Education]],{"Partial High School","High School","Partial College","Bachelors","Graduate Degree"})</f>
        <v>3</v>
      </c>
      <c r="U580" s="20">
        <f>IF(tbl_Clean[[#This Row],[Purchased Bike]]="Yes",1,0)</f>
        <v>0</v>
      </c>
    </row>
    <row r="581" spans="1:21" x14ac:dyDescent="0.25">
      <c r="A581" s="20">
        <v>18752</v>
      </c>
      <c r="B581" s="3" t="s">
        <v>114</v>
      </c>
      <c r="C581" s="3" t="s">
        <v>112</v>
      </c>
      <c r="D581" s="19">
        <v>40000</v>
      </c>
      <c r="E581" s="20">
        <v>0</v>
      </c>
      <c r="F581" s="3" t="s">
        <v>30</v>
      </c>
      <c r="G581" s="3" t="s">
        <v>16</v>
      </c>
      <c r="H581" s="3" t="s">
        <v>17</v>
      </c>
      <c r="I581" s="20">
        <v>1</v>
      </c>
      <c r="J581" s="3" t="s">
        <v>26</v>
      </c>
      <c r="K581" s="3" t="s">
        <v>35</v>
      </c>
      <c r="L581" s="20">
        <v>31</v>
      </c>
      <c r="M581" s="3" t="s">
        <v>20</v>
      </c>
      <c r="N581" s="20" t="str" cm="1">
        <f t="array" ref="N581">_xlfn.IFS(tbl_Clean[[#This Row],[Age]]&lt;=30,"25-30",tbl_Clean[[#This Row],[Age]]&lt;=40,"31-40",tbl_Clean[[#This Row],[Age]]&lt;=50,"41-50",tbl_Clean[[#This Row],[Age]]&lt;=60,"51-60",TRUE,"61+")</f>
        <v>31-40</v>
      </c>
      <c r="O581" s="20">
        <f>_xlfn.XMATCH(tbl_Clean[[#This Row],[Age Band]],{"25-30","31-40","41-50","51-60","61+"})</f>
        <v>2</v>
      </c>
      <c r="P581" s="20" t="str" cm="1">
        <f t="array" ref="P581">_xlfn.IFS(tbl_Clean[[#This Row],[Income]]&lt;=30000,"$10k-30k",tbl_Clean[[#This Row],[Income]]&lt;=60000,"$40k-60k",tbl_Clean[[#This Row],[Income]]&lt;=90000,"$70k-90k",TRUE,"$100k+")</f>
        <v>$40k-60k</v>
      </c>
      <c r="Q581" s="20">
        <f>_xlfn.XMATCH(tbl_Clean[[#This Row],[Income Band]],{"$10k-30k","$40k-60k","$70k-90k","$100k+"})</f>
        <v>2</v>
      </c>
      <c r="R581" s="20" t="str">
        <f>IF(tbl_Clean[[#This Row],[Cars]]&lt;=1,"0-1 Cars","2+ Cars")</f>
        <v>0-1 Cars</v>
      </c>
      <c r="S581" s="20">
        <f>_xlfn.XMATCH(tbl_Clean[[#This Row],[Commute Distance]],{"0-1 Miles","1-2 Miles","2-5 Miles","5-10 Miles","10+ Miles"})</f>
        <v>4</v>
      </c>
      <c r="T581" s="20">
        <f>_xlfn.XMATCH(tbl_Clean[[#This Row],[Education]],{"Partial High School","High School","Partial College","Bachelors","Graduate Degree"})</f>
        <v>2</v>
      </c>
      <c r="U581" s="20">
        <f>IF(tbl_Clean[[#This Row],[Purchased Bike]]="Yes",1,0)</f>
        <v>0</v>
      </c>
    </row>
    <row r="582" spans="1:21" x14ac:dyDescent="0.25">
      <c r="A582" s="20">
        <v>16917</v>
      </c>
      <c r="B582" s="3" t="s">
        <v>111</v>
      </c>
      <c r="C582" s="3" t="s">
        <v>113</v>
      </c>
      <c r="D582" s="19">
        <v>120000</v>
      </c>
      <c r="E582" s="20">
        <v>1</v>
      </c>
      <c r="F582" s="3" t="s">
        <v>15</v>
      </c>
      <c r="G582" s="3" t="s">
        <v>31</v>
      </c>
      <c r="H582" s="3" t="s">
        <v>17</v>
      </c>
      <c r="I582" s="20">
        <v>4</v>
      </c>
      <c r="J582" s="3" t="s">
        <v>18</v>
      </c>
      <c r="K582" s="3" t="s">
        <v>35</v>
      </c>
      <c r="L582" s="20">
        <v>38</v>
      </c>
      <c r="M582" s="3" t="s">
        <v>20</v>
      </c>
      <c r="N582" s="20" t="str" cm="1">
        <f t="array" ref="N582">_xlfn.IFS(tbl_Clean[[#This Row],[Age]]&lt;=30,"25-30",tbl_Clean[[#This Row],[Age]]&lt;=40,"31-40",tbl_Clean[[#This Row],[Age]]&lt;=50,"41-50",tbl_Clean[[#This Row],[Age]]&lt;=60,"51-60",TRUE,"61+")</f>
        <v>31-40</v>
      </c>
      <c r="O582" s="20">
        <f>_xlfn.XMATCH(tbl_Clean[[#This Row],[Age Band]],{"25-30","31-40","41-50","51-60","61+"})</f>
        <v>2</v>
      </c>
      <c r="P582" s="20" t="str" cm="1">
        <f t="array" ref="P582">_xlfn.IFS(tbl_Clean[[#This Row],[Income]]&lt;=30000,"$10k-30k",tbl_Clean[[#This Row],[Income]]&lt;=60000,"$40k-60k",tbl_Clean[[#This Row],[Income]]&lt;=90000,"$70k-90k",TRUE,"$100k+")</f>
        <v>$100k+</v>
      </c>
      <c r="Q582" s="20">
        <f>_xlfn.XMATCH(tbl_Clean[[#This Row],[Income Band]],{"$10k-30k","$40k-60k","$70k-90k","$100k+"})</f>
        <v>4</v>
      </c>
      <c r="R582" s="20" t="str">
        <f>IF(tbl_Clean[[#This Row],[Cars]]&lt;=1,"0-1 Cars","2+ Cars")</f>
        <v>2+ Cars</v>
      </c>
      <c r="S582" s="20">
        <f>_xlfn.XMATCH(tbl_Clean[[#This Row],[Commute Distance]],{"0-1 Miles","1-2 Miles","2-5 Miles","5-10 Miles","10+ Miles"})</f>
        <v>1</v>
      </c>
      <c r="T582" s="20">
        <f>_xlfn.XMATCH(tbl_Clean[[#This Row],[Education]],{"Partial High School","High School","Partial College","Bachelors","Graduate Degree"})</f>
        <v>4</v>
      </c>
      <c r="U582" s="20">
        <f>IF(tbl_Clean[[#This Row],[Purchased Bike]]="Yes",1,0)</f>
        <v>0</v>
      </c>
    </row>
    <row r="583" spans="1:21" x14ac:dyDescent="0.25">
      <c r="A583" s="20">
        <v>15313</v>
      </c>
      <c r="B583" s="3" t="s">
        <v>111</v>
      </c>
      <c r="C583" s="3" t="s">
        <v>113</v>
      </c>
      <c r="D583" s="19">
        <v>60000</v>
      </c>
      <c r="E583" s="20">
        <v>4</v>
      </c>
      <c r="F583" s="3" t="s">
        <v>15</v>
      </c>
      <c r="G583" s="3" t="s">
        <v>31</v>
      </c>
      <c r="H583" s="3" t="s">
        <v>17</v>
      </c>
      <c r="I583" s="20">
        <v>2</v>
      </c>
      <c r="J583" s="3" t="s">
        <v>24</v>
      </c>
      <c r="K583" s="3" t="s">
        <v>35</v>
      </c>
      <c r="L583" s="20">
        <v>59</v>
      </c>
      <c r="M583" s="3" t="s">
        <v>20</v>
      </c>
      <c r="N583" s="20" t="str" cm="1">
        <f t="array" ref="N583">_xlfn.IFS(tbl_Clean[[#This Row],[Age]]&lt;=30,"25-30",tbl_Clean[[#This Row],[Age]]&lt;=40,"31-40",tbl_Clean[[#This Row],[Age]]&lt;=50,"41-50",tbl_Clean[[#This Row],[Age]]&lt;=60,"51-60",TRUE,"61+")</f>
        <v>51-60</v>
      </c>
      <c r="O583" s="20">
        <f>_xlfn.XMATCH(tbl_Clean[[#This Row],[Age Band]],{"25-30","31-40","41-50","51-60","61+"})</f>
        <v>4</v>
      </c>
      <c r="P583" s="20" t="str" cm="1">
        <f t="array" ref="P583">_xlfn.IFS(tbl_Clean[[#This Row],[Income]]&lt;=30000,"$10k-30k",tbl_Clean[[#This Row],[Income]]&lt;=60000,"$40k-60k",tbl_Clean[[#This Row],[Income]]&lt;=90000,"$70k-90k",TRUE,"$100k+")</f>
        <v>$40k-60k</v>
      </c>
      <c r="Q583" s="20">
        <f>_xlfn.XMATCH(tbl_Clean[[#This Row],[Income Band]],{"$10k-30k","$40k-60k","$70k-90k","$100k+"})</f>
        <v>2</v>
      </c>
      <c r="R583" s="20" t="str">
        <f>IF(tbl_Clean[[#This Row],[Cars]]&lt;=1,"0-1 Cars","2+ Cars")</f>
        <v>2+ Cars</v>
      </c>
      <c r="S583" s="20">
        <f>_xlfn.XMATCH(tbl_Clean[[#This Row],[Commute Distance]],{"0-1 Miles","1-2 Miles","2-5 Miles","5-10 Miles","10+ Miles"})</f>
        <v>3</v>
      </c>
      <c r="T583" s="20">
        <f>_xlfn.XMATCH(tbl_Clean[[#This Row],[Education]],{"Partial High School","High School","Partial College","Bachelors","Graduate Degree"})</f>
        <v>4</v>
      </c>
      <c r="U583" s="20">
        <f>IF(tbl_Clean[[#This Row],[Purchased Bike]]="Yes",1,0)</f>
        <v>0</v>
      </c>
    </row>
    <row r="584" spans="1:21" x14ac:dyDescent="0.25">
      <c r="A584" s="20">
        <v>25329</v>
      </c>
      <c r="B584" s="3" t="s">
        <v>114</v>
      </c>
      <c r="C584" s="3" t="s">
        <v>112</v>
      </c>
      <c r="D584" s="19">
        <v>40000</v>
      </c>
      <c r="E584" s="20">
        <v>3</v>
      </c>
      <c r="F584" s="3" t="s">
        <v>21</v>
      </c>
      <c r="G584" s="3" t="s">
        <v>22</v>
      </c>
      <c r="H584" s="3" t="s">
        <v>20</v>
      </c>
      <c r="I584" s="20">
        <v>2</v>
      </c>
      <c r="J584" s="3" t="s">
        <v>18</v>
      </c>
      <c r="K584" s="3" t="s">
        <v>35</v>
      </c>
      <c r="L584" s="20">
        <v>32</v>
      </c>
      <c r="M584" s="3" t="s">
        <v>20</v>
      </c>
      <c r="N584" s="20" t="str" cm="1">
        <f t="array" ref="N584">_xlfn.IFS(tbl_Clean[[#This Row],[Age]]&lt;=30,"25-30",tbl_Clean[[#This Row],[Age]]&lt;=40,"31-40",tbl_Clean[[#This Row],[Age]]&lt;=50,"41-50",tbl_Clean[[#This Row],[Age]]&lt;=60,"51-60",TRUE,"61+")</f>
        <v>31-40</v>
      </c>
      <c r="O584" s="20">
        <f>_xlfn.XMATCH(tbl_Clean[[#This Row],[Age Band]],{"25-30","31-40","41-50","51-60","61+"})</f>
        <v>2</v>
      </c>
      <c r="P584" s="20" t="str" cm="1">
        <f t="array" ref="P584">_xlfn.IFS(tbl_Clean[[#This Row],[Income]]&lt;=30000,"$10k-30k",tbl_Clean[[#This Row],[Income]]&lt;=60000,"$40k-60k",tbl_Clean[[#This Row],[Income]]&lt;=90000,"$70k-90k",TRUE,"$100k+")</f>
        <v>$40k-60k</v>
      </c>
      <c r="Q584" s="20">
        <f>_xlfn.XMATCH(tbl_Clean[[#This Row],[Income Band]],{"$10k-30k","$40k-60k","$70k-90k","$100k+"})</f>
        <v>2</v>
      </c>
      <c r="R584" s="20" t="str">
        <f>IF(tbl_Clean[[#This Row],[Cars]]&lt;=1,"0-1 Cars","2+ Cars")</f>
        <v>2+ Cars</v>
      </c>
      <c r="S584" s="20">
        <f>_xlfn.XMATCH(tbl_Clean[[#This Row],[Commute Distance]],{"0-1 Miles","1-2 Miles","2-5 Miles","5-10 Miles","10+ Miles"})</f>
        <v>1</v>
      </c>
      <c r="T584" s="20">
        <f>_xlfn.XMATCH(tbl_Clean[[#This Row],[Education]],{"Partial High School","High School","Partial College","Bachelors","Graduate Degree"})</f>
        <v>3</v>
      </c>
      <c r="U584" s="20">
        <f>IF(tbl_Clean[[#This Row],[Purchased Bike]]="Yes",1,0)</f>
        <v>0</v>
      </c>
    </row>
    <row r="585" spans="1:21" x14ac:dyDescent="0.25">
      <c r="A585" s="20">
        <v>20380</v>
      </c>
      <c r="B585" s="3" t="s">
        <v>111</v>
      </c>
      <c r="C585" s="3" t="s">
        <v>112</v>
      </c>
      <c r="D585" s="19">
        <v>60000</v>
      </c>
      <c r="E585" s="20">
        <v>3</v>
      </c>
      <c r="F585" s="3" t="s">
        <v>34</v>
      </c>
      <c r="G585" s="3" t="s">
        <v>31</v>
      </c>
      <c r="H585" s="3" t="s">
        <v>17</v>
      </c>
      <c r="I585" s="20">
        <v>2</v>
      </c>
      <c r="J585" s="3" t="s">
        <v>33</v>
      </c>
      <c r="K585" s="3" t="s">
        <v>35</v>
      </c>
      <c r="L585" s="20">
        <v>69</v>
      </c>
      <c r="M585" s="3" t="s">
        <v>20</v>
      </c>
      <c r="N585" s="20" t="str" cm="1">
        <f t="array" ref="N585">_xlfn.IFS(tbl_Clean[[#This Row],[Age]]&lt;=30,"25-30",tbl_Clean[[#This Row],[Age]]&lt;=40,"31-40",tbl_Clean[[#This Row],[Age]]&lt;=50,"41-50",tbl_Clean[[#This Row],[Age]]&lt;=60,"51-60",TRUE,"61+")</f>
        <v>61+</v>
      </c>
      <c r="O585" s="20">
        <f>_xlfn.XMATCH(tbl_Clean[[#This Row],[Age Band]],{"25-30","31-40","41-50","51-60","61+"})</f>
        <v>5</v>
      </c>
      <c r="P585" s="20" t="str" cm="1">
        <f t="array" ref="P585">_xlfn.IFS(tbl_Clean[[#This Row],[Income]]&lt;=30000,"$10k-30k",tbl_Clean[[#This Row],[Income]]&lt;=60000,"$40k-60k",tbl_Clean[[#This Row],[Income]]&lt;=90000,"$70k-90k",TRUE,"$100k+")</f>
        <v>$40k-60k</v>
      </c>
      <c r="Q585" s="20">
        <f>_xlfn.XMATCH(tbl_Clean[[#This Row],[Income Band]],{"$10k-30k","$40k-60k","$70k-90k","$100k+"})</f>
        <v>2</v>
      </c>
      <c r="R585" s="20" t="str">
        <f>IF(tbl_Clean[[#This Row],[Cars]]&lt;=1,"0-1 Cars","2+ Cars")</f>
        <v>2+ Cars</v>
      </c>
      <c r="S585" s="20">
        <f>_xlfn.XMATCH(tbl_Clean[[#This Row],[Commute Distance]],{"0-1 Miles","1-2 Miles","2-5 Miles","5-10 Miles","10+ Miles"})</f>
        <v>5</v>
      </c>
      <c r="T585" s="20">
        <f>_xlfn.XMATCH(tbl_Clean[[#This Row],[Education]],{"Partial High School","High School","Partial College","Bachelors","Graduate Degree"})</f>
        <v>5</v>
      </c>
      <c r="U585" s="20">
        <f>IF(tbl_Clean[[#This Row],[Purchased Bike]]="Yes",1,0)</f>
        <v>0</v>
      </c>
    </row>
    <row r="586" spans="1:21" x14ac:dyDescent="0.25">
      <c r="A586" s="20">
        <v>23089</v>
      </c>
      <c r="B586" s="3" t="s">
        <v>111</v>
      </c>
      <c r="C586" s="3" t="s">
        <v>113</v>
      </c>
      <c r="D586" s="19">
        <v>40000</v>
      </c>
      <c r="E586" s="20">
        <v>0</v>
      </c>
      <c r="F586" s="3" t="s">
        <v>21</v>
      </c>
      <c r="G586" s="3" t="s">
        <v>16</v>
      </c>
      <c r="H586" s="3" t="s">
        <v>17</v>
      </c>
      <c r="I586" s="20">
        <v>1</v>
      </c>
      <c r="J586" s="3" t="s">
        <v>26</v>
      </c>
      <c r="K586" s="3" t="s">
        <v>35</v>
      </c>
      <c r="L586" s="20">
        <v>28</v>
      </c>
      <c r="M586" s="3" t="s">
        <v>20</v>
      </c>
      <c r="N586" s="20" t="str" cm="1">
        <f t="array" ref="N586">_xlfn.IFS(tbl_Clean[[#This Row],[Age]]&lt;=30,"25-30",tbl_Clean[[#This Row],[Age]]&lt;=40,"31-40",tbl_Clean[[#This Row],[Age]]&lt;=50,"41-50",tbl_Clean[[#This Row],[Age]]&lt;=60,"51-60",TRUE,"61+")</f>
        <v>25-30</v>
      </c>
      <c r="O586" s="20">
        <f>_xlfn.XMATCH(tbl_Clean[[#This Row],[Age Band]],{"25-30","31-40","41-50","51-60","61+"})</f>
        <v>1</v>
      </c>
      <c r="P586" s="20" t="str" cm="1">
        <f t="array" ref="P586">_xlfn.IFS(tbl_Clean[[#This Row],[Income]]&lt;=30000,"$10k-30k",tbl_Clean[[#This Row],[Income]]&lt;=60000,"$40k-60k",tbl_Clean[[#This Row],[Income]]&lt;=90000,"$70k-90k",TRUE,"$100k+")</f>
        <v>$40k-60k</v>
      </c>
      <c r="Q586" s="20">
        <f>_xlfn.XMATCH(tbl_Clean[[#This Row],[Income Band]],{"$10k-30k","$40k-60k","$70k-90k","$100k+"})</f>
        <v>2</v>
      </c>
      <c r="R586" s="20" t="str">
        <f>IF(tbl_Clean[[#This Row],[Cars]]&lt;=1,"0-1 Cars","2+ Cars")</f>
        <v>0-1 Cars</v>
      </c>
      <c r="S586" s="20">
        <f>_xlfn.XMATCH(tbl_Clean[[#This Row],[Commute Distance]],{"0-1 Miles","1-2 Miles","2-5 Miles","5-10 Miles","10+ Miles"})</f>
        <v>4</v>
      </c>
      <c r="T586" s="20">
        <f>_xlfn.XMATCH(tbl_Clean[[#This Row],[Education]],{"Partial High School","High School","Partial College","Bachelors","Graduate Degree"})</f>
        <v>3</v>
      </c>
      <c r="U586" s="20">
        <f>IF(tbl_Clean[[#This Row],[Purchased Bike]]="Yes",1,0)</f>
        <v>0</v>
      </c>
    </row>
    <row r="587" spans="1:21" x14ac:dyDescent="0.25">
      <c r="A587" s="20">
        <v>13749</v>
      </c>
      <c r="B587" s="3" t="s">
        <v>111</v>
      </c>
      <c r="C587" s="3" t="s">
        <v>113</v>
      </c>
      <c r="D587" s="19">
        <v>80000</v>
      </c>
      <c r="E587" s="20">
        <v>4</v>
      </c>
      <c r="F587" s="3" t="s">
        <v>34</v>
      </c>
      <c r="G587" s="3" t="s">
        <v>16</v>
      </c>
      <c r="H587" s="3" t="s">
        <v>17</v>
      </c>
      <c r="I587" s="20">
        <v>0</v>
      </c>
      <c r="J587" s="3" t="s">
        <v>29</v>
      </c>
      <c r="K587" s="3" t="s">
        <v>35</v>
      </c>
      <c r="L587" s="20">
        <v>47</v>
      </c>
      <c r="M587" s="3" t="s">
        <v>20</v>
      </c>
      <c r="N587" s="20" t="str" cm="1">
        <f t="array" ref="N587">_xlfn.IFS(tbl_Clean[[#This Row],[Age]]&lt;=30,"25-30",tbl_Clean[[#This Row],[Age]]&lt;=40,"31-40",tbl_Clean[[#This Row],[Age]]&lt;=50,"41-50",tbl_Clean[[#This Row],[Age]]&lt;=60,"51-60",TRUE,"61+")</f>
        <v>41-50</v>
      </c>
      <c r="O587" s="20">
        <f>_xlfn.XMATCH(tbl_Clean[[#This Row],[Age Band]],{"25-30","31-40","41-50","51-60","61+"})</f>
        <v>3</v>
      </c>
      <c r="P587" s="20" t="str" cm="1">
        <f t="array" ref="P587">_xlfn.IFS(tbl_Clean[[#This Row],[Income]]&lt;=30000,"$10k-30k",tbl_Clean[[#This Row],[Income]]&lt;=60000,"$40k-60k",tbl_Clean[[#This Row],[Income]]&lt;=90000,"$70k-90k",TRUE,"$100k+")</f>
        <v>$70k-90k</v>
      </c>
      <c r="Q587" s="20">
        <f>_xlfn.XMATCH(tbl_Clean[[#This Row],[Income Band]],{"$10k-30k","$40k-60k","$70k-90k","$100k+"})</f>
        <v>3</v>
      </c>
      <c r="R587" s="20" t="str">
        <f>IF(tbl_Clean[[#This Row],[Cars]]&lt;=1,"0-1 Cars","2+ Cars")</f>
        <v>0-1 Cars</v>
      </c>
      <c r="S587" s="20">
        <f>_xlfn.XMATCH(tbl_Clean[[#This Row],[Commute Distance]],{"0-1 Miles","1-2 Miles","2-5 Miles","5-10 Miles","10+ Miles"})</f>
        <v>2</v>
      </c>
      <c r="T587" s="20">
        <f>_xlfn.XMATCH(tbl_Clean[[#This Row],[Education]],{"Partial High School","High School","Partial College","Bachelors","Graduate Degree"})</f>
        <v>5</v>
      </c>
      <c r="U587" s="20">
        <f>IF(tbl_Clean[[#This Row],[Purchased Bike]]="Yes",1,0)</f>
        <v>0</v>
      </c>
    </row>
    <row r="588" spans="1:21" x14ac:dyDescent="0.25">
      <c r="A588" s="20">
        <v>24943</v>
      </c>
      <c r="B588" s="3" t="s">
        <v>111</v>
      </c>
      <c r="C588" s="3" t="s">
        <v>113</v>
      </c>
      <c r="D588" s="19">
        <v>60000</v>
      </c>
      <c r="E588" s="20">
        <v>3</v>
      </c>
      <c r="F588" s="3" t="s">
        <v>15</v>
      </c>
      <c r="G588" s="3" t="s">
        <v>31</v>
      </c>
      <c r="H588" s="3" t="s">
        <v>17</v>
      </c>
      <c r="I588" s="20">
        <v>2</v>
      </c>
      <c r="J588" s="3" t="s">
        <v>33</v>
      </c>
      <c r="K588" s="3" t="s">
        <v>35</v>
      </c>
      <c r="L588" s="20">
        <v>66</v>
      </c>
      <c r="M588" s="3" t="s">
        <v>20</v>
      </c>
      <c r="N588" s="20" t="str" cm="1">
        <f t="array" ref="N588">_xlfn.IFS(tbl_Clean[[#This Row],[Age]]&lt;=30,"25-30",tbl_Clean[[#This Row],[Age]]&lt;=40,"31-40",tbl_Clean[[#This Row],[Age]]&lt;=50,"41-50",tbl_Clean[[#This Row],[Age]]&lt;=60,"51-60",TRUE,"61+")</f>
        <v>61+</v>
      </c>
      <c r="O588" s="20">
        <f>_xlfn.XMATCH(tbl_Clean[[#This Row],[Age Band]],{"25-30","31-40","41-50","51-60","61+"})</f>
        <v>5</v>
      </c>
      <c r="P588" s="20" t="str" cm="1">
        <f t="array" ref="P588">_xlfn.IFS(tbl_Clean[[#This Row],[Income]]&lt;=30000,"$10k-30k",tbl_Clean[[#This Row],[Income]]&lt;=60000,"$40k-60k",tbl_Clean[[#This Row],[Income]]&lt;=90000,"$70k-90k",TRUE,"$100k+")</f>
        <v>$40k-60k</v>
      </c>
      <c r="Q588" s="20">
        <f>_xlfn.XMATCH(tbl_Clean[[#This Row],[Income Band]],{"$10k-30k","$40k-60k","$70k-90k","$100k+"})</f>
        <v>2</v>
      </c>
      <c r="R588" s="20" t="str">
        <f>IF(tbl_Clean[[#This Row],[Cars]]&lt;=1,"0-1 Cars","2+ Cars")</f>
        <v>2+ Cars</v>
      </c>
      <c r="S588" s="20">
        <f>_xlfn.XMATCH(tbl_Clean[[#This Row],[Commute Distance]],{"0-1 Miles","1-2 Miles","2-5 Miles","5-10 Miles","10+ Miles"})</f>
        <v>5</v>
      </c>
      <c r="T588" s="20">
        <f>_xlfn.XMATCH(tbl_Clean[[#This Row],[Education]],{"Partial High School","High School","Partial College","Bachelors","Graduate Degree"})</f>
        <v>4</v>
      </c>
      <c r="U588" s="20">
        <f>IF(tbl_Clean[[#This Row],[Purchased Bike]]="Yes",1,0)</f>
        <v>0</v>
      </c>
    </row>
    <row r="589" spans="1:21" x14ac:dyDescent="0.25">
      <c r="A589" s="20">
        <v>28667</v>
      </c>
      <c r="B589" s="3" t="s">
        <v>114</v>
      </c>
      <c r="C589" s="3" t="s">
        <v>113</v>
      </c>
      <c r="D589" s="19">
        <v>70000</v>
      </c>
      <c r="E589" s="20">
        <v>2</v>
      </c>
      <c r="F589" s="3" t="s">
        <v>15</v>
      </c>
      <c r="G589" s="3" t="s">
        <v>16</v>
      </c>
      <c r="H589" s="3" t="s">
        <v>20</v>
      </c>
      <c r="I589" s="20">
        <v>1</v>
      </c>
      <c r="J589" s="3" t="s">
        <v>18</v>
      </c>
      <c r="K589" s="3" t="s">
        <v>35</v>
      </c>
      <c r="L589" s="20">
        <v>37</v>
      </c>
      <c r="M589" s="3" t="s">
        <v>17</v>
      </c>
      <c r="N589" s="20" t="str" cm="1">
        <f t="array" ref="N589">_xlfn.IFS(tbl_Clean[[#This Row],[Age]]&lt;=30,"25-30",tbl_Clean[[#This Row],[Age]]&lt;=40,"31-40",tbl_Clean[[#This Row],[Age]]&lt;=50,"41-50",tbl_Clean[[#This Row],[Age]]&lt;=60,"51-60",TRUE,"61+")</f>
        <v>31-40</v>
      </c>
      <c r="O589" s="20">
        <f>_xlfn.XMATCH(tbl_Clean[[#This Row],[Age Band]],{"25-30","31-40","41-50","51-60","61+"})</f>
        <v>2</v>
      </c>
      <c r="P589" s="20" t="str" cm="1">
        <f t="array" ref="P589">_xlfn.IFS(tbl_Clean[[#This Row],[Income]]&lt;=30000,"$10k-30k",tbl_Clean[[#This Row],[Income]]&lt;=60000,"$40k-60k",tbl_Clean[[#This Row],[Income]]&lt;=90000,"$70k-90k",TRUE,"$100k+")</f>
        <v>$70k-90k</v>
      </c>
      <c r="Q589" s="20">
        <f>_xlfn.XMATCH(tbl_Clean[[#This Row],[Income Band]],{"$10k-30k","$40k-60k","$70k-90k","$100k+"})</f>
        <v>3</v>
      </c>
      <c r="R589" s="20" t="str">
        <f>IF(tbl_Clean[[#This Row],[Cars]]&lt;=1,"0-1 Cars","2+ Cars")</f>
        <v>0-1 Cars</v>
      </c>
      <c r="S589" s="20">
        <f>_xlfn.XMATCH(tbl_Clean[[#This Row],[Commute Distance]],{"0-1 Miles","1-2 Miles","2-5 Miles","5-10 Miles","10+ Miles"})</f>
        <v>1</v>
      </c>
      <c r="T589" s="20">
        <f>_xlfn.XMATCH(tbl_Clean[[#This Row],[Education]],{"Partial High School","High School","Partial College","Bachelors","Graduate Degree"})</f>
        <v>4</v>
      </c>
      <c r="U589" s="20">
        <f>IF(tbl_Clean[[#This Row],[Purchased Bike]]="Yes",1,0)</f>
        <v>1</v>
      </c>
    </row>
    <row r="590" spans="1:21" x14ac:dyDescent="0.25">
      <c r="A590" s="20">
        <v>15194</v>
      </c>
      <c r="B590" s="3" t="s">
        <v>114</v>
      </c>
      <c r="C590" s="3" t="s">
        <v>113</v>
      </c>
      <c r="D590" s="19">
        <v>120000</v>
      </c>
      <c r="E590" s="20">
        <v>2</v>
      </c>
      <c r="F590" s="3" t="s">
        <v>15</v>
      </c>
      <c r="G590" s="3" t="s">
        <v>31</v>
      </c>
      <c r="H590" s="3" t="s">
        <v>20</v>
      </c>
      <c r="I590" s="20">
        <v>3</v>
      </c>
      <c r="J590" s="3" t="s">
        <v>18</v>
      </c>
      <c r="K590" s="3" t="s">
        <v>35</v>
      </c>
      <c r="L590" s="20">
        <v>39</v>
      </c>
      <c r="M590" s="3" t="s">
        <v>17</v>
      </c>
      <c r="N590" s="20" t="str" cm="1">
        <f t="array" ref="N590">_xlfn.IFS(tbl_Clean[[#This Row],[Age]]&lt;=30,"25-30",tbl_Clean[[#This Row],[Age]]&lt;=40,"31-40",tbl_Clean[[#This Row],[Age]]&lt;=50,"41-50",tbl_Clean[[#This Row],[Age]]&lt;=60,"51-60",TRUE,"61+")</f>
        <v>31-40</v>
      </c>
      <c r="O590" s="20">
        <f>_xlfn.XMATCH(tbl_Clean[[#This Row],[Age Band]],{"25-30","31-40","41-50","51-60","61+"})</f>
        <v>2</v>
      </c>
      <c r="P590" s="20" t="str" cm="1">
        <f t="array" ref="P590">_xlfn.IFS(tbl_Clean[[#This Row],[Income]]&lt;=30000,"$10k-30k",tbl_Clean[[#This Row],[Income]]&lt;=60000,"$40k-60k",tbl_Clean[[#This Row],[Income]]&lt;=90000,"$70k-90k",TRUE,"$100k+")</f>
        <v>$100k+</v>
      </c>
      <c r="Q590" s="20">
        <f>_xlfn.XMATCH(tbl_Clean[[#This Row],[Income Band]],{"$10k-30k","$40k-60k","$70k-90k","$100k+"})</f>
        <v>4</v>
      </c>
      <c r="R590" s="20" t="str">
        <f>IF(tbl_Clean[[#This Row],[Cars]]&lt;=1,"0-1 Cars","2+ Cars")</f>
        <v>2+ Cars</v>
      </c>
      <c r="S590" s="20">
        <f>_xlfn.XMATCH(tbl_Clean[[#This Row],[Commute Distance]],{"0-1 Miles","1-2 Miles","2-5 Miles","5-10 Miles","10+ Miles"})</f>
        <v>1</v>
      </c>
      <c r="T590" s="20">
        <f>_xlfn.XMATCH(tbl_Clean[[#This Row],[Education]],{"Partial High School","High School","Partial College","Bachelors","Graduate Degree"})</f>
        <v>4</v>
      </c>
      <c r="U590" s="20">
        <f>IF(tbl_Clean[[#This Row],[Purchased Bike]]="Yes",1,0)</f>
        <v>1</v>
      </c>
    </row>
    <row r="591" spans="1:21" x14ac:dyDescent="0.25">
      <c r="A591" s="20">
        <v>17436</v>
      </c>
      <c r="B591" s="3" t="s">
        <v>111</v>
      </c>
      <c r="C591" s="3" t="s">
        <v>113</v>
      </c>
      <c r="D591" s="19">
        <v>60000</v>
      </c>
      <c r="E591" s="20">
        <v>2</v>
      </c>
      <c r="F591" s="3" t="s">
        <v>30</v>
      </c>
      <c r="G591" s="3" t="s">
        <v>23</v>
      </c>
      <c r="H591" s="3" t="s">
        <v>20</v>
      </c>
      <c r="I591" s="20">
        <v>2</v>
      </c>
      <c r="J591" s="3" t="s">
        <v>29</v>
      </c>
      <c r="K591" s="3" t="s">
        <v>35</v>
      </c>
      <c r="L591" s="20">
        <v>51</v>
      </c>
      <c r="M591" s="3" t="s">
        <v>20</v>
      </c>
      <c r="N591" s="20" t="str" cm="1">
        <f t="array" ref="N591">_xlfn.IFS(tbl_Clean[[#This Row],[Age]]&lt;=30,"25-30",tbl_Clean[[#This Row],[Age]]&lt;=40,"31-40",tbl_Clean[[#This Row],[Age]]&lt;=50,"41-50",tbl_Clean[[#This Row],[Age]]&lt;=60,"51-60",TRUE,"61+")</f>
        <v>51-60</v>
      </c>
      <c r="O591" s="20">
        <f>_xlfn.XMATCH(tbl_Clean[[#This Row],[Age Band]],{"25-30","31-40","41-50","51-60","61+"})</f>
        <v>4</v>
      </c>
      <c r="P591" s="20" t="str" cm="1">
        <f t="array" ref="P591">_xlfn.IFS(tbl_Clean[[#This Row],[Income]]&lt;=30000,"$10k-30k",tbl_Clean[[#This Row],[Income]]&lt;=60000,"$40k-60k",tbl_Clean[[#This Row],[Income]]&lt;=90000,"$70k-90k",TRUE,"$100k+")</f>
        <v>$40k-60k</v>
      </c>
      <c r="Q591" s="20">
        <f>_xlfn.XMATCH(tbl_Clean[[#This Row],[Income Band]],{"$10k-30k","$40k-60k","$70k-90k","$100k+"})</f>
        <v>2</v>
      </c>
      <c r="R591" s="20" t="str">
        <f>IF(tbl_Clean[[#This Row],[Cars]]&lt;=1,"0-1 Cars","2+ Cars")</f>
        <v>2+ Cars</v>
      </c>
      <c r="S591" s="20">
        <f>_xlfn.XMATCH(tbl_Clean[[#This Row],[Commute Distance]],{"0-1 Miles","1-2 Miles","2-5 Miles","5-10 Miles","10+ Miles"})</f>
        <v>2</v>
      </c>
      <c r="T591" s="20">
        <f>_xlfn.XMATCH(tbl_Clean[[#This Row],[Education]],{"Partial High School","High School","Partial College","Bachelors","Graduate Degree"})</f>
        <v>2</v>
      </c>
      <c r="U591" s="20">
        <f>IF(tbl_Clean[[#This Row],[Purchased Bike]]="Yes",1,0)</f>
        <v>0</v>
      </c>
    </row>
    <row r="592" spans="1:21" x14ac:dyDescent="0.25">
      <c r="A592" s="20">
        <v>18935</v>
      </c>
      <c r="B592" s="3" t="s">
        <v>111</v>
      </c>
      <c r="C592" s="3" t="s">
        <v>112</v>
      </c>
      <c r="D592" s="19">
        <v>130000</v>
      </c>
      <c r="E592" s="20">
        <v>0</v>
      </c>
      <c r="F592" s="3" t="s">
        <v>34</v>
      </c>
      <c r="G592" s="3" t="s">
        <v>31</v>
      </c>
      <c r="H592" s="3" t="s">
        <v>17</v>
      </c>
      <c r="I592" s="20">
        <v>3</v>
      </c>
      <c r="J592" s="3" t="s">
        <v>29</v>
      </c>
      <c r="K592" s="3" t="s">
        <v>35</v>
      </c>
      <c r="L592" s="20">
        <v>40</v>
      </c>
      <c r="M592" s="3" t="s">
        <v>20</v>
      </c>
      <c r="N592" s="20" t="str" cm="1">
        <f t="array" ref="N592">_xlfn.IFS(tbl_Clean[[#This Row],[Age]]&lt;=30,"25-30",tbl_Clean[[#This Row],[Age]]&lt;=40,"31-40",tbl_Clean[[#This Row],[Age]]&lt;=50,"41-50",tbl_Clean[[#This Row],[Age]]&lt;=60,"51-60",TRUE,"61+")</f>
        <v>31-40</v>
      </c>
      <c r="O592" s="20">
        <f>_xlfn.XMATCH(tbl_Clean[[#This Row],[Age Band]],{"25-30","31-40","41-50","51-60","61+"})</f>
        <v>2</v>
      </c>
      <c r="P592" s="20" t="str" cm="1">
        <f t="array" ref="P592">_xlfn.IFS(tbl_Clean[[#This Row],[Income]]&lt;=30000,"$10k-30k",tbl_Clean[[#This Row],[Income]]&lt;=60000,"$40k-60k",tbl_Clean[[#This Row],[Income]]&lt;=90000,"$70k-90k",TRUE,"$100k+")</f>
        <v>$100k+</v>
      </c>
      <c r="Q592" s="20">
        <f>_xlfn.XMATCH(tbl_Clean[[#This Row],[Income Band]],{"$10k-30k","$40k-60k","$70k-90k","$100k+"})</f>
        <v>4</v>
      </c>
      <c r="R592" s="20" t="str">
        <f>IF(tbl_Clean[[#This Row],[Cars]]&lt;=1,"0-1 Cars","2+ Cars")</f>
        <v>2+ Cars</v>
      </c>
      <c r="S592" s="20">
        <f>_xlfn.XMATCH(tbl_Clean[[#This Row],[Commute Distance]],{"0-1 Miles","1-2 Miles","2-5 Miles","5-10 Miles","10+ Miles"})</f>
        <v>2</v>
      </c>
      <c r="T592" s="20">
        <f>_xlfn.XMATCH(tbl_Clean[[#This Row],[Education]],{"Partial High School","High School","Partial College","Bachelors","Graduate Degree"})</f>
        <v>5</v>
      </c>
      <c r="U592" s="20">
        <f>IF(tbl_Clean[[#This Row],[Purchased Bike]]="Yes",1,0)</f>
        <v>0</v>
      </c>
    </row>
    <row r="593" spans="1:21" x14ac:dyDescent="0.25">
      <c r="A593" s="20">
        <v>16871</v>
      </c>
      <c r="B593" s="3" t="s">
        <v>111</v>
      </c>
      <c r="C593" s="3" t="s">
        <v>112</v>
      </c>
      <c r="D593" s="19">
        <v>90000</v>
      </c>
      <c r="E593" s="20">
        <v>2</v>
      </c>
      <c r="F593" s="3" t="s">
        <v>30</v>
      </c>
      <c r="G593" s="3" t="s">
        <v>23</v>
      </c>
      <c r="H593" s="3" t="s">
        <v>17</v>
      </c>
      <c r="I593" s="20">
        <v>1</v>
      </c>
      <c r="J593" s="3" t="s">
        <v>33</v>
      </c>
      <c r="K593" s="3" t="s">
        <v>35</v>
      </c>
      <c r="L593" s="20">
        <v>51</v>
      </c>
      <c r="M593" s="3" t="s">
        <v>17</v>
      </c>
      <c r="N593" s="20" t="str" cm="1">
        <f t="array" ref="N593">_xlfn.IFS(tbl_Clean[[#This Row],[Age]]&lt;=30,"25-30",tbl_Clean[[#This Row],[Age]]&lt;=40,"31-40",tbl_Clean[[#This Row],[Age]]&lt;=50,"41-50",tbl_Clean[[#This Row],[Age]]&lt;=60,"51-60",TRUE,"61+")</f>
        <v>51-60</v>
      </c>
      <c r="O593" s="20">
        <f>_xlfn.XMATCH(tbl_Clean[[#This Row],[Age Band]],{"25-30","31-40","41-50","51-60","61+"})</f>
        <v>4</v>
      </c>
      <c r="P593" s="20" t="str" cm="1">
        <f t="array" ref="P593">_xlfn.IFS(tbl_Clean[[#This Row],[Income]]&lt;=30000,"$10k-30k",tbl_Clean[[#This Row],[Income]]&lt;=60000,"$40k-60k",tbl_Clean[[#This Row],[Income]]&lt;=90000,"$70k-90k",TRUE,"$100k+")</f>
        <v>$70k-90k</v>
      </c>
      <c r="Q593" s="20">
        <f>_xlfn.XMATCH(tbl_Clean[[#This Row],[Income Band]],{"$10k-30k","$40k-60k","$70k-90k","$100k+"})</f>
        <v>3</v>
      </c>
      <c r="R593" s="20" t="str">
        <f>IF(tbl_Clean[[#This Row],[Cars]]&lt;=1,"0-1 Cars","2+ Cars")</f>
        <v>0-1 Cars</v>
      </c>
      <c r="S593" s="20">
        <f>_xlfn.XMATCH(tbl_Clean[[#This Row],[Commute Distance]],{"0-1 Miles","1-2 Miles","2-5 Miles","5-10 Miles","10+ Miles"})</f>
        <v>5</v>
      </c>
      <c r="T593" s="20">
        <f>_xlfn.XMATCH(tbl_Clean[[#This Row],[Education]],{"Partial High School","High School","Partial College","Bachelors","Graduate Degree"})</f>
        <v>2</v>
      </c>
      <c r="U593" s="20">
        <f>IF(tbl_Clean[[#This Row],[Purchased Bike]]="Yes",1,0)</f>
        <v>1</v>
      </c>
    </row>
    <row r="594" spans="1:21" x14ac:dyDescent="0.25">
      <c r="A594" s="20">
        <v>12100</v>
      </c>
      <c r="B594" s="3" t="s">
        <v>114</v>
      </c>
      <c r="C594" s="3" t="s">
        <v>113</v>
      </c>
      <c r="D594" s="19">
        <v>60000</v>
      </c>
      <c r="E594" s="20">
        <v>2</v>
      </c>
      <c r="F594" s="3" t="s">
        <v>15</v>
      </c>
      <c r="G594" s="3" t="s">
        <v>31</v>
      </c>
      <c r="H594" s="3" t="s">
        <v>17</v>
      </c>
      <c r="I594" s="20">
        <v>0</v>
      </c>
      <c r="J594" s="3" t="s">
        <v>33</v>
      </c>
      <c r="K594" s="3" t="s">
        <v>35</v>
      </c>
      <c r="L594" s="20">
        <v>57</v>
      </c>
      <c r="M594" s="3" t="s">
        <v>20</v>
      </c>
      <c r="N594" s="20" t="str" cm="1">
        <f t="array" ref="N594">_xlfn.IFS(tbl_Clean[[#This Row],[Age]]&lt;=30,"25-30",tbl_Clean[[#This Row],[Age]]&lt;=40,"31-40",tbl_Clean[[#This Row],[Age]]&lt;=50,"41-50",tbl_Clean[[#This Row],[Age]]&lt;=60,"51-60",TRUE,"61+")</f>
        <v>51-60</v>
      </c>
      <c r="O594" s="20">
        <f>_xlfn.XMATCH(tbl_Clean[[#This Row],[Age Band]],{"25-30","31-40","41-50","51-60","61+"})</f>
        <v>4</v>
      </c>
      <c r="P594" s="20" t="str" cm="1">
        <f t="array" ref="P594">_xlfn.IFS(tbl_Clean[[#This Row],[Income]]&lt;=30000,"$10k-30k",tbl_Clean[[#This Row],[Income]]&lt;=60000,"$40k-60k",tbl_Clean[[#This Row],[Income]]&lt;=90000,"$70k-90k",TRUE,"$100k+")</f>
        <v>$40k-60k</v>
      </c>
      <c r="Q594" s="20">
        <f>_xlfn.XMATCH(tbl_Clean[[#This Row],[Income Band]],{"$10k-30k","$40k-60k","$70k-90k","$100k+"})</f>
        <v>2</v>
      </c>
      <c r="R594" s="20" t="str">
        <f>IF(tbl_Clean[[#This Row],[Cars]]&lt;=1,"0-1 Cars","2+ Cars")</f>
        <v>0-1 Cars</v>
      </c>
      <c r="S594" s="20">
        <f>_xlfn.XMATCH(tbl_Clean[[#This Row],[Commute Distance]],{"0-1 Miles","1-2 Miles","2-5 Miles","5-10 Miles","10+ Miles"})</f>
        <v>5</v>
      </c>
      <c r="T594" s="20">
        <f>_xlfn.XMATCH(tbl_Clean[[#This Row],[Education]],{"Partial High School","High School","Partial College","Bachelors","Graduate Degree"})</f>
        <v>4</v>
      </c>
      <c r="U594" s="20">
        <f>IF(tbl_Clean[[#This Row],[Purchased Bike]]="Yes",1,0)</f>
        <v>0</v>
      </c>
    </row>
    <row r="595" spans="1:21" x14ac:dyDescent="0.25">
      <c r="A595" s="20">
        <v>23158</v>
      </c>
      <c r="B595" s="3" t="s">
        <v>111</v>
      </c>
      <c r="C595" s="3" t="s">
        <v>112</v>
      </c>
      <c r="D595" s="19">
        <v>60000</v>
      </c>
      <c r="E595" s="20">
        <v>1</v>
      </c>
      <c r="F595" s="3" t="s">
        <v>34</v>
      </c>
      <c r="G595" s="3" t="s">
        <v>23</v>
      </c>
      <c r="H595" s="3" t="s">
        <v>20</v>
      </c>
      <c r="I595" s="20">
        <v>0</v>
      </c>
      <c r="J595" s="3" t="s">
        <v>18</v>
      </c>
      <c r="K595" s="3" t="s">
        <v>35</v>
      </c>
      <c r="L595" s="20">
        <v>35</v>
      </c>
      <c r="M595" s="3" t="s">
        <v>17</v>
      </c>
      <c r="N595" s="20" t="str" cm="1">
        <f t="array" ref="N595">_xlfn.IFS(tbl_Clean[[#This Row],[Age]]&lt;=30,"25-30",tbl_Clean[[#This Row],[Age]]&lt;=40,"31-40",tbl_Clean[[#This Row],[Age]]&lt;=50,"41-50",tbl_Clean[[#This Row],[Age]]&lt;=60,"51-60",TRUE,"61+")</f>
        <v>31-40</v>
      </c>
      <c r="O595" s="20">
        <f>_xlfn.XMATCH(tbl_Clean[[#This Row],[Age Band]],{"25-30","31-40","41-50","51-60","61+"})</f>
        <v>2</v>
      </c>
      <c r="P595" s="20" t="str" cm="1">
        <f t="array" ref="P595">_xlfn.IFS(tbl_Clean[[#This Row],[Income]]&lt;=30000,"$10k-30k",tbl_Clean[[#This Row],[Income]]&lt;=60000,"$40k-60k",tbl_Clean[[#This Row],[Income]]&lt;=90000,"$70k-90k",TRUE,"$100k+")</f>
        <v>$40k-60k</v>
      </c>
      <c r="Q595" s="20">
        <f>_xlfn.XMATCH(tbl_Clean[[#This Row],[Income Band]],{"$10k-30k","$40k-60k","$70k-90k","$100k+"})</f>
        <v>2</v>
      </c>
      <c r="R595" s="20" t="str">
        <f>IF(tbl_Clean[[#This Row],[Cars]]&lt;=1,"0-1 Cars","2+ Cars")</f>
        <v>0-1 Cars</v>
      </c>
      <c r="S595" s="20">
        <f>_xlfn.XMATCH(tbl_Clean[[#This Row],[Commute Distance]],{"0-1 Miles","1-2 Miles","2-5 Miles","5-10 Miles","10+ Miles"})</f>
        <v>1</v>
      </c>
      <c r="T595" s="20">
        <f>_xlfn.XMATCH(tbl_Clean[[#This Row],[Education]],{"Partial High School","High School","Partial College","Bachelors","Graduate Degree"})</f>
        <v>5</v>
      </c>
      <c r="U595" s="20">
        <f>IF(tbl_Clean[[#This Row],[Purchased Bike]]="Yes",1,0)</f>
        <v>1</v>
      </c>
    </row>
    <row r="596" spans="1:21" x14ac:dyDescent="0.25">
      <c r="A596" s="20">
        <v>18545</v>
      </c>
      <c r="B596" s="3" t="s">
        <v>111</v>
      </c>
      <c r="C596" s="3" t="s">
        <v>113</v>
      </c>
      <c r="D596" s="19">
        <v>40000</v>
      </c>
      <c r="E596" s="20">
        <v>4</v>
      </c>
      <c r="F596" s="3" t="s">
        <v>30</v>
      </c>
      <c r="G596" s="3" t="s">
        <v>23</v>
      </c>
      <c r="H596" s="3" t="s">
        <v>20</v>
      </c>
      <c r="I596" s="20">
        <v>2</v>
      </c>
      <c r="J596" s="3" t="s">
        <v>33</v>
      </c>
      <c r="K596" s="3" t="s">
        <v>35</v>
      </c>
      <c r="L596" s="20">
        <v>61</v>
      </c>
      <c r="M596" s="3" t="s">
        <v>17</v>
      </c>
      <c r="N596" s="20" t="str" cm="1">
        <f t="array" ref="N596">_xlfn.IFS(tbl_Clean[[#This Row],[Age]]&lt;=30,"25-30",tbl_Clean[[#This Row],[Age]]&lt;=40,"31-40",tbl_Clean[[#This Row],[Age]]&lt;=50,"41-50",tbl_Clean[[#This Row],[Age]]&lt;=60,"51-60",TRUE,"61+")</f>
        <v>61+</v>
      </c>
      <c r="O596" s="20">
        <f>_xlfn.XMATCH(tbl_Clean[[#This Row],[Age Band]],{"25-30","31-40","41-50","51-60","61+"})</f>
        <v>5</v>
      </c>
      <c r="P596" s="20" t="str" cm="1">
        <f t="array" ref="P596">_xlfn.IFS(tbl_Clean[[#This Row],[Income]]&lt;=30000,"$10k-30k",tbl_Clean[[#This Row],[Income]]&lt;=60000,"$40k-60k",tbl_Clean[[#This Row],[Income]]&lt;=90000,"$70k-90k",TRUE,"$100k+")</f>
        <v>$40k-60k</v>
      </c>
      <c r="Q596" s="20">
        <f>_xlfn.XMATCH(tbl_Clean[[#This Row],[Income Band]],{"$10k-30k","$40k-60k","$70k-90k","$100k+"})</f>
        <v>2</v>
      </c>
      <c r="R596" s="20" t="str">
        <f>IF(tbl_Clean[[#This Row],[Cars]]&lt;=1,"0-1 Cars","2+ Cars")</f>
        <v>2+ Cars</v>
      </c>
      <c r="S596" s="20">
        <f>_xlfn.XMATCH(tbl_Clean[[#This Row],[Commute Distance]],{"0-1 Miles","1-2 Miles","2-5 Miles","5-10 Miles","10+ Miles"})</f>
        <v>5</v>
      </c>
      <c r="T596" s="20">
        <f>_xlfn.XMATCH(tbl_Clean[[#This Row],[Education]],{"Partial High School","High School","Partial College","Bachelors","Graduate Degree"})</f>
        <v>2</v>
      </c>
      <c r="U596" s="20">
        <f>IF(tbl_Clean[[#This Row],[Purchased Bike]]="Yes",1,0)</f>
        <v>1</v>
      </c>
    </row>
    <row r="597" spans="1:21" x14ac:dyDescent="0.25">
      <c r="A597" s="20">
        <v>18391</v>
      </c>
      <c r="B597" s="3" t="s">
        <v>114</v>
      </c>
      <c r="C597" s="3" t="s">
        <v>112</v>
      </c>
      <c r="D597" s="19">
        <v>80000</v>
      </c>
      <c r="E597" s="20">
        <v>5</v>
      </c>
      <c r="F597" s="3" t="s">
        <v>21</v>
      </c>
      <c r="G597" s="3" t="s">
        <v>23</v>
      </c>
      <c r="H597" s="3" t="s">
        <v>17</v>
      </c>
      <c r="I597" s="20">
        <v>2</v>
      </c>
      <c r="J597" s="3" t="s">
        <v>26</v>
      </c>
      <c r="K597" s="3" t="s">
        <v>35</v>
      </c>
      <c r="L597" s="20">
        <v>44</v>
      </c>
      <c r="M597" s="3" t="s">
        <v>20</v>
      </c>
      <c r="N597" s="20" t="str" cm="1">
        <f t="array" ref="N597">_xlfn.IFS(tbl_Clean[[#This Row],[Age]]&lt;=30,"25-30",tbl_Clean[[#This Row],[Age]]&lt;=40,"31-40",tbl_Clean[[#This Row],[Age]]&lt;=50,"41-50",tbl_Clean[[#This Row],[Age]]&lt;=60,"51-60",TRUE,"61+")</f>
        <v>41-50</v>
      </c>
      <c r="O597" s="20">
        <f>_xlfn.XMATCH(tbl_Clean[[#This Row],[Age Band]],{"25-30","31-40","41-50","51-60","61+"})</f>
        <v>3</v>
      </c>
      <c r="P597" s="20" t="str" cm="1">
        <f t="array" ref="P597">_xlfn.IFS(tbl_Clean[[#This Row],[Income]]&lt;=30000,"$10k-30k",tbl_Clean[[#This Row],[Income]]&lt;=60000,"$40k-60k",tbl_Clean[[#This Row],[Income]]&lt;=90000,"$70k-90k",TRUE,"$100k+")</f>
        <v>$70k-90k</v>
      </c>
      <c r="Q597" s="20">
        <f>_xlfn.XMATCH(tbl_Clean[[#This Row],[Income Band]],{"$10k-30k","$40k-60k","$70k-90k","$100k+"})</f>
        <v>3</v>
      </c>
      <c r="R597" s="20" t="str">
        <f>IF(tbl_Clean[[#This Row],[Cars]]&lt;=1,"0-1 Cars","2+ Cars")</f>
        <v>2+ Cars</v>
      </c>
      <c r="S597" s="20">
        <f>_xlfn.XMATCH(tbl_Clean[[#This Row],[Commute Distance]],{"0-1 Miles","1-2 Miles","2-5 Miles","5-10 Miles","10+ Miles"})</f>
        <v>4</v>
      </c>
      <c r="T597" s="20">
        <f>_xlfn.XMATCH(tbl_Clean[[#This Row],[Education]],{"Partial High School","High School","Partial College","Bachelors","Graduate Degree"})</f>
        <v>3</v>
      </c>
      <c r="U597" s="20">
        <f>IF(tbl_Clean[[#This Row],[Purchased Bike]]="Yes",1,0)</f>
        <v>0</v>
      </c>
    </row>
    <row r="598" spans="1:21" x14ac:dyDescent="0.25">
      <c r="A598" s="20">
        <v>19812</v>
      </c>
      <c r="B598" s="3" t="s">
        <v>114</v>
      </c>
      <c r="C598" s="3" t="s">
        <v>112</v>
      </c>
      <c r="D598" s="19">
        <v>70000</v>
      </c>
      <c r="E598" s="20">
        <v>2</v>
      </c>
      <c r="F598" s="3" t="s">
        <v>21</v>
      </c>
      <c r="G598" s="3" t="s">
        <v>23</v>
      </c>
      <c r="H598" s="3" t="s">
        <v>17</v>
      </c>
      <c r="I598" s="20">
        <v>0</v>
      </c>
      <c r="J598" s="3" t="s">
        <v>26</v>
      </c>
      <c r="K598" s="3" t="s">
        <v>35</v>
      </c>
      <c r="L598" s="20">
        <v>49</v>
      </c>
      <c r="M598" s="3" t="s">
        <v>17</v>
      </c>
      <c r="N598" s="20" t="str" cm="1">
        <f t="array" ref="N598">_xlfn.IFS(tbl_Clean[[#This Row],[Age]]&lt;=30,"25-30",tbl_Clean[[#This Row],[Age]]&lt;=40,"31-40",tbl_Clean[[#This Row],[Age]]&lt;=50,"41-50",tbl_Clean[[#This Row],[Age]]&lt;=60,"51-60",TRUE,"61+")</f>
        <v>41-50</v>
      </c>
      <c r="O598" s="20">
        <f>_xlfn.XMATCH(tbl_Clean[[#This Row],[Age Band]],{"25-30","31-40","41-50","51-60","61+"})</f>
        <v>3</v>
      </c>
      <c r="P598" s="20" t="str" cm="1">
        <f t="array" ref="P598">_xlfn.IFS(tbl_Clean[[#This Row],[Income]]&lt;=30000,"$10k-30k",tbl_Clean[[#This Row],[Income]]&lt;=60000,"$40k-60k",tbl_Clean[[#This Row],[Income]]&lt;=90000,"$70k-90k",TRUE,"$100k+")</f>
        <v>$70k-90k</v>
      </c>
      <c r="Q598" s="20">
        <f>_xlfn.XMATCH(tbl_Clean[[#This Row],[Income Band]],{"$10k-30k","$40k-60k","$70k-90k","$100k+"})</f>
        <v>3</v>
      </c>
      <c r="R598" s="20" t="str">
        <f>IF(tbl_Clean[[#This Row],[Cars]]&lt;=1,"0-1 Cars","2+ Cars")</f>
        <v>0-1 Cars</v>
      </c>
      <c r="S598" s="20">
        <f>_xlfn.XMATCH(tbl_Clean[[#This Row],[Commute Distance]],{"0-1 Miles","1-2 Miles","2-5 Miles","5-10 Miles","10+ Miles"})</f>
        <v>4</v>
      </c>
      <c r="T598" s="20">
        <f>_xlfn.XMATCH(tbl_Clean[[#This Row],[Education]],{"Partial High School","High School","Partial College","Bachelors","Graduate Degree"})</f>
        <v>3</v>
      </c>
      <c r="U598" s="20">
        <f>IF(tbl_Clean[[#This Row],[Purchased Bike]]="Yes",1,0)</f>
        <v>1</v>
      </c>
    </row>
    <row r="599" spans="1:21" x14ac:dyDescent="0.25">
      <c r="A599" s="20">
        <v>27660</v>
      </c>
      <c r="B599" s="3" t="s">
        <v>111</v>
      </c>
      <c r="C599" s="3" t="s">
        <v>113</v>
      </c>
      <c r="D599" s="19">
        <v>80000</v>
      </c>
      <c r="E599" s="20">
        <v>4</v>
      </c>
      <c r="F599" s="3" t="s">
        <v>34</v>
      </c>
      <c r="G599" s="3" t="s">
        <v>31</v>
      </c>
      <c r="H599" s="3" t="s">
        <v>17</v>
      </c>
      <c r="I599" s="20">
        <v>2</v>
      </c>
      <c r="J599" s="3" t="s">
        <v>26</v>
      </c>
      <c r="K599" s="3" t="s">
        <v>35</v>
      </c>
      <c r="L599" s="20">
        <v>70</v>
      </c>
      <c r="M599" s="3" t="s">
        <v>20</v>
      </c>
      <c r="N599" s="20" t="str" cm="1">
        <f t="array" ref="N599">_xlfn.IFS(tbl_Clean[[#This Row],[Age]]&lt;=30,"25-30",tbl_Clean[[#This Row],[Age]]&lt;=40,"31-40",tbl_Clean[[#This Row],[Age]]&lt;=50,"41-50",tbl_Clean[[#This Row],[Age]]&lt;=60,"51-60",TRUE,"61+")</f>
        <v>61+</v>
      </c>
      <c r="O599" s="20">
        <f>_xlfn.XMATCH(tbl_Clean[[#This Row],[Age Band]],{"25-30","31-40","41-50","51-60","61+"})</f>
        <v>5</v>
      </c>
      <c r="P599" s="20" t="str" cm="1">
        <f t="array" ref="P599">_xlfn.IFS(tbl_Clean[[#This Row],[Income]]&lt;=30000,"$10k-30k",tbl_Clean[[#This Row],[Income]]&lt;=60000,"$40k-60k",tbl_Clean[[#This Row],[Income]]&lt;=90000,"$70k-90k",TRUE,"$100k+")</f>
        <v>$70k-90k</v>
      </c>
      <c r="Q599" s="20">
        <f>_xlfn.XMATCH(tbl_Clean[[#This Row],[Income Band]],{"$10k-30k","$40k-60k","$70k-90k","$100k+"})</f>
        <v>3</v>
      </c>
      <c r="R599" s="20" t="str">
        <f>IF(tbl_Clean[[#This Row],[Cars]]&lt;=1,"0-1 Cars","2+ Cars")</f>
        <v>2+ Cars</v>
      </c>
      <c r="S599" s="20">
        <f>_xlfn.XMATCH(tbl_Clean[[#This Row],[Commute Distance]],{"0-1 Miles","1-2 Miles","2-5 Miles","5-10 Miles","10+ Miles"})</f>
        <v>4</v>
      </c>
      <c r="T599" s="20">
        <f>_xlfn.XMATCH(tbl_Clean[[#This Row],[Education]],{"Partial High School","High School","Partial College","Bachelors","Graduate Degree"})</f>
        <v>5</v>
      </c>
      <c r="U599" s="20">
        <f>IF(tbl_Clean[[#This Row],[Purchased Bike]]="Yes",1,0)</f>
        <v>0</v>
      </c>
    </row>
    <row r="600" spans="1:21" x14ac:dyDescent="0.25">
      <c r="A600" s="20">
        <v>18058</v>
      </c>
      <c r="B600" s="3" t="s">
        <v>114</v>
      </c>
      <c r="C600" s="3" t="s">
        <v>112</v>
      </c>
      <c r="D600" s="19">
        <v>20000</v>
      </c>
      <c r="E600" s="20">
        <v>3</v>
      </c>
      <c r="F600" s="3" t="s">
        <v>30</v>
      </c>
      <c r="G600" s="3" t="s">
        <v>16</v>
      </c>
      <c r="H600" s="3" t="s">
        <v>17</v>
      </c>
      <c r="I600" s="20">
        <v>2</v>
      </c>
      <c r="J600" s="3" t="s">
        <v>24</v>
      </c>
      <c r="K600" s="3" t="s">
        <v>35</v>
      </c>
      <c r="L600" s="20">
        <v>78</v>
      </c>
      <c r="M600" s="3" t="s">
        <v>20</v>
      </c>
      <c r="N600" s="20" t="str" cm="1">
        <f t="array" ref="N600">_xlfn.IFS(tbl_Clean[[#This Row],[Age]]&lt;=30,"25-30",tbl_Clean[[#This Row],[Age]]&lt;=40,"31-40",tbl_Clean[[#This Row],[Age]]&lt;=50,"41-50",tbl_Clean[[#This Row],[Age]]&lt;=60,"51-60",TRUE,"61+")</f>
        <v>61+</v>
      </c>
      <c r="O600" s="20">
        <f>_xlfn.XMATCH(tbl_Clean[[#This Row],[Age Band]],{"25-30","31-40","41-50","51-60","61+"})</f>
        <v>5</v>
      </c>
      <c r="P600" s="20" t="str" cm="1">
        <f t="array" ref="P600">_xlfn.IFS(tbl_Clean[[#This Row],[Income]]&lt;=30000,"$10k-30k",tbl_Clean[[#This Row],[Income]]&lt;=60000,"$40k-60k",tbl_Clean[[#This Row],[Income]]&lt;=90000,"$70k-90k",TRUE,"$100k+")</f>
        <v>$10k-30k</v>
      </c>
      <c r="Q600" s="20">
        <f>_xlfn.XMATCH(tbl_Clean[[#This Row],[Income Band]],{"$10k-30k","$40k-60k","$70k-90k","$100k+"})</f>
        <v>1</v>
      </c>
      <c r="R600" s="20" t="str">
        <f>IF(tbl_Clean[[#This Row],[Cars]]&lt;=1,"0-1 Cars","2+ Cars")</f>
        <v>2+ Cars</v>
      </c>
      <c r="S600" s="20">
        <f>_xlfn.XMATCH(tbl_Clean[[#This Row],[Commute Distance]],{"0-1 Miles","1-2 Miles","2-5 Miles","5-10 Miles","10+ Miles"})</f>
        <v>3</v>
      </c>
      <c r="T600" s="20">
        <f>_xlfn.XMATCH(tbl_Clean[[#This Row],[Education]],{"Partial High School","High School","Partial College","Bachelors","Graduate Degree"})</f>
        <v>2</v>
      </c>
      <c r="U600" s="20">
        <f>IF(tbl_Clean[[#This Row],[Purchased Bike]]="Yes",1,0)</f>
        <v>0</v>
      </c>
    </row>
    <row r="601" spans="1:21" x14ac:dyDescent="0.25">
      <c r="A601" s="20">
        <v>20343</v>
      </c>
      <c r="B601" s="3" t="s">
        <v>111</v>
      </c>
      <c r="C601" s="3" t="s">
        <v>112</v>
      </c>
      <c r="D601" s="19">
        <v>90000</v>
      </c>
      <c r="E601" s="20">
        <v>4</v>
      </c>
      <c r="F601" s="3" t="s">
        <v>21</v>
      </c>
      <c r="G601" s="3" t="s">
        <v>23</v>
      </c>
      <c r="H601" s="3" t="s">
        <v>17</v>
      </c>
      <c r="I601" s="20">
        <v>1</v>
      </c>
      <c r="J601" s="3" t="s">
        <v>29</v>
      </c>
      <c r="K601" s="3" t="s">
        <v>35</v>
      </c>
      <c r="L601" s="20">
        <v>45</v>
      </c>
      <c r="M601" s="3" t="s">
        <v>20</v>
      </c>
      <c r="N601" s="20" t="str" cm="1">
        <f t="array" ref="N601">_xlfn.IFS(tbl_Clean[[#This Row],[Age]]&lt;=30,"25-30",tbl_Clean[[#This Row],[Age]]&lt;=40,"31-40",tbl_Clean[[#This Row],[Age]]&lt;=50,"41-50",tbl_Clean[[#This Row],[Age]]&lt;=60,"51-60",TRUE,"61+")</f>
        <v>41-50</v>
      </c>
      <c r="O601" s="20">
        <f>_xlfn.XMATCH(tbl_Clean[[#This Row],[Age Band]],{"25-30","31-40","41-50","51-60","61+"})</f>
        <v>3</v>
      </c>
      <c r="P601" s="20" t="str" cm="1">
        <f t="array" ref="P601">_xlfn.IFS(tbl_Clean[[#This Row],[Income]]&lt;=30000,"$10k-30k",tbl_Clean[[#This Row],[Income]]&lt;=60000,"$40k-60k",tbl_Clean[[#This Row],[Income]]&lt;=90000,"$70k-90k",TRUE,"$100k+")</f>
        <v>$70k-90k</v>
      </c>
      <c r="Q601" s="20">
        <f>_xlfn.XMATCH(tbl_Clean[[#This Row],[Income Band]],{"$10k-30k","$40k-60k","$70k-90k","$100k+"})</f>
        <v>3</v>
      </c>
      <c r="R601" s="20" t="str">
        <f>IF(tbl_Clean[[#This Row],[Cars]]&lt;=1,"0-1 Cars","2+ Cars")</f>
        <v>0-1 Cars</v>
      </c>
      <c r="S601" s="20">
        <f>_xlfn.XMATCH(tbl_Clean[[#This Row],[Commute Distance]],{"0-1 Miles","1-2 Miles","2-5 Miles","5-10 Miles","10+ Miles"})</f>
        <v>2</v>
      </c>
      <c r="T601" s="20">
        <f>_xlfn.XMATCH(tbl_Clean[[#This Row],[Education]],{"Partial High School","High School","Partial College","Bachelors","Graduate Degree"})</f>
        <v>3</v>
      </c>
      <c r="U601" s="20">
        <f>IF(tbl_Clean[[#This Row],[Purchased Bike]]="Yes",1,0)</f>
        <v>0</v>
      </c>
    </row>
    <row r="602" spans="1:21" x14ac:dyDescent="0.25">
      <c r="A602" s="20">
        <v>28997</v>
      </c>
      <c r="B602" s="3" t="s">
        <v>114</v>
      </c>
      <c r="C602" s="3" t="s">
        <v>113</v>
      </c>
      <c r="D602" s="19">
        <v>40000</v>
      </c>
      <c r="E602" s="20">
        <v>2</v>
      </c>
      <c r="F602" s="3" t="s">
        <v>30</v>
      </c>
      <c r="G602" s="3" t="s">
        <v>23</v>
      </c>
      <c r="H602" s="3" t="s">
        <v>20</v>
      </c>
      <c r="I602" s="20">
        <v>1</v>
      </c>
      <c r="J602" s="3" t="s">
        <v>24</v>
      </c>
      <c r="K602" s="3" t="s">
        <v>35</v>
      </c>
      <c r="L602" s="20">
        <v>58</v>
      </c>
      <c r="M602" s="3" t="s">
        <v>17</v>
      </c>
      <c r="N602" s="20" t="str" cm="1">
        <f t="array" ref="N602">_xlfn.IFS(tbl_Clean[[#This Row],[Age]]&lt;=30,"25-30",tbl_Clean[[#This Row],[Age]]&lt;=40,"31-40",tbl_Clean[[#This Row],[Age]]&lt;=50,"41-50",tbl_Clean[[#This Row],[Age]]&lt;=60,"51-60",TRUE,"61+")</f>
        <v>51-60</v>
      </c>
      <c r="O602" s="20">
        <f>_xlfn.XMATCH(tbl_Clean[[#This Row],[Age Band]],{"25-30","31-40","41-50","51-60","61+"})</f>
        <v>4</v>
      </c>
      <c r="P602" s="20" t="str" cm="1">
        <f t="array" ref="P602">_xlfn.IFS(tbl_Clean[[#This Row],[Income]]&lt;=30000,"$10k-30k",tbl_Clean[[#This Row],[Income]]&lt;=60000,"$40k-60k",tbl_Clean[[#This Row],[Income]]&lt;=90000,"$70k-90k",TRUE,"$100k+")</f>
        <v>$40k-60k</v>
      </c>
      <c r="Q602" s="20">
        <f>_xlfn.XMATCH(tbl_Clean[[#This Row],[Income Band]],{"$10k-30k","$40k-60k","$70k-90k","$100k+"})</f>
        <v>2</v>
      </c>
      <c r="R602" s="20" t="str">
        <f>IF(tbl_Clean[[#This Row],[Cars]]&lt;=1,"0-1 Cars","2+ Cars")</f>
        <v>0-1 Cars</v>
      </c>
      <c r="S602" s="20">
        <f>_xlfn.XMATCH(tbl_Clean[[#This Row],[Commute Distance]],{"0-1 Miles","1-2 Miles","2-5 Miles","5-10 Miles","10+ Miles"})</f>
        <v>3</v>
      </c>
      <c r="T602" s="20">
        <f>_xlfn.XMATCH(tbl_Clean[[#This Row],[Education]],{"Partial High School","High School","Partial College","Bachelors","Graduate Degree"})</f>
        <v>2</v>
      </c>
      <c r="U602" s="20">
        <f>IF(tbl_Clean[[#This Row],[Purchased Bike]]="Yes",1,0)</f>
        <v>1</v>
      </c>
    </row>
    <row r="603" spans="1:21" x14ac:dyDescent="0.25">
      <c r="A603" s="20">
        <v>24398</v>
      </c>
      <c r="B603" s="3" t="s">
        <v>111</v>
      </c>
      <c r="C603" s="3" t="s">
        <v>113</v>
      </c>
      <c r="D603" s="19">
        <v>130000</v>
      </c>
      <c r="E603" s="20">
        <v>1</v>
      </c>
      <c r="F603" s="3" t="s">
        <v>34</v>
      </c>
      <c r="G603" s="3" t="s">
        <v>31</v>
      </c>
      <c r="H603" s="3" t="s">
        <v>17</v>
      </c>
      <c r="I603" s="20">
        <v>4</v>
      </c>
      <c r="J603" s="3" t="s">
        <v>18</v>
      </c>
      <c r="K603" s="3" t="s">
        <v>35</v>
      </c>
      <c r="L603" s="20">
        <v>41</v>
      </c>
      <c r="M603" s="3" t="s">
        <v>20</v>
      </c>
      <c r="N603" s="20" t="str" cm="1">
        <f t="array" ref="N603">_xlfn.IFS(tbl_Clean[[#This Row],[Age]]&lt;=30,"25-30",tbl_Clean[[#This Row],[Age]]&lt;=40,"31-40",tbl_Clean[[#This Row],[Age]]&lt;=50,"41-50",tbl_Clean[[#This Row],[Age]]&lt;=60,"51-60",TRUE,"61+")</f>
        <v>41-50</v>
      </c>
      <c r="O603" s="20">
        <f>_xlfn.XMATCH(tbl_Clean[[#This Row],[Age Band]],{"25-30","31-40","41-50","51-60","61+"})</f>
        <v>3</v>
      </c>
      <c r="P603" s="20" t="str" cm="1">
        <f t="array" ref="P603">_xlfn.IFS(tbl_Clean[[#This Row],[Income]]&lt;=30000,"$10k-30k",tbl_Clean[[#This Row],[Income]]&lt;=60000,"$40k-60k",tbl_Clean[[#This Row],[Income]]&lt;=90000,"$70k-90k",TRUE,"$100k+")</f>
        <v>$100k+</v>
      </c>
      <c r="Q603" s="20">
        <f>_xlfn.XMATCH(tbl_Clean[[#This Row],[Income Band]],{"$10k-30k","$40k-60k","$70k-90k","$100k+"})</f>
        <v>4</v>
      </c>
      <c r="R603" s="20" t="str">
        <f>IF(tbl_Clean[[#This Row],[Cars]]&lt;=1,"0-1 Cars","2+ Cars")</f>
        <v>2+ Cars</v>
      </c>
      <c r="S603" s="20">
        <f>_xlfn.XMATCH(tbl_Clean[[#This Row],[Commute Distance]],{"0-1 Miles","1-2 Miles","2-5 Miles","5-10 Miles","10+ Miles"})</f>
        <v>1</v>
      </c>
      <c r="T603" s="20">
        <f>_xlfn.XMATCH(tbl_Clean[[#This Row],[Education]],{"Partial High School","High School","Partial College","Bachelors","Graduate Degree"})</f>
        <v>5</v>
      </c>
      <c r="U603" s="20">
        <f>IF(tbl_Clean[[#This Row],[Purchased Bike]]="Yes",1,0)</f>
        <v>0</v>
      </c>
    </row>
    <row r="604" spans="1:21" x14ac:dyDescent="0.25">
      <c r="A604" s="20">
        <v>19002</v>
      </c>
      <c r="B604" s="3" t="s">
        <v>111</v>
      </c>
      <c r="C604" s="3" t="s">
        <v>112</v>
      </c>
      <c r="D604" s="19">
        <v>60000</v>
      </c>
      <c r="E604" s="20">
        <v>2</v>
      </c>
      <c r="F604" s="3" t="s">
        <v>21</v>
      </c>
      <c r="G604" s="3" t="s">
        <v>23</v>
      </c>
      <c r="H604" s="3" t="s">
        <v>17</v>
      </c>
      <c r="I604" s="20">
        <v>1</v>
      </c>
      <c r="J604" s="3" t="s">
        <v>24</v>
      </c>
      <c r="K604" s="3" t="s">
        <v>35</v>
      </c>
      <c r="L604" s="20">
        <v>57</v>
      </c>
      <c r="M604" s="3" t="s">
        <v>17</v>
      </c>
      <c r="N604" s="20" t="str" cm="1">
        <f t="array" ref="N604">_xlfn.IFS(tbl_Clean[[#This Row],[Age]]&lt;=30,"25-30",tbl_Clean[[#This Row],[Age]]&lt;=40,"31-40",tbl_Clean[[#This Row],[Age]]&lt;=50,"41-50",tbl_Clean[[#This Row],[Age]]&lt;=60,"51-60",TRUE,"61+")</f>
        <v>51-60</v>
      </c>
      <c r="O604" s="20">
        <f>_xlfn.XMATCH(tbl_Clean[[#This Row],[Age Band]],{"25-30","31-40","41-50","51-60","61+"})</f>
        <v>4</v>
      </c>
      <c r="P604" s="20" t="str" cm="1">
        <f t="array" ref="P604">_xlfn.IFS(tbl_Clean[[#This Row],[Income]]&lt;=30000,"$10k-30k",tbl_Clean[[#This Row],[Income]]&lt;=60000,"$40k-60k",tbl_Clean[[#This Row],[Income]]&lt;=90000,"$70k-90k",TRUE,"$100k+")</f>
        <v>$40k-60k</v>
      </c>
      <c r="Q604" s="20">
        <f>_xlfn.XMATCH(tbl_Clean[[#This Row],[Income Band]],{"$10k-30k","$40k-60k","$70k-90k","$100k+"})</f>
        <v>2</v>
      </c>
      <c r="R604" s="20" t="str">
        <f>IF(tbl_Clean[[#This Row],[Cars]]&lt;=1,"0-1 Cars","2+ Cars")</f>
        <v>0-1 Cars</v>
      </c>
      <c r="S604" s="20">
        <f>_xlfn.XMATCH(tbl_Clean[[#This Row],[Commute Distance]],{"0-1 Miles","1-2 Miles","2-5 Miles","5-10 Miles","10+ Miles"})</f>
        <v>3</v>
      </c>
      <c r="T604" s="20">
        <f>_xlfn.XMATCH(tbl_Clean[[#This Row],[Education]],{"Partial High School","High School","Partial College","Bachelors","Graduate Degree"})</f>
        <v>3</v>
      </c>
      <c r="U604" s="20">
        <f>IF(tbl_Clean[[#This Row],[Purchased Bike]]="Yes",1,0)</f>
        <v>1</v>
      </c>
    </row>
    <row r="605" spans="1:21" x14ac:dyDescent="0.25">
      <c r="A605" s="20">
        <v>28609</v>
      </c>
      <c r="B605" s="3" t="s">
        <v>111</v>
      </c>
      <c r="C605" s="3" t="s">
        <v>113</v>
      </c>
      <c r="D605" s="19">
        <v>30000</v>
      </c>
      <c r="E605" s="20">
        <v>2</v>
      </c>
      <c r="F605" s="3" t="s">
        <v>30</v>
      </c>
      <c r="G605" s="3" t="s">
        <v>16</v>
      </c>
      <c r="H605" s="3" t="s">
        <v>20</v>
      </c>
      <c r="I605" s="20">
        <v>2</v>
      </c>
      <c r="J605" s="3" t="s">
        <v>18</v>
      </c>
      <c r="K605" s="3" t="s">
        <v>35</v>
      </c>
      <c r="L605" s="20">
        <v>49</v>
      </c>
      <c r="M605" s="3" t="s">
        <v>20</v>
      </c>
      <c r="N605" s="20" t="str" cm="1">
        <f t="array" ref="N605">_xlfn.IFS(tbl_Clean[[#This Row],[Age]]&lt;=30,"25-30",tbl_Clean[[#This Row],[Age]]&lt;=40,"31-40",tbl_Clean[[#This Row],[Age]]&lt;=50,"41-50",tbl_Clean[[#This Row],[Age]]&lt;=60,"51-60",TRUE,"61+")</f>
        <v>41-50</v>
      </c>
      <c r="O605" s="20">
        <f>_xlfn.XMATCH(tbl_Clean[[#This Row],[Age Band]],{"25-30","31-40","41-50","51-60","61+"})</f>
        <v>3</v>
      </c>
      <c r="P605" s="20" t="str" cm="1">
        <f t="array" ref="P605">_xlfn.IFS(tbl_Clean[[#This Row],[Income]]&lt;=30000,"$10k-30k",tbl_Clean[[#This Row],[Income]]&lt;=60000,"$40k-60k",tbl_Clean[[#This Row],[Income]]&lt;=90000,"$70k-90k",TRUE,"$100k+")</f>
        <v>$10k-30k</v>
      </c>
      <c r="Q605" s="20">
        <f>_xlfn.XMATCH(tbl_Clean[[#This Row],[Income Band]],{"$10k-30k","$40k-60k","$70k-90k","$100k+"})</f>
        <v>1</v>
      </c>
      <c r="R605" s="20" t="str">
        <f>IF(tbl_Clean[[#This Row],[Cars]]&lt;=1,"0-1 Cars","2+ Cars")</f>
        <v>2+ Cars</v>
      </c>
      <c r="S605" s="20">
        <f>_xlfn.XMATCH(tbl_Clean[[#This Row],[Commute Distance]],{"0-1 Miles","1-2 Miles","2-5 Miles","5-10 Miles","10+ Miles"})</f>
        <v>1</v>
      </c>
      <c r="T605" s="20">
        <f>_xlfn.XMATCH(tbl_Clean[[#This Row],[Education]],{"Partial High School","High School","Partial College","Bachelors","Graduate Degree"})</f>
        <v>2</v>
      </c>
      <c r="U605" s="20">
        <f>IF(tbl_Clean[[#This Row],[Purchased Bike]]="Yes",1,0)</f>
        <v>0</v>
      </c>
    </row>
    <row r="606" spans="1:21" x14ac:dyDescent="0.25">
      <c r="A606" s="20">
        <v>29231</v>
      </c>
      <c r="B606" s="3" t="s">
        <v>114</v>
      </c>
      <c r="C606" s="3" t="s">
        <v>113</v>
      </c>
      <c r="D606" s="19">
        <v>80000</v>
      </c>
      <c r="E606" s="20">
        <v>4</v>
      </c>
      <c r="F606" s="3" t="s">
        <v>21</v>
      </c>
      <c r="G606" s="3" t="s">
        <v>23</v>
      </c>
      <c r="H606" s="3" t="s">
        <v>20</v>
      </c>
      <c r="I606" s="20">
        <v>2</v>
      </c>
      <c r="J606" s="3" t="s">
        <v>18</v>
      </c>
      <c r="K606" s="3" t="s">
        <v>35</v>
      </c>
      <c r="L606" s="20">
        <v>43</v>
      </c>
      <c r="M606" s="3" t="s">
        <v>20</v>
      </c>
      <c r="N606" s="20" t="str" cm="1">
        <f t="array" ref="N606">_xlfn.IFS(tbl_Clean[[#This Row],[Age]]&lt;=30,"25-30",tbl_Clean[[#This Row],[Age]]&lt;=40,"31-40",tbl_Clean[[#This Row],[Age]]&lt;=50,"41-50",tbl_Clean[[#This Row],[Age]]&lt;=60,"51-60",TRUE,"61+")</f>
        <v>41-50</v>
      </c>
      <c r="O606" s="20">
        <f>_xlfn.XMATCH(tbl_Clean[[#This Row],[Age Band]],{"25-30","31-40","41-50","51-60","61+"})</f>
        <v>3</v>
      </c>
      <c r="P606" s="20" t="str" cm="1">
        <f t="array" ref="P606">_xlfn.IFS(tbl_Clean[[#This Row],[Income]]&lt;=30000,"$10k-30k",tbl_Clean[[#This Row],[Income]]&lt;=60000,"$40k-60k",tbl_Clean[[#This Row],[Income]]&lt;=90000,"$70k-90k",TRUE,"$100k+")</f>
        <v>$70k-90k</v>
      </c>
      <c r="Q606" s="20">
        <f>_xlfn.XMATCH(tbl_Clean[[#This Row],[Income Band]],{"$10k-30k","$40k-60k","$70k-90k","$100k+"})</f>
        <v>3</v>
      </c>
      <c r="R606" s="20" t="str">
        <f>IF(tbl_Clean[[#This Row],[Cars]]&lt;=1,"0-1 Cars","2+ Cars")</f>
        <v>2+ Cars</v>
      </c>
      <c r="S606" s="20">
        <f>_xlfn.XMATCH(tbl_Clean[[#This Row],[Commute Distance]],{"0-1 Miles","1-2 Miles","2-5 Miles","5-10 Miles","10+ Miles"})</f>
        <v>1</v>
      </c>
      <c r="T606" s="20">
        <f>_xlfn.XMATCH(tbl_Clean[[#This Row],[Education]],{"Partial High School","High School","Partial College","Bachelors","Graduate Degree"})</f>
        <v>3</v>
      </c>
      <c r="U606" s="20">
        <f>IF(tbl_Clean[[#This Row],[Purchased Bike]]="Yes",1,0)</f>
        <v>0</v>
      </c>
    </row>
    <row r="607" spans="1:21" x14ac:dyDescent="0.25">
      <c r="A607" s="20">
        <v>18858</v>
      </c>
      <c r="B607" s="3" t="s">
        <v>114</v>
      </c>
      <c r="C607" s="3" t="s">
        <v>113</v>
      </c>
      <c r="D607" s="19">
        <v>60000</v>
      </c>
      <c r="E607" s="20">
        <v>2</v>
      </c>
      <c r="F607" s="3" t="s">
        <v>32</v>
      </c>
      <c r="G607" s="3" t="s">
        <v>16</v>
      </c>
      <c r="H607" s="3" t="s">
        <v>17</v>
      </c>
      <c r="I607" s="20">
        <v>2</v>
      </c>
      <c r="J607" s="3" t="s">
        <v>26</v>
      </c>
      <c r="K607" s="3" t="s">
        <v>35</v>
      </c>
      <c r="L607" s="20">
        <v>52</v>
      </c>
      <c r="M607" s="3" t="s">
        <v>17</v>
      </c>
      <c r="N607" s="20" t="str" cm="1">
        <f t="array" ref="N607">_xlfn.IFS(tbl_Clean[[#This Row],[Age]]&lt;=30,"25-30",tbl_Clean[[#This Row],[Age]]&lt;=40,"31-40",tbl_Clean[[#This Row],[Age]]&lt;=50,"41-50",tbl_Clean[[#This Row],[Age]]&lt;=60,"51-60",TRUE,"61+")</f>
        <v>51-60</v>
      </c>
      <c r="O607" s="20">
        <f>_xlfn.XMATCH(tbl_Clean[[#This Row],[Age Band]],{"25-30","31-40","41-50","51-60","61+"})</f>
        <v>4</v>
      </c>
      <c r="P607" s="20" t="str" cm="1">
        <f t="array" ref="P607">_xlfn.IFS(tbl_Clean[[#This Row],[Income]]&lt;=30000,"$10k-30k",tbl_Clean[[#This Row],[Income]]&lt;=60000,"$40k-60k",tbl_Clean[[#This Row],[Income]]&lt;=90000,"$70k-90k",TRUE,"$100k+")</f>
        <v>$40k-60k</v>
      </c>
      <c r="Q607" s="20">
        <f>_xlfn.XMATCH(tbl_Clean[[#This Row],[Income Band]],{"$10k-30k","$40k-60k","$70k-90k","$100k+"})</f>
        <v>2</v>
      </c>
      <c r="R607" s="20" t="str">
        <f>IF(tbl_Clean[[#This Row],[Cars]]&lt;=1,"0-1 Cars","2+ Cars")</f>
        <v>2+ Cars</v>
      </c>
      <c r="S607" s="20">
        <f>_xlfn.XMATCH(tbl_Clean[[#This Row],[Commute Distance]],{"0-1 Miles","1-2 Miles","2-5 Miles","5-10 Miles","10+ Miles"})</f>
        <v>4</v>
      </c>
      <c r="T607" s="20">
        <f>_xlfn.XMATCH(tbl_Clean[[#This Row],[Education]],{"Partial High School","High School","Partial College","Bachelors","Graduate Degree"})</f>
        <v>1</v>
      </c>
      <c r="U607" s="20">
        <f>IF(tbl_Clean[[#This Row],[Purchased Bike]]="Yes",1,0)</f>
        <v>1</v>
      </c>
    </row>
    <row r="608" spans="1:21" x14ac:dyDescent="0.25">
      <c r="A608" s="20">
        <v>20000</v>
      </c>
      <c r="B608" s="3" t="s">
        <v>111</v>
      </c>
      <c r="C608" s="3" t="s">
        <v>113</v>
      </c>
      <c r="D608" s="19">
        <v>60000</v>
      </c>
      <c r="E608" s="20">
        <v>1</v>
      </c>
      <c r="F608" s="3" t="s">
        <v>34</v>
      </c>
      <c r="G608" s="3" t="s">
        <v>23</v>
      </c>
      <c r="H608" s="3" t="s">
        <v>17</v>
      </c>
      <c r="I608" s="20">
        <v>0</v>
      </c>
      <c r="J608" s="3" t="s">
        <v>18</v>
      </c>
      <c r="K608" s="3" t="s">
        <v>35</v>
      </c>
      <c r="L608" s="20">
        <v>35</v>
      </c>
      <c r="M608" s="3" t="s">
        <v>17</v>
      </c>
      <c r="N608" s="20" t="str" cm="1">
        <f t="array" ref="N608">_xlfn.IFS(tbl_Clean[[#This Row],[Age]]&lt;=30,"25-30",tbl_Clean[[#This Row],[Age]]&lt;=40,"31-40",tbl_Clean[[#This Row],[Age]]&lt;=50,"41-50",tbl_Clean[[#This Row],[Age]]&lt;=60,"51-60",TRUE,"61+")</f>
        <v>31-40</v>
      </c>
      <c r="O608" s="20">
        <f>_xlfn.XMATCH(tbl_Clean[[#This Row],[Age Band]],{"25-30","31-40","41-50","51-60","61+"})</f>
        <v>2</v>
      </c>
      <c r="P608" s="20" t="str" cm="1">
        <f t="array" ref="P608">_xlfn.IFS(tbl_Clean[[#This Row],[Income]]&lt;=30000,"$10k-30k",tbl_Clean[[#This Row],[Income]]&lt;=60000,"$40k-60k",tbl_Clean[[#This Row],[Income]]&lt;=90000,"$70k-90k",TRUE,"$100k+")</f>
        <v>$40k-60k</v>
      </c>
      <c r="Q608" s="20">
        <f>_xlfn.XMATCH(tbl_Clean[[#This Row],[Income Band]],{"$10k-30k","$40k-60k","$70k-90k","$100k+"})</f>
        <v>2</v>
      </c>
      <c r="R608" s="20" t="str">
        <f>IF(tbl_Clean[[#This Row],[Cars]]&lt;=1,"0-1 Cars","2+ Cars")</f>
        <v>0-1 Cars</v>
      </c>
      <c r="S608" s="20">
        <f>_xlfn.XMATCH(tbl_Clean[[#This Row],[Commute Distance]],{"0-1 Miles","1-2 Miles","2-5 Miles","5-10 Miles","10+ Miles"})</f>
        <v>1</v>
      </c>
      <c r="T608" s="20">
        <f>_xlfn.XMATCH(tbl_Clean[[#This Row],[Education]],{"Partial High School","High School","Partial College","Bachelors","Graduate Degree"})</f>
        <v>5</v>
      </c>
      <c r="U608" s="20">
        <f>IF(tbl_Clean[[#This Row],[Purchased Bike]]="Yes",1,0)</f>
        <v>1</v>
      </c>
    </row>
    <row r="609" spans="1:21" x14ac:dyDescent="0.25">
      <c r="A609" s="20">
        <v>25261</v>
      </c>
      <c r="B609" s="3" t="s">
        <v>111</v>
      </c>
      <c r="C609" s="3" t="s">
        <v>113</v>
      </c>
      <c r="D609" s="19">
        <v>40000</v>
      </c>
      <c r="E609" s="20">
        <v>0</v>
      </c>
      <c r="F609" s="3" t="s">
        <v>30</v>
      </c>
      <c r="G609" s="3" t="s">
        <v>16</v>
      </c>
      <c r="H609" s="3" t="s">
        <v>17</v>
      </c>
      <c r="I609" s="20">
        <v>2</v>
      </c>
      <c r="J609" s="3" t="s">
        <v>26</v>
      </c>
      <c r="K609" s="3" t="s">
        <v>35</v>
      </c>
      <c r="L609" s="20">
        <v>27</v>
      </c>
      <c r="M609" s="3" t="s">
        <v>20</v>
      </c>
      <c r="N609" s="20" t="str" cm="1">
        <f t="array" ref="N609">_xlfn.IFS(tbl_Clean[[#This Row],[Age]]&lt;=30,"25-30",tbl_Clean[[#This Row],[Age]]&lt;=40,"31-40",tbl_Clean[[#This Row],[Age]]&lt;=50,"41-50",tbl_Clean[[#This Row],[Age]]&lt;=60,"51-60",TRUE,"61+")</f>
        <v>25-30</v>
      </c>
      <c r="O609" s="20">
        <f>_xlfn.XMATCH(tbl_Clean[[#This Row],[Age Band]],{"25-30","31-40","41-50","51-60","61+"})</f>
        <v>1</v>
      </c>
      <c r="P609" s="20" t="str" cm="1">
        <f t="array" ref="P609">_xlfn.IFS(tbl_Clean[[#This Row],[Income]]&lt;=30000,"$10k-30k",tbl_Clean[[#This Row],[Income]]&lt;=60000,"$40k-60k",tbl_Clean[[#This Row],[Income]]&lt;=90000,"$70k-90k",TRUE,"$100k+")</f>
        <v>$40k-60k</v>
      </c>
      <c r="Q609" s="20">
        <f>_xlfn.XMATCH(tbl_Clean[[#This Row],[Income Band]],{"$10k-30k","$40k-60k","$70k-90k","$100k+"})</f>
        <v>2</v>
      </c>
      <c r="R609" s="20" t="str">
        <f>IF(tbl_Clean[[#This Row],[Cars]]&lt;=1,"0-1 Cars","2+ Cars")</f>
        <v>2+ Cars</v>
      </c>
      <c r="S609" s="20">
        <f>_xlfn.XMATCH(tbl_Clean[[#This Row],[Commute Distance]],{"0-1 Miles","1-2 Miles","2-5 Miles","5-10 Miles","10+ Miles"})</f>
        <v>4</v>
      </c>
      <c r="T609" s="20">
        <f>_xlfn.XMATCH(tbl_Clean[[#This Row],[Education]],{"Partial High School","High School","Partial College","Bachelors","Graduate Degree"})</f>
        <v>2</v>
      </c>
      <c r="U609" s="20">
        <f>IF(tbl_Clean[[#This Row],[Purchased Bike]]="Yes",1,0)</f>
        <v>0</v>
      </c>
    </row>
    <row r="610" spans="1:21" x14ac:dyDescent="0.25">
      <c r="A610" s="20">
        <v>17458</v>
      </c>
      <c r="B610" s="3" t="s">
        <v>114</v>
      </c>
      <c r="C610" s="3" t="s">
        <v>113</v>
      </c>
      <c r="D610" s="19">
        <v>70000</v>
      </c>
      <c r="E610" s="20">
        <v>3</v>
      </c>
      <c r="F610" s="3" t="s">
        <v>30</v>
      </c>
      <c r="G610" s="3" t="s">
        <v>23</v>
      </c>
      <c r="H610" s="3" t="s">
        <v>17</v>
      </c>
      <c r="I610" s="20">
        <v>0</v>
      </c>
      <c r="J610" s="3" t="s">
        <v>26</v>
      </c>
      <c r="K610" s="3" t="s">
        <v>35</v>
      </c>
      <c r="L610" s="20">
        <v>52</v>
      </c>
      <c r="M610" s="3" t="s">
        <v>17</v>
      </c>
      <c r="N610" s="20" t="str" cm="1">
        <f t="array" ref="N610">_xlfn.IFS(tbl_Clean[[#This Row],[Age]]&lt;=30,"25-30",tbl_Clean[[#This Row],[Age]]&lt;=40,"31-40",tbl_Clean[[#This Row],[Age]]&lt;=50,"41-50",tbl_Clean[[#This Row],[Age]]&lt;=60,"51-60",TRUE,"61+")</f>
        <v>51-60</v>
      </c>
      <c r="O610" s="20">
        <f>_xlfn.XMATCH(tbl_Clean[[#This Row],[Age Band]],{"25-30","31-40","41-50","51-60","61+"})</f>
        <v>4</v>
      </c>
      <c r="P610" s="20" t="str" cm="1">
        <f t="array" ref="P610">_xlfn.IFS(tbl_Clean[[#This Row],[Income]]&lt;=30000,"$10k-30k",tbl_Clean[[#This Row],[Income]]&lt;=60000,"$40k-60k",tbl_Clean[[#This Row],[Income]]&lt;=90000,"$70k-90k",TRUE,"$100k+")</f>
        <v>$70k-90k</v>
      </c>
      <c r="Q610" s="20">
        <f>_xlfn.XMATCH(tbl_Clean[[#This Row],[Income Band]],{"$10k-30k","$40k-60k","$70k-90k","$100k+"})</f>
        <v>3</v>
      </c>
      <c r="R610" s="20" t="str">
        <f>IF(tbl_Clean[[#This Row],[Cars]]&lt;=1,"0-1 Cars","2+ Cars")</f>
        <v>0-1 Cars</v>
      </c>
      <c r="S610" s="20">
        <f>_xlfn.XMATCH(tbl_Clean[[#This Row],[Commute Distance]],{"0-1 Miles","1-2 Miles","2-5 Miles","5-10 Miles","10+ Miles"})</f>
        <v>4</v>
      </c>
      <c r="T610" s="20">
        <f>_xlfn.XMATCH(tbl_Clean[[#This Row],[Education]],{"Partial High School","High School","Partial College","Bachelors","Graduate Degree"})</f>
        <v>2</v>
      </c>
      <c r="U610" s="20">
        <f>IF(tbl_Clean[[#This Row],[Purchased Bike]]="Yes",1,0)</f>
        <v>1</v>
      </c>
    </row>
    <row r="611" spans="1:21" x14ac:dyDescent="0.25">
      <c r="A611" s="20">
        <v>11644</v>
      </c>
      <c r="B611" s="3" t="s">
        <v>114</v>
      </c>
      <c r="C611" s="3" t="s">
        <v>113</v>
      </c>
      <c r="D611" s="19">
        <v>40000</v>
      </c>
      <c r="E611" s="20">
        <v>2</v>
      </c>
      <c r="F611" s="3" t="s">
        <v>15</v>
      </c>
      <c r="G611" s="3" t="s">
        <v>16</v>
      </c>
      <c r="H611" s="3" t="s">
        <v>17</v>
      </c>
      <c r="I611" s="20">
        <v>0</v>
      </c>
      <c r="J611" s="3" t="s">
        <v>24</v>
      </c>
      <c r="K611" s="3" t="s">
        <v>35</v>
      </c>
      <c r="L611" s="20">
        <v>36</v>
      </c>
      <c r="M611" s="3" t="s">
        <v>20</v>
      </c>
      <c r="N611" s="20" t="str" cm="1">
        <f t="array" ref="N611">_xlfn.IFS(tbl_Clean[[#This Row],[Age]]&lt;=30,"25-30",tbl_Clean[[#This Row],[Age]]&lt;=40,"31-40",tbl_Clean[[#This Row],[Age]]&lt;=50,"41-50",tbl_Clean[[#This Row],[Age]]&lt;=60,"51-60",TRUE,"61+")</f>
        <v>31-40</v>
      </c>
      <c r="O611" s="20">
        <f>_xlfn.XMATCH(tbl_Clean[[#This Row],[Age Band]],{"25-30","31-40","41-50","51-60","61+"})</f>
        <v>2</v>
      </c>
      <c r="P611" s="20" t="str" cm="1">
        <f t="array" ref="P611">_xlfn.IFS(tbl_Clean[[#This Row],[Income]]&lt;=30000,"$10k-30k",tbl_Clean[[#This Row],[Income]]&lt;=60000,"$40k-60k",tbl_Clean[[#This Row],[Income]]&lt;=90000,"$70k-90k",TRUE,"$100k+")</f>
        <v>$40k-60k</v>
      </c>
      <c r="Q611" s="20">
        <f>_xlfn.XMATCH(tbl_Clean[[#This Row],[Income Band]],{"$10k-30k","$40k-60k","$70k-90k","$100k+"})</f>
        <v>2</v>
      </c>
      <c r="R611" s="20" t="str">
        <f>IF(tbl_Clean[[#This Row],[Cars]]&lt;=1,"0-1 Cars","2+ Cars")</f>
        <v>0-1 Cars</v>
      </c>
      <c r="S611" s="20">
        <f>_xlfn.XMATCH(tbl_Clean[[#This Row],[Commute Distance]],{"0-1 Miles","1-2 Miles","2-5 Miles","5-10 Miles","10+ Miles"})</f>
        <v>3</v>
      </c>
      <c r="T611" s="20">
        <f>_xlfn.XMATCH(tbl_Clean[[#This Row],[Education]],{"Partial High School","High School","Partial College","Bachelors","Graduate Degree"})</f>
        <v>4</v>
      </c>
      <c r="U611" s="20">
        <f>IF(tbl_Clean[[#This Row],[Purchased Bike]]="Yes",1,0)</f>
        <v>0</v>
      </c>
    </row>
    <row r="612" spans="1:21" x14ac:dyDescent="0.25">
      <c r="A612" s="20">
        <v>16145</v>
      </c>
      <c r="B612" s="3" t="s">
        <v>114</v>
      </c>
      <c r="C612" s="3" t="s">
        <v>112</v>
      </c>
      <c r="D612" s="19">
        <v>70000</v>
      </c>
      <c r="E612" s="20">
        <v>5</v>
      </c>
      <c r="F612" s="3" t="s">
        <v>34</v>
      </c>
      <c r="G612" s="3" t="s">
        <v>23</v>
      </c>
      <c r="H612" s="3" t="s">
        <v>17</v>
      </c>
      <c r="I612" s="20">
        <v>3</v>
      </c>
      <c r="J612" s="3" t="s">
        <v>33</v>
      </c>
      <c r="K612" s="3" t="s">
        <v>35</v>
      </c>
      <c r="L612" s="20">
        <v>46</v>
      </c>
      <c r="M612" s="3" t="s">
        <v>17</v>
      </c>
      <c r="N612" s="20" t="str" cm="1">
        <f t="array" ref="N612">_xlfn.IFS(tbl_Clean[[#This Row],[Age]]&lt;=30,"25-30",tbl_Clean[[#This Row],[Age]]&lt;=40,"31-40",tbl_Clean[[#This Row],[Age]]&lt;=50,"41-50",tbl_Clean[[#This Row],[Age]]&lt;=60,"51-60",TRUE,"61+")</f>
        <v>41-50</v>
      </c>
      <c r="O612" s="20">
        <f>_xlfn.XMATCH(tbl_Clean[[#This Row],[Age Band]],{"25-30","31-40","41-50","51-60","61+"})</f>
        <v>3</v>
      </c>
      <c r="P612" s="20" t="str" cm="1">
        <f t="array" ref="P612">_xlfn.IFS(tbl_Clean[[#This Row],[Income]]&lt;=30000,"$10k-30k",tbl_Clean[[#This Row],[Income]]&lt;=60000,"$40k-60k",tbl_Clean[[#This Row],[Income]]&lt;=90000,"$70k-90k",TRUE,"$100k+")</f>
        <v>$70k-90k</v>
      </c>
      <c r="Q612" s="20">
        <f>_xlfn.XMATCH(tbl_Clean[[#This Row],[Income Band]],{"$10k-30k","$40k-60k","$70k-90k","$100k+"})</f>
        <v>3</v>
      </c>
      <c r="R612" s="20" t="str">
        <f>IF(tbl_Clean[[#This Row],[Cars]]&lt;=1,"0-1 Cars","2+ Cars")</f>
        <v>2+ Cars</v>
      </c>
      <c r="S612" s="20">
        <f>_xlfn.XMATCH(tbl_Clean[[#This Row],[Commute Distance]],{"0-1 Miles","1-2 Miles","2-5 Miles","5-10 Miles","10+ Miles"})</f>
        <v>5</v>
      </c>
      <c r="T612" s="20">
        <f>_xlfn.XMATCH(tbl_Clean[[#This Row],[Education]],{"Partial High School","High School","Partial College","Bachelors","Graduate Degree"})</f>
        <v>5</v>
      </c>
      <c r="U612" s="20">
        <f>IF(tbl_Clean[[#This Row],[Purchased Bike]]="Yes",1,0)</f>
        <v>1</v>
      </c>
    </row>
    <row r="613" spans="1:21" x14ac:dyDescent="0.25">
      <c r="A613" s="20">
        <v>16890</v>
      </c>
      <c r="B613" s="3" t="s">
        <v>111</v>
      </c>
      <c r="C613" s="3" t="s">
        <v>113</v>
      </c>
      <c r="D613" s="19">
        <v>60000</v>
      </c>
      <c r="E613" s="20">
        <v>3</v>
      </c>
      <c r="F613" s="3" t="s">
        <v>32</v>
      </c>
      <c r="G613" s="3" t="s">
        <v>16</v>
      </c>
      <c r="H613" s="3" t="s">
        <v>17</v>
      </c>
      <c r="I613" s="20">
        <v>2</v>
      </c>
      <c r="J613" s="3" t="s">
        <v>26</v>
      </c>
      <c r="K613" s="3" t="s">
        <v>35</v>
      </c>
      <c r="L613" s="20">
        <v>52</v>
      </c>
      <c r="M613" s="3" t="s">
        <v>17</v>
      </c>
      <c r="N613" s="20" t="str" cm="1">
        <f t="array" ref="N613">_xlfn.IFS(tbl_Clean[[#This Row],[Age]]&lt;=30,"25-30",tbl_Clean[[#This Row],[Age]]&lt;=40,"31-40",tbl_Clean[[#This Row],[Age]]&lt;=50,"41-50",tbl_Clean[[#This Row],[Age]]&lt;=60,"51-60",TRUE,"61+")</f>
        <v>51-60</v>
      </c>
      <c r="O613" s="20">
        <f>_xlfn.XMATCH(tbl_Clean[[#This Row],[Age Band]],{"25-30","31-40","41-50","51-60","61+"})</f>
        <v>4</v>
      </c>
      <c r="P613" s="20" t="str" cm="1">
        <f t="array" ref="P613">_xlfn.IFS(tbl_Clean[[#This Row],[Income]]&lt;=30000,"$10k-30k",tbl_Clean[[#This Row],[Income]]&lt;=60000,"$40k-60k",tbl_Clean[[#This Row],[Income]]&lt;=90000,"$70k-90k",TRUE,"$100k+")</f>
        <v>$40k-60k</v>
      </c>
      <c r="Q613" s="20">
        <f>_xlfn.XMATCH(tbl_Clean[[#This Row],[Income Band]],{"$10k-30k","$40k-60k","$70k-90k","$100k+"})</f>
        <v>2</v>
      </c>
      <c r="R613" s="20" t="str">
        <f>IF(tbl_Clean[[#This Row],[Cars]]&lt;=1,"0-1 Cars","2+ Cars")</f>
        <v>2+ Cars</v>
      </c>
      <c r="S613" s="20">
        <f>_xlfn.XMATCH(tbl_Clean[[#This Row],[Commute Distance]],{"0-1 Miles","1-2 Miles","2-5 Miles","5-10 Miles","10+ Miles"})</f>
        <v>4</v>
      </c>
      <c r="T613" s="20">
        <f>_xlfn.XMATCH(tbl_Clean[[#This Row],[Education]],{"Partial High School","High School","Partial College","Bachelors","Graduate Degree"})</f>
        <v>1</v>
      </c>
      <c r="U613" s="20">
        <f>IF(tbl_Clean[[#This Row],[Purchased Bike]]="Yes",1,0)</f>
        <v>1</v>
      </c>
    </row>
    <row r="614" spans="1:21" x14ac:dyDescent="0.25">
      <c r="A614" s="20">
        <v>25983</v>
      </c>
      <c r="B614" s="3" t="s">
        <v>111</v>
      </c>
      <c r="C614" s="3" t="s">
        <v>113</v>
      </c>
      <c r="D614" s="19">
        <v>70000</v>
      </c>
      <c r="E614" s="20">
        <v>0</v>
      </c>
      <c r="F614" s="3" t="s">
        <v>15</v>
      </c>
      <c r="G614" s="3" t="s">
        <v>23</v>
      </c>
      <c r="H614" s="3" t="s">
        <v>20</v>
      </c>
      <c r="I614" s="20">
        <v>1</v>
      </c>
      <c r="J614" s="3" t="s">
        <v>18</v>
      </c>
      <c r="K614" s="3" t="s">
        <v>35</v>
      </c>
      <c r="L614" s="20">
        <v>43</v>
      </c>
      <c r="M614" s="3" t="s">
        <v>20</v>
      </c>
      <c r="N614" s="20" t="str" cm="1">
        <f t="array" ref="N614">_xlfn.IFS(tbl_Clean[[#This Row],[Age]]&lt;=30,"25-30",tbl_Clean[[#This Row],[Age]]&lt;=40,"31-40",tbl_Clean[[#This Row],[Age]]&lt;=50,"41-50",tbl_Clean[[#This Row],[Age]]&lt;=60,"51-60",TRUE,"61+")</f>
        <v>41-50</v>
      </c>
      <c r="O614" s="20">
        <f>_xlfn.XMATCH(tbl_Clean[[#This Row],[Age Band]],{"25-30","31-40","41-50","51-60","61+"})</f>
        <v>3</v>
      </c>
      <c r="P614" s="20" t="str" cm="1">
        <f t="array" ref="P614">_xlfn.IFS(tbl_Clean[[#This Row],[Income]]&lt;=30000,"$10k-30k",tbl_Clean[[#This Row],[Income]]&lt;=60000,"$40k-60k",tbl_Clean[[#This Row],[Income]]&lt;=90000,"$70k-90k",TRUE,"$100k+")</f>
        <v>$70k-90k</v>
      </c>
      <c r="Q614" s="20">
        <f>_xlfn.XMATCH(tbl_Clean[[#This Row],[Income Band]],{"$10k-30k","$40k-60k","$70k-90k","$100k+"})</f>
        <v>3</v>
      </c>
      <c r="R614" s="20" t="str">
        <f>IF(tbl_Clean[[#This Row],[Cars]]&lt;=1,"0-1 Cars","2+ Cars")</f>
        <v>0-1 Cars</v>
      </c>
      <c r="S614" s="20">
        <f>_xlfn.XMATCH(tbl_Clean[[#This Row],[Commute Distance]],{"0-1 Miles","1-2 Miles","2-5 Miles","5-10 Miles","10+ Miles"})</f>
        <v>1</v>
      </c>
      <c r="T614" s="20">
        <f>_xlfn.XMATCH(tbl_Clean[[#This Row],[Education]],{"Partial High School","High School","Partial College","Bachelors","Graduate Degree"})</f>
        <v>4</v>
      </c>
      <c r="U614" s="20">
        <f>IF(tbl_Clean[[#This Row],[Purchased Bike]]="Yes",1,0)</f>
        <v>0</v>
      </c>
    </row>
    <row r="615" spans="1:21" x14ac:dyDescent="0.25">
      <c r="A615" s="20">
        <v>14633</v>
      </c>
      <c r="B615" s="3" t="s">
        <v>111</v>
      </c>
      <c r="C615" s="3" t="s">
        <v>113</v>
      </c>
      <c r="D615" s="19">
        <v>60000</v>
      </c>
      <c r="E615" s="20">
        <v>1</v>
      </c>
      <c r="F615" s="3" t="s">
        <v>21</v>
      </c>
      <c r="G615" s="3" t="s">
        <v>16</v>
      </c>
      <c r="H615" s="3" t="s">
        <v>17</v>
      </c>
      <c r="I615" s="20">
        <v>1</v>
      </c>
      <c r="J615" s="3" t="s">
        <v>24</v>
      </c>
      <c r="K615" s="3" t="s">
        <v>35</v>
      </c>
      <c r="L615" s="20">
        <v>44</v>
      </c>
      <c r="M615" s="3" t="s">
        <v>20</v>
      </c>
      <c r="N615" s="20" t="str" cm="1">
        <f t="array" ref="N615">_xlfn.IFS(tbl_Clean[[#This Row],[Age]]&lt;=30,"25-30",tbl_Clean[[#This Row],[Age]]&lt;=40,"31-40",tbl_Clean[[#This Row],[Age]]&lt;=50,"41-50",tbl_Clean[[#This Row],[Age]]&lt;=60,"51-60",TRUE,"61+")</f>
        <v>41-50</v>
      </c>
      <c r="O615" s="20">
        <f>_xlfn.XMATCH(tbl_Clean[[#This Row],[Age Band]],{"25-30","31-40","41-50","51-60","61+"})</f>
        <v>3</v>
      </c>
      <c r="P615" s="20" t="str" cm="1">
        <f t="array" ref="P615">_xlfn.IFS(tbl_Clean[[#This Row],[Income]]&lt;=30000,"$10k-30k",tbl_Clean[[#This Row],[Income]]&lt;=60000,"$40k-60k",tbl_Clean[[#This Row],[Income]]&lt;=90000,"$70k-90k",TRUE,"$100k+")</f>
        <v>$40k-60k</v>
      </c>
      <c r="Q615" s="20">
        <f>_xlfn.XMATCH(tbl_Clean[[#This Row],[Income Band]],{"$10k-30k","$40k-60k","$70k-90k","$100k+"})</f>
        <v>2</v>
      </c>
      <c r="R615" s="20" t="str">
        <f>IF(tbl_Clean[[#This Row],[Cars]]&lt;=1,"0-1 Cars","2+ Cars")</f>
        <v>0-1 Cars</v>
      </c>
      <c r="S615" s="20">
        <f>_xlfn.XMATCH(tbl_Clean[[#This Row],[Commute Distance]],{"0-1 Miles","1-2 Miles","2-5 Miles","5-10 Miles","10+ Miles"})</f>
        <v>3</v>
      </c>
      <c r="T615" s="20">
        <f>_xlfn.XMATCH(tbl_Clean[[#This Row],[Education]],{"Partial High School","High School","Partial College","Bachelors","Graduate Degree"})</f>
        <v>3</v>
      </c>
      <c r="U615" s="20">
        <f>IF(tbl_Clean[[#This Row],[Purchased Bike]]="Yes",1,0)</f>
        <v>0</v>
      </c>
    </row>
    <row r="616" spans="1:21" x14ac:dyDescent="0.25">
      <c r="A616" s="20">
        <v>22994</v>
      </c>
      <c r="B616" s="3" t="s">
        <v>111</v>
      </c>
      <c r="C616" s="3" t="s">
        <v>112</v>
      </c>
      <c r="D616" s="19">
        <v>80000</v>
      </c>
      <c r="E616" s="20">
        <v>0</v>
      </c>
      <c r="F616" s="3" t="s">
        <v>15</v>
      </c>
      <c r="G616" s="3" t="s">
        <v>31</v>
      </c>
      <c r="H616" s="3" t="s">
        <v>17</v>
      </c>
      <c r="I616" s="20">
        <v>1</v>
      </c>
      <c r="J616" s="3" t="s">
        <v>29</v>
      </c>
      <c r="K616" s="3" t="s">
        <v>35</v>
      </c>
      <c r="L616" s="20">
        <v>34</v>
      </c>
      <c r="M616" s="3" t="s">
        <v>17</v>
      </c>
      <c r="N616" s="20" t="str" cm="1">
        <f t="array" ref="N616">_xlfn.IFS(tbl_Clean[[#This Row],[Age]]&lt;=30,"25-30",tbl_Clean[[#This Row],[Age]]&lt;=40,"31-40",tbl_Clean[[#This Row],[Age]]&lt;=50,"41-50",tbl_Clean[[#This Row],[Age]]&lt;=60,"51-60",TRUE,"61+")</f>
        <v>31-40</v>
      </c>
      <c r="O616" s="20">
        <f>_xlfn.XMATCH(tbl_Clean[[#This Row],[Age Band]],{"25-30","31-40","41-50","51-60","61+"})</f>
        <v>2</v>
      </c>
      <c r="P616" s="20" t="str" cm="1">
        <f t="array" ref="P616">_xlfn.IFS(tbl_Clean[[#This Row],[Income]]&lt;=30000,"$10k-30k",tbl_Clean[[#This Row],[Income]]&lt;=60000,"$40k-60k",tbl_Clean[[#This Row],[Income]]&lt;=90000,"$70k-90k",TRUE,"$100k+")</f>
        <v>$70k-90k</v>
      </c>
      <c r="Q616" s="20">
        <f>_xlfn.XMATCH(tbl_Clean[[#This Row],[Income Band]],{"$10k-30k","$40k-60k","$70k-90k","$100k+"})</f>
        <v>3</v>
      </c>
      <c r="R616" s="20" t="str">
        <f>IF(tbl_Clean[[#This Row],[Cars]]&lt;=1,"0-1 Cars","2+ Cars")</f>
        <v>0-1 Cars</v>
      </c>
      <c r="S616" s="20">
        <f>_xlfn.XMATCH(tbl_Clean[[#This Row],[Commute Distance]],{"0-1 Miles","1-2 Miles","2-5 Miles","5-10 Miles","10+ Miles"})</f>
        <v>2</v>
      </c>
      <c r="T616" s="20">
        <f>_xlfn.XMATCH(tbl_Clean[[#This Row],[Education]],{"Partial High School","High School","Partial College","Bachelors","Graduate Degree"})</f>
        <v>4</v>
      </c>
      <c r="U616" s="20">
        <f>IF(tbl_Clean[[#This Row],[Purchased Bike]]="Yes",1,0)</f>
        <v>1</v>
      </c>
    </row>
    <row r="617" spans="1:21" x14ac:dyDescent="0.25">
      <c r="A617" s="20">
        <v>22983</v>
      </c>
      <c r="B617" s="3" t="s">
        <v>114</v>
      </c>
      <c r="C617" s="3" t="s">
        <v>112</v>
      </c>
      <c r="D617" s="19">
        <v>30000</v>
      </c>
      <c r="E617" s="20">
        <v>0</v>
      </c>
      <c r="F617" s="3" t="s">
        <v>32</v>
      </c>
      <c r="G617" s="3" t="s">
        <v>22</v>
      </c>
      <c r="H617" s="3" t="s">
        <v>17</v>
      </c>
      <c r="I617" s="20">
        <v>2</v>
      </c>
      <c r="J617" s="3" t="s">
        <v>26</v>
      </c>
      <c r="K617" s="3" t="s">
        <v>35</v>
      </c>
      <c r="L617" s="20">
        <v>27</v>
      </c>
      <c r="M617" s="3" t="s">
        <v>20</v>
      </c>
      <c r="N617" s="20" t="str" cm="1">
        <f t="array" ref="N617">_xlfn.IFS(tbl_Clean[[#This Row],[Age]]&lt;=30,"25-30",tbl_Clean[[#This Row],[Age]]&lt;=40,"31-40",tbl_Clean[[#This Row],[Age]]&lt;=50,"41-50",tbl_Clean[[#This Row],[Age]]&lt;=60,"51-60",TRUE,"61+")</f>
        <v>25-30</v>
      </c>
      <c r="O617" s="20">
        <f>_xlfn.XMATCH(tbl_Clean[[#This Row],[Age Band]],{"25-30","31-40","41-50","51-60","61+"})</f>
        <v>1</v>
      </c>
      <c r="P617" s="20" t="str" cm="1">
        <f t="array" ref="P617">_xlfn.IFS(tbl_Clean[[#This Row],[Income]]&lt;=30000,"$10k-30k",tbl_Clean[[#This Row],[Income]]&lt;=60000,"$40k-60k",tbl_Clean[[#This Row],[Income]]&lt;=90000,"$70k-90k",TRUE,"$100k+")</f>
        <v>$10k-30k</v>
      </c>
      <c r="Q617" s="20">
        <f>_xlfn.XMATCH(tbl_Clean[[#This Row],[Income Band]],{"$10k-30k","$40k-60k","$70k-90k","$100k+"})</f>
        <v>1</v>
      </c>
      <c r="R617" s="20" t="str">
        <f>IF(tbl_Clean[[#This Row],[Cars]]&lt;=1,"0-1 Cars","2+ Cars")</f>
        <v>2+ Cars</v>
      </c>
      <c r="S617" s="20">
        <f>_xlfn.XMATCH(tbl_Clean[[#This Row],[Commute Distance]],{"0-1 Miles","1-2 Miles","2-5 Miles","5-10 Miles","10+ Miles"})</f>
        <v>4</v>
      </c>
      <c r="T617" s="20">
        <f>_xlfn.XMATCH(tbl_Clean[[#This Row],[Education]],{"Partial High School","High School","Partial College","Bachelors","Graduate Degree"})</f>
        <v>1</v>
      </c>
      <c r="U617" s="20">
        <f>IF(tbl_Clean[[#This Row],[Purchased Bike]]="Yes",1,0)</f>
        <v>0</v>
      </c>
    </row>
    <row r="618" spans="1:21" x14ac:dyDescent="0.25">
      <c r="A618" s="20">
        <v>25184</v>
      </c>
      <c r="B618" s="3" t="s">
        <v>114</v>
      </c>
      <c r="C618" s="3" t="s">
        <v>113</v>
      </c>
      <c r="D618" s="19">
        <v>110000</v>
      </c>
      <c r="E618" s="20">
        <v>1</v>
      </c>
      <c r="F618" s="3" t="s">
        <v>21</v>
      </c>
      <c r="G618" s="3" t="s">
        <v>23</v>
      </c>
      <c r="H618" s="3" t="s">
        <v>17</v>
      </c>
      <c r="I618" s="20">
        <v>4</v>
      </c>
      <c r="J618" s="3" t="s">
        <v>26</v>
      </c>
      <c r="K618" s="3" t="s">
        <v>35</v>
      </c>
      <c r="L618" s="20">
        <v>45</v>
      </c>
      <c r="M618" s="3" t="s">
        <v>17</v>
      </c>
      <c r="N618" s="20" t="str" cm="1">
        <f t="array" ref="N618">_xlfn.IFS(tbl_Clean[[#This Row],[Age]]&lt;=30,"25-30",tbl_Clean[[#This Row],[Age]]&lt;=40,"31-40",tbl_Clean[[#This Row],[Age]]&lt;=50,"41-50",tbl_Clean[[#This Row],[Age]]&lt;=60,"51-60",TRUE,"61+")</f>
        <v>41-50</v>
      </c>
      <c r="O618" s="20">
        <f>_xlfn.XMATCH(tbl_Clean[[#This Row],[Age Band]],{"25-30","31-40","41-50","51-60","61+"})</f>
        <v>3</v>
      </c>
      <c r="P618" s="20" t="str" cm="1">
        <f t="array" ref="P618">_xlfn.IFS(tbl_Clean[[#This Row],[Income]]&lt;=30000,"$10k-30k",tbl_Clean[[#This Row],[Income]]&lt;=60000,"$40k-60k",tbl_Clean[[#This Row],[Income]]&lt;=90000,"$70k-90k",TRUE,"$100k+")</f>
        <v>$100k+</v>
      </c>
      <c r="Q618" s="20">
        <f>_xlfn.XMATCH(tbl_Clean[[#This Row],[Income Band]],{"$10k-30k","$40k-60k","$70k-90k","$100k+"})</f>
        <v>4</v>
      </c>
      <c r="R618" s="20" t="str">
        <f>IF(tbl_Clean[[#This Row],[Cars]]&lt;=1,"0-1 Cars","2+ Cars")</f>
        <v>2+ Cars</v>
      </c>
      <c r="S618" s="20">
        <f>_xlfn.XMATCH(tbl_Clean[[#This Row],[Commute Distance]],{"0-1 Miles","1-2 Miles","2-5 Miles","5-10 Miles","10+ Miles"})</f>
        <v>4</v>
      </c>
      <c r="T618" s="20">
        <f>_xlfn.XMATCH(tbl_Clean[[#This Row],[Education]],{"Partial High School","High School","Partial College","Bachelors","Graduate Degree"})</f>
        <v>3</v>
      </c>
      <c r="U618" s="20">
        <f>IF(tbl_Clean[[#This Row],[Purchased Bike]]="Yes",1,0)</f>
        <v>1</v>
      </c>
    </row>
    <row r="619" spans="1:21" x14ac:dyDescent="0.25">
      <c r="A619" s="20">
        <v>14469</v>
      </c>
      <c r="B619" s="3" t="s">
        <v>111</v>
      </c>
      <c r="C619" s="3" t="s">
        <v>112</v>
      </c>
      <c r="D619" s="19">
        <v>100000</v>
      </c>
      <c r="E619" s="20">
        <v>3</v>
      </c>
      <c r="F619" s="3" t="s">
        <v>21</v>
      </c>
      <c r="G619" s="3" t="s">
        <v>23</v>
      </c>
      <c r="H619" s="3" t="s">
        <v>17</v>
      </c>
      <c r="I619" s="20">
        <v>4</v>
      </c>
      <c r="J619" s="3" t="s">
        <v>29</v>
      </c>
      <c r="K619" s="3" t="s">
        <v>35</v>
      </c>
      <c r="L619" s="20">
        <v>45</v>
      </c>
      <c r="M619" s="3" t="s">
        <v>20</v>
      </c>
      <c r="N619" s="20" t="str" cm="1">
        <f t="array" ref="N619">_xlfn.IFS(tbl_Clean[[#This Row],[Age]]&lt;=30,"25-30",tbl_Clean[[#This Row],[Age]]&lt;=40,"31-40",tbl_Clean[[#This Row],[Age]]&lt;=50,"41-50",tbl_Clean[[#This Row],[Age]]&lt;=60,"51-60",TRUE,"61+")</f>
        <v>41-50</v>
      </c>
      <c r="O619" s="20">
        <f>_xlfn.XMATCH(tbl_Clean[[#This Row],[Age Band]],{"25-30","31-40","41-50","51-60","61+"})</f>
        <v>3</v>
      </c>
      <c r="P619" s="20" t="str" cm="1">
        <f t="array" ref="P619">_xlfn.IFS(tbl_Clean[[#This Row],[Income]]&lt;=30000,"$10k-30k",tbl_Clean[[#This Row],[Income]]&lt;=60000,"$40k-60k",tbl_Clean[[#This Row],[Income]]&lt;=90000,"$70k-90k",TRUE,"$100k+")</f>
        <v>$100k+</v>
      </c>
      <c r="Q619" s="20">
        <f>_xlfn.XMATCH(tbl_Clean[[#This Row],[Income Band]],{"$10k-30k","$40k-60k","$70k-90k","$100k+"})</f>
        <v>4</v>
      </c>
      <c r="R619" s="20" t="str">
        <f>IF(tbl_Clean[[#This Row],[Cars]]&lt;=1,"0-1 Cars","2+ Cars")</f>
        <v>2+ Cars</v>
      </c>
      <c r="S619" s="20">
        <f>_xlfn.XMATCH(tbl_Clean[[#This Row],[Commute Distance]],{"0-1 Miles","1-2 Miles","2-5 Miles","5-10 Miles","10+ Miles"})</f>
        <v>2</v>
      </c>
      <c r="T619" s="20">
        <f>_xlfn.XMATCH(tbl_Clean[[#This Row],[Education]],{"Partial High School","High School","Partial College","Bachelors","Graduate Degree"})</f>
        <v>3</v>
      </c>
      <c r="U619" s="20">
        <f>IF(tbl_Clean[[#This Row],[Purchased Bike]]="Yes",1,0)</f>
        <v>0</v>
      </c>
    </row>
    <row r="620" spans="1:21" x14ac:dyDescent="0.25">
      <c r="A620" s="20">
        <v>11538</v>
      </c>
      <c r="B620" s="3" t="s">
        <v>114</v>
      </c>
      <c r="C620" s="3" t="s">
        <v>112</v>
      </c>
      <c r="D620" s="19">
        <v>60000</v>
      </c>
      <c r="E620" s="20">
        <v>4</v>
      </c>
      <c r="F620" s="3" t="s">
        <v>34</v>
      </c>
      <c r="G620" s="3" t="s">
        <v>16</v>
      </c>
      <c r="H620" s="3" t="s">
        <v>20</v>
      </c>
      <c r="I620" s="20">
        <v>0</v>
      </c>
      <c r="J620" s="3" t="s">
        <v>18</v>
      </c>
      <c r="K620" s="3" t="s">
        <v>35</v>
      </c>
      <c r="L620" s="20">
        <v>47</v>
      </c>
      <c r="M620" s="3" t="s">
        <v>17</v>
      </c>
      <c r="N620" s="20" t="str" cm="1">
        <f t="array" ref="N620">_xlfn.IFS(tbl_Clean[[#This Row],[Age]]&lt;=30,"25-30",tbl_Clean[[#This Row],[Age]]&lt;=40,"31-40",tbl_Clean[[#This Row],[Age]]&lt;=50,"41-50",tbl_Clean[[#This Row],[Age]]&lt;=60,"51-60",TRUE,"61+")</f>
        <v>41-50</v>
      </c>
      <c r="O620" s="20">
        <f>_xlfn.XMATCH(tbl_Clean[[#This Row],[Age Band]],{"25-30","31-40","41-50","51-60","61+"})</f>
        <v>3</v>
      </c>
      <c r="P620" s="20" t="str" cm="1">
        <f t="array" ref="P620">_xlfn.IFS(tbl_Clean[[#This Row],[Income]]&lt;=30000,"$10k-30k",tbl_Clean[[#This Row],[Income]]&lt;=60000,"$40k-60k",tbl_Clean[[#This Row],[Income]]&lt;=90000,"$70k-90k",TRUE,"$100k+")</f>
        <v>$40k-60k</v>
      </c>
      <c r="Q620" s="20">
        <f>_xlfn.XMATCH(tbl_Clean[[#This Row],[Income Band]],{"$10k-30k","$40k-60k","$70k-90k","$100k+"})</f>
        <v>2</v>
      </c>
      <c r="R620" s="20" t="str">
        <f>IF(tbl_Clean[[#This Row],[Cars]]&lt;=1,"0-1 Cars","2+ Cars")</f>
        <v>0-1 Cars</v>
      </c>
      <c r="S620" s="20">
        <f>_xlfn.XMATCH(tbl_Clean[[#This Row],[Commute Distance]],{"0-1 Miles","1-2 Miles","2-5 Miles","5-10 Miles","10+ Miles"})</f>
        <v>1</v>
      </c>
      <c r="T620" s="20">
        <f>_xlfn.XMATCH(tbl_Clean[[#This Row],[Education]],{"Partial High School","High School","Partial College","Bachelors","Graduate Degree"})</f>
        <v>5</v>
      </c>
      <c r="U620" s="20">
        <f>IF(tbl_Clean[[#This Row],[Purchased Bike]]="Yes",1,0)</f>
        <v>1</v>
      </c>
    </row>
    <row r="621" spans="1:21" x14ac:dyDescent="0.25">
      <c r="A621" s="20">
        <v>16245</v>
      </c>
      <c r="B621" s="3" t="s">
        <v>114</v>
      </c>
      <c r="C621" s="3" t="s">
        <v>112</v>
      </c>
      <c r="D621" s="19">
        <v>80000</v>
      </c>
      <c r="E621" s="20">
        <v>4</v>
      </c>
      <c r="F621" s="3" t="s">
        <v>34</v>
      </c>
      <c r="G621" s="3" t="s">
        <v>16</v>
      </c>
      <c r="H621" s="3" t="s">
        <v>17</v>
      </c>
      <c r="I621" s="20">
        <v>0</v>
      </c>
      <c r="J621" s="3" t="s">
        <v>29</v>
      </c>
      <c r="K621" s="3" t="s">
        <v>35</v>
      </c>
      <c r="L621" s="20">
        <v>47</v>
      </c>
      <c r="M621" s="3" t="s">
        <v>20</v>
      </c>
      <c r="N621" s="20" t="str" cm="1">
        <f t="array" ref="N621">_xlfn.IFS(tbl_Clean[[#This Row],[Age]]&lt;=30,"25-30",tbl_Clean[[#This Row],[Age]]&lt;=40,"31-40",tbl_Clean[[#This Row],[Age]]&lt;=50,"41-50",tbl_Clean[[#This Row],[Age]]&lt;=60,"51-60",TRUE,"61+")</f>
        <v>41-50</v>
      </c>
      <c r="O621" s="20">
        <f>_xlfn.XMATCH(tbl_Clean[[#This Row],[Age Band]],{"25-30","31-40","41-50","51-60","61+"})</f>
        <v>3</v>
      </c>
      <c r="P621" s="20" t="str" cm="1">
        <f t="array" ref="P621">_xlfn.IFS(tbl_Clean[[#This Row],[Income]]&lt;=30000,"$10k-30k",tbl_Clean[[#This Row],[Income]]&lt;=60000,"$40k-60k",tbl_Clean[[#This Row],[Income]]&lt;=90000,"$70k-90k",TRUE,"$100k+")</f>
        <v>$70k-90k</v>
      </c>
      <c r="Q621" s="20">
        <f>_xlfn.XMATCH(tbl_Clean[[#This Row],[Income Band]],{"$10k-30k","$40k-60k","$70k-90k","$100k+"})</f>
        <v>3</v>
      </c>
      <c r="R621" s="20" t="str">
        <f>IF(tbl_Clean[[#This Row],[Cars]]&lt;=1,"0-1 Cars","2+ Cars")</f>
        <v>0-1 Cars</v>
      </c>
      <c r="S621" s="20">
        <f>_xlfn.XMATCH(tbl_Clean[[#This Row],[Commute Distance]],{"0-1 Miles","1-2 Miles","2-5 Miles","5-10 Miles","10+ Miles"})</f>
        <v>2</v>
      </c>
      <c r="T621" s="20">
        <f>_xlfn.XMATCH(tbl_Clean[[#This Row],[Education]],{"Partial High School","High School","Partial College","Bachelors","Graduate Degree"})</f>
        <v>5</v>
      </c>
      <c r="U621" s="20">
        <f>IF(tbl_Clean[[#This Row],[Purchased Bike]]="Yes",1,0)</f>
        <v>0</v>
      </c>
    </row>
    <row r="622" spans="1:21" x14ac:dyDescent="0.25">
      <c r="A622" s="20">
        <v>17858</v>
      </c>
      <c r="B622" s="3" t="s">
        <v>111</v>
      </c>
      <c r="C622" s="3" t="s">
        <v>113</v>
      </c>
      <c r="D622" s="19">
        <v>40000</v>
      </c>
      <c r="E622" s="20">
        <v>4</v>
      </c>
      <c r="F622" s="3" t="s">
        <v>30</v>
      </c>
      <c r="G622" s="3" t="s">
        <v>16</v>
      </c>
      <c r="H622" s="3" t="s">
        <v>17</v>
      </c>
      <c r="I622" s="20">
        <v>2</v>
      </c>
      <c r="J622" s="3" t="s">
        <v>24</v>
      </c>
      <c r="K622" s="3" t="s">
        <v>35</v>
      </c>
      <c r="L622" s="20">
        <v>44</v>
      </c>
      <c r="M622" s="3" t="s">
        <v>17</v>
      </c>
      <c r="N622" s="20" t="str" cm="1">
        <f t="array" ref="N622">_xlfn.IFS(tbl_Clean[[#This Row],[Age]]&lt;=30,"25-30",tbl_Clean[[#This Row],[Age]]&lt;=40,"31-40",tbl_Clean[[#This Row],[Age]]&lt;=50,"41-50",tbl_Clean[[#This Row],[Age]]&lt;=60,"51-60",TRUE,"61+")</f>
        <v>41-50</v>
      </c>
      <c r="O622" s="20">
        <f>_xlfn.XMATCH(tbl_Clean[[#This Row],[Age Band]],{"25-30","31-40","41-50","51-60","61+"})</f>
        <v>3</v>
      </c>
      <c r="P622" s="20" t="str" cm="1">
        <f t="array" ref="P622">_xlfn.IFS(tbl_Clean[[#This Row],[Income]]&lt;=30000,"$10k-30k",tbl_Clean[[#This Row],[Income]]&lt;=60000,"$40k-60k",tbl_Clean[[#This Row],[Income]]&lt;=90000,"$70k-90k",TRUE,"$100k+")</f>
        <v>$40k-60k</v>
      </c>
      <c r="Q622" s="20">
        <f>_xlfn.XMATCH(tbl_Clean[[#This Row],[Income Band]],{"$10k-30k","$40k-60k","$70k-90k","$100k+"})</f>
        <v>2</v>
      </c>
      <c r="R622" s="20" t="str">
        <f>IF(tbl_Clean[[#This Row],[Cars]]&lt;=1,"0-1 Cars","2+ Cars")</f>
        <v>2+ Cars</v>
      </c>
      <c r="S622" s="20">
        <f>_xlfn.XMATCH(tbl_Clean[[#This Row],[Commute Distance]],{"0-1 Miles","1-2 Miles","2-5 Miles","5-10 Miles","10+ Miles"})</f>
        <v>3</v>
      </c>
      <c r="T622" s="20">
        <f>_xlfn.XMATCH(tbl_Clean[[#This Row],[Education]],{"Partial High School","High School","Partial College","Bachelors","Graduate Degree"})</f>
        <v>2</v>
      </c>
      <c r="U622" s="20">
        <f>IF(tbl_Clean[[#This Row],[Purchased Bike]]="Yes",1,0)</f>
        <v>1</v>
      </c>
    </row>
    <row r="623" spans="1:21" x14ac:dyDescent="0.25">
      <c r="A623" s="20">
        <v>25347</v>
      </c>
      <c r="B623" s="3" t="s">
        <v>114</v>
      </c>
      <c r="C623" s="3" t="s">
        <v>112</v>
      </c>
      <c r="D623" s="19">
        <v>20000</v>
      </c>
      <c r="E623" s="20">
        <v>3</v>
      </c>
      <c r="F623" s="3" t="s">
        <v>32</v>
      </c>
      <c r="G623" s="3" t="s">
        <v>22</v>
      </c>
      <c r="H623" s="3" t="s">
        <v>20</v>
      </c>
      <c r="I623" s="20">
        <v>2</v>
      </c>
      <c r="J623" s="3" t="s">
        <v>18</v>
      </c>
      <c r="K623" s="3" t="s">
        <v>35</v>
      </c>
      <c r="L623" s="20">
        <v>49</v>
      </c>
      <c r="M623" s="3" t="s">
        <v>20</v>
      </c>
      <c r="N623" s="20" t="str" cm="1">
        <f t="array" ref="N623">_xlfn.IFS(tbl_Clean[[#This Row],[Age]]&lt;=30,"25-30",tbl_Clean[[#This Row],[Age]]&lt;=40,"31-40",tbl_Clean[[#This Row],[Age]]&lt;=50,"41-50",tbl_Clean[[#This Row],[Age]]&lt;=60,"51-60",TRUE,"61+")</f>
        <v>41-50</v>
      </c>
      <c r="O623" s="20">
        <f>_xlfn.XMATCH(tbl_Clean[[#This Row],[Age Band]],{"25-30","31-40","41-50","51-60","61+"})</f>
        <v>3</v>
      </c>
      <c r="P623" s="20" t="str" cm="1">
        <f t="array" ref="P623">_xlfn.IFS(tbl_Clean[[#This Row],[Income]]&lt;=30000,"$10k-30k",tbl_Clean[[#This Row],[Income]]&lt;=60000,"$40k-60k",tbl_Clean[[#This Row],[Income]]&lt;=90000,"$70k-90k",TRUE,"$100k+")</f>
        <v>$10k-30k</v>
      </c>
      <c r="Q623" s="20">
        <f>_xlfn.XMATCH(tbl_Clean[[#This Row],[Income Band]],{"$10k-30k","$40k-60k","$70k-90k","$100k+"})</f>
        <v>1</v>
      </c>
      <c r="R623" s="20" t="str">
        <f>IF(tbl_Clean[[#This Row],[Cars]]&lt;=1,"0-1 Cars","2+ Cars")</f>
        <v>2+ Cars</v>
      </c>
      <c r="S623" s="20">
        <f>_xlfn.XMATCH(tbl_Clean[[#This Row],[Commute Distance]],{"0-1 Miles","1-2 Miles","2-5 Miles","5-10 Miles","10+ Miles"})</f>
        <v>1</v>
      </c>
      <c r="T623" s="20">
        <f>_xlfn.XMATCH(tbl_Clean[[#This Row],[Education]],{"Partial High School","High School","Partial College","Bachelors","Graduate Degree"})</f>
        <v>1</v>
      </c>
      <c r="U623" s="20">
        <f>IF(tbl_Clean[[#This Row],[Purchased Bike]]="Yes",1,0)</f>
        <v>0</v>
      </c>
    </row>
    <row r="624" spans="1:21" x14ac:dyDescent="0.25">
      <c r="A624" s="20">
        <v>15814</v>
      </c>
      <c r="B624" s="3" t="s">
        <v>114</v>
      </c>
      <c r="C624" s="3" t="s">
        <v>112</v>
      </c>
      <c r="D624" s="19">
        <v>40000</v>
      </c>
      <c r="E624" s="20">
        <v>0</v>
      </c>
      <c r="F624" s="3" t="s">
        <v>30</v>
      </c>
      <c r="G624" s="3" t="s">
        <v>16</v>
      </c>
      <c r="H624" s="3" t="s">
        <v>17</v>
      </c>
      <c r="I624" s="20">
        <v>1</v>
      </c>
      <c r="J624" s="3" t="s">
        <v>26</v>
      </c>
      <c r="K624" s="3" t="s">
        <v>35</v>
      </c>
      <c r="L624" s="20">
        <v>30</v>
      </c>
      <c r="M624" s="3" t="s">
        <v>20</v>
      </c>
      <c r="N624" s="20" t="str" cm="1">
        <f t="array" ref="N624">_xlfn.IFS(tbl_Clean[[#This Row],[Age]]&lt;=30,"25-30",tbl_Clean[[#This Row],[Age]]&lt;=40,"31-40",tbl_Clean[[#This Row],[Age]]&lt;=50,"41-50",tbl_Clean[[#This Row],[Age]]&lt;=60,"51-60",TRUE,"61+")</f>
        <v>25-30</v>
      </c>
      <c r="O624" s="20">
        <f>_xlfn.XMATCH(tbl_Clean[[#This Row],[Age Band]],{"25-30","31-40","41-50","51-60","61+"})</f>
        <v>1</v>
      </c>
      <c r="P624" s="20" t="str" cm="1">
        <f t="array" ref="P624">_xlfn.IFS(tbl_Clean[[#This Row],[Income]]&lt;=30000,"$10k-30k",tbl_Clean[[#This Row],[Income]]&lt;=60000,"$40k-60k",tbl_Clean[[#This Row],[Income]]&lt;=90000,"$70k-90k",TRUE,"$100k+")</f>
        <v>$40k-60k</v>
      </c>
      <c r="Q624" s="20">
        <f>_xlfn.XMATCH(tbl_Clean[[#This Row],[Income Band]],{"$10k-30k","$40k-60k","$70k-90k","$100k+"})</f>
        <v>2</v>
      </c>
      <c r="R624" s="20" t="str">
        <f>IF(tbl_Clean[[#This Row],[Cars]]&lt;=1,"0-1 Cars","2+ Cars")</f>
        <v>0-1 Cars</v>
      </c>
      <c r="S624" s="20">
        <f>_xlfn.XMATCH(tbl_Clean[[#This Row],[Commute Distance]],{"0-1 Miles","1-2 Miles","2-5 Miles","5-10 Miles","10+ Miles"})</f>
        <v>4</v>
      </c>
      <c r="T624" s="20">
        <f>_xlfn.XMATCH(tbl_Clean[[#This Row],[Education]],{"Partial High School","High School","Partial College","Bachelors","Graduate Degree"})</f>
        <v>2</v>
      </c>
      <c r="U624" s="20">
        <f>IF(tbl_Clean[[#This Row],[Purchased Bike]]="Yes",1,0)</f>
        <v>0</v>
      </c>
    </row>
    <row r="625" spans="1:21" x14ac:dyDescent="0.25">
      <c r="A625" s="20">
        <v>11259</v>
      </c>
      <c r="B625" s="3" t="s">
        <v>111</v>
      </c>
      <c r="C625" s="3" t="s">
        <v>112</v>
      </c>
      <c r="D625" s="19">
        <v>100000</v>
      </c>
      <c r="E625" s="20">
        <v>4</v>
      </c>
      <c r="F625" s="3" t="s">
        <v>21</v>
      </c>
      <c r="G625" s="3" t="s">
        <v>23</v>
      </c>
      <c r="H625" s="3" t="s">
        <v>17</v>
      </c>
      <c r="I625" s="20">
        <v>4</v>
      </c>
      <c r="J625" s="3" t="s">
        <v>24</v>
      </c>
      <c r="K625" s="3" t="s">
        <v>35</v>
      </c>
      <c r="L625" s="20">
        <v>41</v>
      </c>
      <c r="M625" s="3" t="s">
        <v>17</v>
      </c>
      <c r="N625" s="20" t="str" cm="1">
        <f t="array" ref="N625">_xlfn.IFS(tbl_Clean[[#This Row],[Age]]&lt;=30,"25-30",tbl_Clean[[#This Row],[Age]]&lt;=40,"31-40",tbl_Clean[[#This Row],[Age]]&lt;=50,"41-50",tbl_Clean[[#This Row],[Age]]&lt;=60,"51-60",TRUE,"61+")</f>
        <v>41-50</v>
      </c>
      <c r="O625" s="20">
        <f>_xlfn.XMATCH(tbl_Clean[[#This Row],[Age Band]],{"25-30","31-40","41-50","51-60","61+"})</f>
        <v>3</v>
      </c>
      <c r="P625" s="20" t="str" cm="1">
        <f t="array" ref="P625">_xlfn.IFS(tbl_Clean[[#This Row],[Income]]&lt;=30000,"$10k-30k",tbl_Clean[[#This Row],[Income]]&lt;=60000,"$40k-60k",tbl_Clean[[#This Row],[Income]]&lt;=90000,"$70k-90k",TRUE,"$100k+")</f>
        <v>$100k+</v>
      </c>
      <c r="Q625" s="20">
        <f>_xlfn.XMATCH(tbl_Clean[[#This Row],[Income Band]],{"$10k-30k","$40k-60k","$70k-90k","$100k+"})</f>
        <v>4</v>
      </c>
      <c r="R625" s="20" t="str">
        <f>IF(tbl_Clean[[#This Row],[Cars]]&lt;=1,"0-1 Cars","2+ Cars")</f>
        <v>2+ Cars</v>
      </c>
      <c r="S625" s="20">
        <f>_xlfn.XMATCH(tbl_Clean[[#This Row],[Commute Distance]],{"0-1 Miles","1-2 Miles","2-5 Miles","5-10 Miles","10+ Miles"})</f>
        <v>3</v>
      </c>
      <c r="T625" s="20">
        <f>_xlfn.XMATCH(tbl_Clean[[#This Row],[Education]],{"Partial High School","High School","Partial College","Bachelors","Graduate Degree"})</f>
        <v>3</v>
      </c>
      <c r="U625" s="20">
        <f>IF(tbl_Clean[[#This Row],[Purchased Bike]]="Yes",1,0)</f>
        <v>1</v>
      </c>
    </row>
    <row r="626" spans="1:21" x14ac:dyDescent="0.25">
      <c r="A626" s="20">
        <v>11200</v>
      </c>
      <c r="B626" s="3" t="s">
        <v>111</v>
      </c>
      <c r="C626" s="3" t="s">
        <v>113</v>
      </c>
      <c r="D626" s="19">
        <v>70000</v>
      </c>
      <c r="E626" s="20">
        <v>4</v>
      </c>
      <c r="F626" s="3" t="s">
        <v>15</v>
      </c>
      <c r="G626" s="3" t="s">
        <v>31</v>
      </c>
      <c r="H626" s="3" t="s">
        <v>17</v>
      </c>
      <c r="I626" s="20">
        <v>1</v>
      </c>
      <c r="J626" s="3" t="s">
        <v>29</v>
      </c>
      <c r="K626" s="3" t="s">
        <v>35</v>
      </c>
      <c r="L626" s="20">
        <v>58</v>
      </c>
      <c r="M626" s="3" t="s">
        <v>20</v>
      </c>
      <c r="N626" s="20" t="str" cm="1">
        <f t="array" ref="N626">_xlfn.IFS(tbl_Clean[[#This Row],[Age]]&lt;=30,"25-30",tbl_Clean[[#This Row],[Age]]&lt;=40,"31-40",tbl_Clean[[#This Row],[Age]]&lt;=50,"41-50",tbl_Clean[[#This Row],[Age]]&lt;=60,"51-60",TRUE,"61+")</f>
        <v>51-60</v>
      </c>
      <c r="O626" s="20">
        <f>_xlfn.XMATCH(tbl_Clean[[#This Row],[Age Band]],{"25-30","31-40","41-50","51-60","61+"})</f>
        <v>4</v>
      </c>
      <c r="P626" s="20" t="str" cm="1">
        <f t="array" ref="P626">_xlfn.IFS(tbl_Clean[[#This Row],[Income]]&lt;=30000,"$10k-30k",tbl_Clean[[#This Row],[Income]]&lt;=60000,"$40k-60k",tbl_Clean[[#This Row],[Income]]&lt;=90000,"$70k-90k",TRUE,"$100k+")</f>
        <v>$70k-90k</v>
      </c>
      <c r="Q626" s="20">
        <f>_xlfn.XMATCH(tbl_Clean[[#This Row],[Income Band]],{"$10k-30k","$40k-60k","$70k-90k","$100k+"})</f>
        <v>3</v>
      </c>
      <c r="R626" s="20" t="str">
        <f>IF(tbl_Clean[[#This Row],[Cars]]&lt;=1,"0-1 Cars","2+ Cars")</f>
        <v>0-1 Cars</v>
      </c>
      <c r="S626" s="20">
        <f>_xlfn.XMATCH(tbl_Clean[[#This Row],[Commute Distance]],{"0-1 Miles","1-2 Miles","2-5 Miles","5-10 Miles","10+ Miles"})</f>
        <v>2</v>
      </c>
      <c r="T626" s="20">
        <f>_xlfn.XMATCH(tbl_Clean[[#This Row],[Education]],{"Partial High School","High School","Partial College","Bachelors","Graduate Degree"})</f>
        <v>4</v>
      </c>
      <c r="U626" s="20">
        <f>IF(tbl_Clean[[#This Row],[Purchased Bike]]="Yes",1,0)</f>
        <v>0</v>
      </c>
    </row>
    <row r="627" spans="1:21" x14ac:dyDescent="0.25">
      <c r="A627" s="20">
        <v>25101</v>
      </c>
      <c r="B627" s="3" t="s">
        <v>111</v>
      </c>
      <c r="C627" s="3" t="s">
        <v>113</v>
      </c>
      <c r="D627" s="19">
        <v>60000</v>
      </c>
      <c r="E627" s="20">
        <v>5</v>
      </c>
      <c r="F627" s="3" t="s">
        <v>15</v>
      </c>
      <c r="G627" s="3" t="s">
        <v>23</v>
      </c>
      <c r="H627" s="3" t="s">
        <v>17</v>
      </c>
      <c r="I627" s="20">
        <v>1</v>
      </c>
      <c r="J627" s="3" t="s">
        <v>24</v>
      </c>
      <c r="K627" s="3" t="s">
        <v>35</v>
      </c>
      <c r="L627" s="20">
        <v>47</v>
      </c>
      <c r="M627" s="3" t="s">
        <v>20</v>
      </c>
      <c r="N627" s="20" t="str" cm="1">
        <f t="array" ref="N627">_xlfn.IFS(tbl_Clean[[#This Row],[Age]]&lt;=30,"25-30",tbl_Clean[[#This Row],[Age]]&lt;=40,"31-40",tbl_Clean[[#This Row],[Age]]&lt;=50,"41-50",tbl_Clean[[#This Row],[Age]]&lt;=60,"51-60",TRUE,"61+")</f>
        <v>41-50</v>
      </c>
      <c r="O627" s="20">
        <f>_xlfn.XMATCH(tbl_Clean[[#This Row],[Age Band]],{"25-30","31-40","41-50","51-60","61+"})</f>
        <v>3</v>
      </c>
      <c r="P627" s="20" t="str" cm="1">
        <f t="array" ref="P627">_xlfn.IFS(tbl_Clean[[#This Row],[Income]]&lt;=30000,"$10k-30k",tbl_Clean[[#This Row],[Income]]&lt;=60000,"$40k-60k",tbl_Clean[[#This Row],[Income]]&lt;=90000,"$70k-90k",TRUE,"$100k+")</f>
        <v>$40k-60k</v>
      </c>
      <c r="Q627" s="20">
        <f>_xlfn.XMATCH(tbl_Clean[[#This Row],[Income Band]],{"$10k-30k","$40k-60k","$70k-90k","$100k+"})</f>
        <v>2</v>
      </c>
      <c r="R627" s="20" t="str">
        <f>IF(tbl_Clean[[#This Row],[Cars]]&lt;=1,"0-1 Cars","2+ Cars")</f>
        <v>0-1 Cars</v>
      </c>
      <c r="S627" s="20">
        <f>_xlfn.XMATCH(tbl_Clean[[#This Row],[Commute Distance]],{"0-1 Miles","1-2 Miles","2-5 Miles","5-10 Miles","10+ Miles"})</f>
        <v>3</v>
      </c>
      <c r="T627" s="20">
        <f>_xlfn.XMATCH(tbl_Clean[[#This Row],[Education]],{"Partial High School","High School","Partial College","Bachelors","Graduate Degree"})</f>
        <v>4</v>
      </c>
      <c r="U627" s="20">
        <f>IF(tbl_Clean[[#This Row],[Purchased Bike]]="Yes",1,0)</f>
        <v>0</v>
      </c>
    </row>
    <row r="628" spans="1:21" x14ac:dyDescent="0.25">
      <c r="A628" s="20">
        <v>21801</v>
      </c>
      <c r="B628" s="3" t="s">
        <v>111</v>
      </c>
      <c r="C628" s="3" t="s">
        <v>112</v>
      </c>
      <c r="D628" s="19">
        <v>70000</v>
      </c>
      <c r="E628" s="20">
        <v>4</v>
      </c>
      <c r="F628" s="3" t="s">
        <v>21</v>
      </c>
      <c r="G628" s="3" t="s">
        <v>23</v>
      </c>
      <c r="H628" s="3" t="s">
        <v>17</v>
      </c>
      <c r="I628" s="20">
        <v>1</v>
      </c>
      <c r="J628" s="3" t="s">
        <v>29</v>
      </c>
      <c r="K628" s="3" t="s">
        <v>35</v>
      </c>
      <c r="L628" s="20">
        <v>55</v>
      </c>
      <c r="M628" s="3" t="s">
        <v>20</v>
      </c>
      <c r="N628" s="20" t="str" cm="1">
        <f t="array" ref="N628">_xlfn.IFS(tbl_Clean[[#This Row],[Age]]&lt;=30,"25-30",tbl_Clean[[#This Row],[Age]]&lt;=40,"31-40",tbl_Clean[[#This Row],[Age]]&lt;=50,"41-50",tbl_Clean[[#This Row],[Age]]&lt;=60,"51-60",TRUE,"61+")</f>
        <v>51-60</v>
      </c>
      <c r="O628" s="20">
        <f>_xlfn.XMATCH(tbl_Clean[[#This Row],[Age Band]],{"25-30","31-40","41-50","51-60","61+"})</f>
        <v>4</v>
      </c>
      <c r="P628" s="20" t="str" cm="1">
        <f t="array" ref="P628">_xlfn.IFS(tbl_Clean[[#This Row],[Income]]&lt;=30000,"$10k-30k",tbl_Clean[[#This Row],[Income]]&lt;=60000,"$40k-60k",tbl_Clean[[#This Row],[Income]]&lt;=90000,"$70k-90k",TRUE,"$100k+")</f>
        <v>$70k-90k</v>
      </c>
      <c r="Q628" s="20">
        <f>_xlfn.XMATCH(tbl_Clean[[#This Row],[Income Band]],{"$10k-30k","$40k-60k","$70k-90k","$100k+"})</f>
        <v>3</v>
      </c>
      <c r="R628" s="20" t="str">
        <f>IF(tbl_Clean[[#This Row],[Cars]]&lt;=1,"0-1 Cars","2+ Cars")</f>
        <v>0-1 Cars</v>
      </c>
      <c r="S628" s="20">
        <f>_xlfn.XMATCH(tbl_Clean[[#This Row],[Commute Distance]],{"0-1 Miles","1-2 Miles","2-5 Miles","5-10 Miles","10+ Miles"})</f>
        <v>2</v>
      </c>
      <c r="T628" s="20">
        <f>_xlfn.XMATCH(tbl_Clean[[#This Row],[Education]],{"Partial High School","High School","Partial College","Bachelors","Graduate Degree"})</f>
        <v>3</v>
      </c>
      <c r="U628" s="20">
        <f>IF(tbl_Clean[[#This Row],[Purchased Bike]]="Yes",1,0)</f>
        <v>0</v>
      </c>
    </row>
    <row r="629" spans="1:21" x14ac:dyDescent="0.25">
      <c r="A629" s="20">
        <v>25943</v>
      </c>
      <c r="B629" s="3" t="s">
        <v>114</v>
      </c>
      <c r="C629" s="3" t="s">
        <v>112</v>
      </c>
      <c r="D629" s="19">
        <v>70000</v>
      </c>
      <c r="E629" s="20">
        <v>0</v>
      </c>
      <c r="F629" s="3" t="s">
        <v>21</v>
      </c>
      <c r="G629" s="3" t="s">
        <v>16</v>
      </c>
      <c r="H629" s="3" t="s">
        <v>20</v>
      </c>
      <c r="I629" s="20">
        <v>2</v>
      </c>
      <c r="J629" s="3" t="s">
        <v>18</v>
      </c>
      <c r="K629" s="3" t="s">
        <v>35</v>
      </c>
      <c r="L629" s="20">
        <v>27</v>
      </c>
      <c r="M629" s="3" t="s">
        <v>17</v>
      </c>
      <c r="N629" s="20" t="str" cm="1">
        <f t="array" ref="N629">_xlfn.IFS(tbl_Clean[[#This Row],[Age]]&lt;=30,"25-30",tbl_Clean[[#This Row],[Age]]&lt;=40,"31-40",tbl_Clean[[#This Row],[Age]]&lt;=50,"41-50",tbl_Clean[[#This Row],[Age]]&lt;=60,"51-60",TRUE,"61+")</f>
        <v>25-30</v>
      </c>
      <c r="O629" s="20">
        <f>_xlfn.XMATCH(tbl_Clean[[#This Row],[Age Band]],{"25-30","31-40","41-50","51-60","61+"})</f>
        <v>1</v>
      </c>
      <c r="P629" s="20" t="str" cm="1">
        <f t="array" ref="P629">_xlfn.IFS(tbl_Clean[[#This Row],[Income]]&lt;=30000,"$10k-30k",tbl_Clean[[#This Row],[Income]]&lt;=60000,"$40k-60k",tbl_Clean[[#This Row],[Income]]&lt;=90000,"$70k-90k",TRUE,"$100k+")</f>
        <v>$70k-90k</v>
      </c>
      <c r="Q629" s="20">
        <f>_xlfn.XMATCH(tbl_Clean[[#This Row],[Income Band]],{"$10k-30k","$40k-60k","$70k-90k","$100k+"})</f>
        <v>3</v>
      </c>
      <c r="R629" s="20" t="str">
        <f>IF(tbl_Clean[[#This Row],[Cars]]&lt;=1,"0-1 Cars","2+ Cars")</f>
        <v>2+ Cars</v>
      </c>
      <c r="S629" s="20">
        <f>_xlfn.XMATCH(tbl_Clean[[#This Row],[Commute Distance]],{"0-1 Miles","1-2 Miles","2-5 Miles","5-10 Miles","10+ Miles"})</f>
        <v>1</v>
      </c>
      <c r="T629" s="20">
        <f>_xlfn.XMATCH(tbl_Clean[[#This Row],[Education]],{"Partial High School","High School","Partial College","Bachelors","Graduate Degree"})</f>
        <v>3</v>
      </c>
      <c r="U629" s="20">
        <f>IF(tbl_Clean[[#This Row],[Purchased Bike]]="Yes",1,0)</f>
        <v>1</v>
      </c>
    </row>
    <row r="630" spans="1:21" x14ac:dyDescent="0.25">
      <c r="A630" s="20">
        <v>22127</v>
      </c>
      <c r="B630" s="3" t="s">
        <v>111</v>
      </c>
      <c r="C630" s="3" t="s">
        <v>113</v>
      </c>
      <c r="D630" s="19">
        <v>60000</v>
      </c>
      <c r="E630" s="20">
        <v>3</v>
      </c>
      <c r="F630" s="3" t="s">
        <v>34</v>
      </c>
      <c r="G630" s="3" t="s">
        <v>31</v>
      </c>
      <c r="H630" s="3" t="s">
        <v>17</v>
      </c>
      <c r="I630" s="20">
        <v>2</v>
      </c>
      <c r="J630" s="3" t="s">
        <v>29</v>
      </c>
      <c r="K630" s="3" t="s">
        <v>35</v>
      </c>
      <c r="L630" s="20">
        <v>67</v>
      </c>
      <c r="M630" s="3" t="s">
        <v>20</v>
      </c>
      <c r="N630" s="20" t="str" cm="1">
        <f t="array" ref="N630">_xlfn.IFS(tbl_Clean[[#This Row],[Age]]&lt;=30,"25-30",tbl_Clean[[#This Row],[Age]]&lt;=40,"31-40",tbl_Clean[[#This Row],[Age]]&lt;=50,"41-50",tbl_Clean[[#This Row],[Age]]&lt;=60,"51-60",TRUE,"61+")</f>
        <v>61+</v>
      </c>
      <c r="O630" s="20">
        <f>_xlfn.XMATCH(tbl_Clean[[#This Row],[Age Band]],{"25-30","31-40","41-50","51-60","61+"})</f>
        <v>5</v>
      </c>
      <c r="P630" s="20" t="str" cm="1">
        <f t="array" ref="P630">_xlfn.IFS(tbl_Clean[[#This Row],[Income]]&lt;=30000,"$10k-30k",tbl_Clean[[#This Row],[Income]]&lt;=60000,"$40k-60k",tbl_Clean[[#This Row],[Income]]&lt;=90000,"$70k-90k",TRUE,"$100k+")</f>
        <v>$40k-60k</v>
      </c>
      <c r="Q630" s="20">
        <f>_xlfn.XMATCH(tbl_Clean[[#This Row],[Income Band]],{"$10k-30k","$40k-60k","$70k-90k","$100k+"})</f>
        <v>2</v>
      </c>
      <c r="R630" s="20" t="str">
        <f>IF(tbl_Clean[[#This Row],[Cars]]&lt;=1,"0-1 Cars","2+ Cars")</f>
        <v>2+ Cars</v>
      </c>
      <c r="S630" s="20">
        <f>_xlfn.XMATCH(tbl_Clean[[#This Row],[Commute Distance]],{"0-1 Miles","1-2 Miles","2-5 Miles","5-10 Miles","10+ Miles"})</f>
        <v>2</v>
      </c>
      <c r="T630" s="20">
        <f>_xlfn.XMATCH(tbl_Clean[[#This Row],[Education]],{"Partial High School","High School","Partial College","Bachelors","Graduate Degree"})</f>
        <v>5</v>
      </c>
      <c r="U630" s="20">
        <f>IF(tbl_Clean[[#This Row],[Purchased Bike]]="Yes",1,0)</f>
        <v>0</v>
      </c>
    </row>
    <row r="631" spans="1:21" x14ac:dyDescent="0.25">
      <c r="A631" s="20">
        <v>20414</v>
      </c>
      <c r="B631" s="3" t="s">
        <v>111</v>
      </c>
      <c r="C631" s="3" t="s">
        <v>112</v>
      </c>
      <c r="D631" s="19">
        <v>60000</v>
      </c>
      <c r="E631" s="20">
        <v>0</v>
      </c>
      <c r="F631" s="3" t="s">
        <v>21</v>
      </c>
      <c r="G631" s="3" t="s">
        <v>16</v>
      </c>
      <c r="H631" s="3" t="s">
        <v>17</v>
      </c>
      <c r="I631" s="20">
        <v>2</v>
      </c>
      <c r="J631" s="3" t="s">
        <v>26</v>
      </c>
      <c r="K631" s="3" t="s">
        <v>35</v>
      </c>
      <c r="L631" s="20">
        <v>29</v>
      </c>
      <c r="M631" s="3" t="s">
        <v>20</v>
      </c>
      <c r="N631" s="20" t="str" cm="1">
        <f t="array" ref="N631">_xlfn.IFS(tbl_Clean[[#This Row],[Age]]&lt;=30,"25-30",tbl_Clean[[#This Row],[Age]]&lt;=40,"31-40",tbl_Clean[[#This Row],[Age]]&lt;=50,"41-50",tbl_Clean[[#This Row],[Age]]&lt;=60,"51-60",TRUE,"61+")</f>
        <v>25-30</v>
      </c>
      <c r="O631" s="20">
        <f>_xlfn.XMATCH(tbl_Clean[[#This Row],[Age Band]],{"25-30","31-40","41-50","51-60","61+"})</f>
        <v>1</v>
      </c>
      <c r="P631" s="20" t="str" cm="1">
        <f t="array" ref="P631">_xlfn.IFS(tbl_Clean[[#This Row],[Income]]&lt;=30000,"$10k-30k",tbl_Clean[[#This Row],[Income]]&lt;=60000,"$40k-60k",tbl_Clean[[#This Row],[Income]]&lt;=90000,"$70k-90k",TRUE,"$100k+")</f>
        <v>$40k-60k</v>
      </c>
      <c r="Q631" s="20">
        <f>_xlfn.XMATCH(tbl_Clean[[#This Row],[Income Band]],{"$10k-30k","$40k-60k","$70k-90k","$100k+"})</f>
        <v>2</v>
      </c>
      <c r="R631" s="20" t="str">
        <f>IF(tbl_Clean[[#This Row],[Cars]]&lt;=1,"0-1 Cars","2+ Cars")</f>
        <v>2+ Cars</v>
      </c>
      <c r="S631" s="20">
        <f>_xlfn.XMATCH(tbl_Clean[[#This Row],[Commute Distance]],{"0-1 Miles","1-2 Miles","2-5 Miles","5-10 Miles","10+ Miles"})</f>
        <v>4</v>
      </c>
      <c r="T631" s="20">
        <f>_xlfn.XMATCH(tbl_Clean[[#This Row],[Education]],{"Partial High School","High School","Partial College","Bachelors","Graduate Degree"})</f>
        <v>3</v>
      </c>
      <c r="U631" s="20">
        <f>IF(tbl_Clean[[#This Row],[Purchased Bike]]="Yes",1,0)</f>
        <v>0</v>
      </c>
    </row>
    <row r="632" spans="1:21" x14ac:dyDescent="0.25">
      <c r="A632" s="20">
        <v>23672</v>
      </c>
      <c r="B632" s="3" t="s">
        <v>111</v>
      </c>
      <c r="C632" s="3" t="s">
        <v>112</v>
      </c>
      <c r="D632" s="19">
        <v>60000</v>
      </c>
      <c r="E632" s="20">
        <v>3</v>
      </c>
      <c r="F632" s="3" t="s">
        <v>34</v>
      </c>
      <c r="G632" s="3" t="s">
        <v>31</v>
      </c>
      <c r="H632" s="3" t="s">
        <v>17</v>
      </c>
      <c r="I632" s="20">
        <v>2</v>
      </c>
      <c r="J632" s="3" t="s">
        <v>29</v>
      </c>
      <c r="K632" s="3" t="s">
        <v>35</v>
      </c>
      <c r="L632" s="20">
        <v>67</v>
      </c>
      <c r="M632" s="3" t="s">
        <v>20</v>
      </c>
      <c r="N632" s="20" t="str" cm="1">
        <f t="array" ref="N632">_xlfn.IFS(tbl_Clean[[#This Row],[Age]]&lt;=30,"25-30",tbl_Clean[[#This Row],[Age]]&lt;=40,"31-40",tbl_Clean[[#This Row],[Age]]&lt;=50,"41-50",tbl_Clean[[#This Row],[Age]]&lt;=60,"51-60",TRUE,"61+")</f>
        <v>61+</v>
      </c>
      <c r="O632" s="20">
        <f>_xlfn.XMATCH(tbl_Clean[[#This Row],[Age Band]],{"25-30","31-40","41-50","51-60","61+"})</f>
        <v>5</v>
      </c>
      <c r="P632" s="20" t="str" cm="1">
        <f t="array" ref="P632">_xlfn.IFS(tbl_Clean[[#This Row],[Income]]&lt;=30000,"$10k-30k",tbl_Clean[[#This Row],[Income]]&lt;=60000,"$40k-60k",tbl_Clean[[#This Row],[Income]]&lt;=90000,"$70k-90k",TRUE,"$100k+")</f>
        <v>$40k-60k</v>
      </c>
      <c r="Q632" s="20">
        <f>_xlfn.XMATCH(tbl_Clean[[#This Row],[Income Band]],{"$10k-30k","$40k-60k","$70k-90k","$100k+"})</f>
        <v>2</v>
      </c>
      <c r="R632" s="20" t="str">
        <f>IF(tbl_Clean[[#This Row],[Cars]]&lt;=1,"0-1 Cars","2+ Cars")</f>
        <v>2+ Cars</v>
      </c>
      <c r="S632" s="20">
        <f>_xlfn.XMATCH(tbl_Clean[[#This Row],[Commute Distance]],{"0-1 Miles","1-2 Miles","2-5 Miles","5-10 Miles","10+ Miles"})</f>
        <v>2</v>
      </c>
      <c r="T632" s="20">
        <f>_xlfn.XMATCH(tbl_Clean[[#This Row],[Education]],{"Partial High School","High School","Partial College","Bachelors","Graduate Degree"})</f>
        <v>5</v>
      </c>
      <c r="U632" s="20">
        <f>IF(tbl_Clean[[#This Row],[Purchased Bike]]="Yes",1,0)</f>
        <v>0</v>
      </c>
    </row>
    <row r="633" spans="1:21" x14ac:dyDescent="0.25">
      <c r="A633" s="20">
        <v>29255</v>
      </c>
      <c r="B633" s="3" t="s">
        <v>114</v>
      </c>
      <c r="C633" s="3" t="s">
        <v>113</v>
      </c>
      <c r="D633" s="19">
        <v>80000</v>
      </c>
      <c r="E633" s="20">
        <v>3</v>
      </c>
      <c r="F633" s="3" t="s">
        <v>21</v>
      </c>
      <c r="G633" s="3" t="s">
        <v>23</v>
      </c>
      <c r="H633" s="3" t="s">
        <v>20</v>
      </c>
      <c r="I633" s="20">
        <v>1</v>
      </c>
      <c r="J633" s="3" t="s">
        <v>29</v>
      </c>
      <c r="K633" s="3" t="s">
        <v>35</v>
      </c>
      <c r="L633" s="20">
        <v>51</v>
      </c>
      <c r="M633" s="3" t="s">
        <v>17</v>
      </c>
      <c r="N633" s="20" t="str" cm="1">
        <f t="array" ref="N633">_xlfn.IFS(tbl_Clean[[#This Row],[Age]]&lt;=30,"25-30",tbl_Clean[[#This Row],[Age]]&lt;=40,"31-40",tbl_Clean[[#This Row],[Age]]&lt;=50,"41-50",tbl_Clean[[#This Row],[Age]]&lt;=60,"51-60",TRUE,"61+")</f>
        <v>51-60</v>
      </c>
      <c r="O633" s="20">
        <f>_xlfn.XMATCH(tbl_Clean[[#This Row],[Age Band]],{"25-30","31-40","41-50","51-60","61+"})</f>
        <v>4</v>
      </c>
      <c r="P633" s="20" t="str" cm="1">
        <f t="array" ref="P633">_xlfn.IFS(tbl_Clean[[#This Row],[Income]]&lt;=30000,"$10k-30k",tbl_Clean[[#This Row],[Income]]&lt;=60000,"$40k-60k",tbl_Clean[[#This Row],[Income]]&lt;=90000,"$70k-90k",TRUE,"$100k+")</f>
        <v>$70k-90k</v>
      </c>
      <c r="Q633" s="20">
        <f>_xlfn.XMATCH(tbl_Clean[[#This Row],[Income Band]],{"$10k-30k","$40k-60k","$70k-90k","$100k+"})</f>
        <v>3</v>
      </c>
      <c r="R633" s="20" t="str">
        <f>IF(tbl_Clean[[#This Row],[Cars]]&lt;=1,"0-1 Cars","2+ Cars")</f>
        <v>0-1 Cars</v>
      </c>
      <c r="S633" s="20">
        <f>_xlfn.XMATCH(tbl_Clean[[#This Row],[Commute Distance]],{"0-1 Miles","1-2 Miles","2-5 Miles","5-10 Miles","10+ Miles"})</f>
        <v>2</v>
      </c>
      <c r="T633" s="20">
        <f>_xlfn.XMATCH(tbl_Clean[[#This Row],[Education]],{"Partial High School","High School","Partial College","Bachelors","Graduate Degree"})</f>
        <v>3</v>
      </c>
      <c r="U633" s="20">
        <f>IF(tbl_Clean[[#This Row],[Purchased Bike]]="Yes",1,0)</f>
        <v>1</v>
      </c>
    </row>
    <row r="634" spans="1:21" x14ac:dyDescent="0.25">
      <c r="A634" s="20">
        <v>28815</v>
      </c>
      <c r="B634" s="3" t="s">
        <v>111</v>
      </c>
      <c r="C634" s="3" t="s">
        <v>112</v>
      </c>
      <c r="D634" s="19">
        <v>50000</v>
      </c>
      <c r="E634" s="20">
        <v>1</v>
      </c>
      <c r="F634" s="3" t="s">
        <v>34</v>
      </c>
      <c r="G634" s="3" t="s">
        <v>16</v>
      </c>
      <c r="H634" s="3" t="s">
        <v>17</v>
      </c>
      <c r="I634" s="20">
        <v>0</v>
      </c>
      <c r="J634" s="3" t="s">
        <v>18</v>
      </c>
      <c r="K634" s="3" t="s">
        <v>35</v>
      </c>
      <c r="L634" s="20">
        <v>35</v>
      </c>
      <c r="M634" s="3" t="s">
        <v>20</v>
      </c>
      <c r="N634" s="20" t="str" cm="1">
        <f t="array" ref="N634">_xlfn.IFS(tbl_Clean[[#This Row],[Age]]&lt;=30,"25-30",tbl_Clean[[#This Row],[Age]]&lt;=40,"31-40",tbl_Clean[[#This Row],[Age]]&lt;=50,"41-50",tbl_Clean[[#This Row],[Age]]&lt;=60,"51-60",TRUE,"61+")</f>
        <v>31-40</v>
      </c>
      <c r="O634" s="20">
        <f>_xlfn.XMATCH(tbl_Clean[[#This Row],[Age Band]],{"25-30","31-40","41-50","51-60","61+"})</f>
        <v>2</v>
      </c>
      <c r="P634" s="20" t="str" cm="1">
        <f t="array" ref="P634">_xlfn.IFS(tbl_Clean[[#This Row],[Income]]&lt;=30000,"$10k-30k",tbl_Clean[[#This Row],[Income]]&lt;=60000,"$40k-60k",tbl_Clean[[#This Row],[Income]]&lt;=90000,"$70k-90k",TRUE,"$100k+")</f>
        <v>$40k-60k</v>
      </c>
      <c r="Q634" s="20">
        <f>_xlfn.XMATCH(tbl_Clean[[#This Row],[Income Band]],{"$10k-30k","$40k-60k","$70k-90k","$100k+"})</f>
        <v>2</v>
      </c>
      <c r="R634" s="20" t="str">
        <f>IF(tbl_Clean[[#This Row],[Cars]]&lt;=1,"0-1 Cars","2+ Cars")</f>
        <v>0-1 Cars</v>
      </c>
      <c r="S634" s="20">
        <f>_xlfn.XMATCH(tbl_Clean[[#This Row],[Commute Distance]],{"0-1 Miles","1-2 Miles","2-5 Miles","5-10 Miles","10+ Miles"})</f>
        <v>1</v>
      </c>
      <c r="T634" s="20">
        <f>_xlfn.XMATCH(tbl_Clean[[#This Row],[Education]],{"Partial High School","High School","Partial College","Bachelors","Graduate Degree"})</f>
        <v>5</v>
      </c>
      <c r="U634" s="20">
        <f>IF(tbl_Clean[[#This Row],[Purchased Bike]]="Yes",1,0)</f>
        <v>0</v>
      </c>
    </row>
    <row r="635" spans="1:21" x14ac:dyDescent="0.25">
      <c r="A635" s="20">
        <v>27753</v>
      </c>
      <c r="B635" s="3" t="s">
        <v>111</v>
      </c>
      <c r="C635" s="3" t="s">
        <v>113</v>
      </c>
      <c r="D635" s="19">
        <v>40000</v>
      </c>
      <c r="E635" s="20">
        <v>0</v>
      </c>
      <c r="F635" s="3" t="s">
        <v>30</v>
      </c>
      <c r="G635" s="3" t="s">
        <v>16</v>
      </c>
      <c r="H635" s="3" t="s">
        <v>20</v>
      </c>
      <c r="I635" s="20">
        <v>2</v>
      </c>
      <c r="J635" s="3" t="s">
        <v>29</v>
      </c>
      <c r="K635" s="3" t="s">
        <v>35</v>
      </c>
      <c r="L635" s="20">
        <v>30</v>
      </c>
      <c r="M635" s="3" t="s">
        <v>20</v>
      </c>
      <c r="N635" s="20" t="str" cm="1">
        <f t="array" ref="N635">_xlfn.IFS(tbl_Clean[[#This Row],[Age]]&lt;=30,"25-30",tbl_Clean[[#This Row],[Age]]&lt;=40,"31-40",tbl_Clean[[#This Row],[Age]]&lt;=50,"41-50",tbl_Clean[[#This Row],[Age]]&lt;=60,"51-60",TRUE,"61+")</f>
        <v>25-30</v>
      </c>
      <c r="O635" s="20">
        <f>_xlfn.XMATCH(tbl_Clean[[#This Row],[Age Band]],{"25-30","31-40","41-50","51-60","61+"})</f>
        <v>1</v>
      </c>
      <c r="P635" s="20" t="str" cm="1">
        <f t="array" ref="P635">_xlfn.IFS(tbl_Clean[[#This Row],[Income]]&lt;=30000,"$10k-30k",tbl_Clean[[#This Row],[Income]]&lt;=60000,"$40k-60k",tbl_Clean[[#This Row],[Income]]&lt;=90000,"$70k-90k",TRUE,"$100k+")</f>
        <v>$40k-60k</v>
      </c>
      <c r="Q635" s="20">
        <f>_xlfn.XMATCH(tbl_Clean[[#This Row],[Income Band]],{"$10k-30k","$40k-60k","$70k-90k","$100k+"})</f>
        <v>2</v>
      </c>
      <c r="R635" s="20" t="str">
        <f>IF(tbl_Clean[[#This Row],[Cars]]&lt;=1,"0-1 Cars","2+ Cars")</f>
        <v>2+ Cars</v>
      </c>
      <c r="S635" s="20">
        <f>_xlfn.XMATCH(tbl_Clean[[#This Row],[Commute Distance]],{"0-1 Miles","1-2 Miles","2-5 Miles","5-10 Miles","10+ Miles"})</f>
        <v>2</v>
      </c>
      <c r="T635" s="20">
        <f>_xlfn.XMATCH(tbl_Clean[[#This Row],[Education]],{"Partial High School","High School","Partial College","Bachelors","Graduate Degree"})</f>
        <v>2</v>
      </c>
      <c r="U635" s="20">
        <f>IF(tbl_Clean[[#This Row],[Purchased Bike]]="Yes",1,0)</f>
        <v>0</v>
      </c>
    </row>
    <row r="636" spans="1:21" x14ac:dyDescent="0.25">
      <c r="A636" s="20">
        <v>27643</v>
      </c>
      <c r="B636" s="3" t="s">
        <v>114</v>
      </c>
      <c r="C636" s="3" t="s">
        <v>113</v>
      </c>
      <c r="D636" s="19">
        <v>70000</v>
      </c>
      <c r="E636" s="20">
        <v>5</v>
      </c>
      <c r="F636" s="3" t="s">
        <v>21</v>
      </c>
      <c r="G636" s="3" t="s">
        <v>23</v>
      </c>
      <c r="H636" s="3" t="s">
        <v>17</v>
      </c>
      <c r="I636" s="20">
        <v>3</v>
      </c>
      <c r="J636" s="3" t="s">
        <v>24</v>
      </c>
      <c r="K636" s="3" t="s">
        <v>35</v>
      </c>
      <c r="L636" s="20">
        <v>44</v>
      </c>
      <c r="M636" s="3" t="s">
        <v>20</v>
      </c>
      <c r="N636" s="20" t="str" cm="1">
        <f t="array" ref="N636">_xlfn.IFS(tbl_Clean[[#This Row],[Age]]&lt;=30,"25-30",tbl_Clean[[#This Row],[Age]]&lt;=40,"31-40",tbl_Clean[[#This Row],[Age]]&lt;=50,"41-50",tbl_Clean[[#This Row],[Age]]&lt;=60,"51-60",TRUE,"61+")</f>
        <v>41-50</v>
      </c>
      <c r="O636" s="20">
        <f>_xlfn.XMATCH(tbl_Clean[[#This Row],[Age Band]],{"25-30","31-40","41-50","51-60","61+"})</f>
        <v>3</v>
      </c>
      <c r="P636" s="20" t="str" cm="1">
        <f t="array" ref="P636">_xlfn.IFS(tbl_Clean[[#This Row],[Income]]&lt;=30000,"$10k-30k",tbl_Clean[[#This Row],[Income]]&lt;=60000,"$40k-60k",tbl_Clean[[#This Row],[Income]]&lt;=90000,"$70k-90k",TRUE,"$100k+")</f>
        <v>$70k-90k</v>
      </c>
      <c r="Q636" s="20">
        <f>_xlfn.XMATCH(tbl_Clean[[#This Row],[Income Band]],{"$10k-30k","$40k-60k","$70k-90k","$100k+"})</f>
        <v>3</v>
      </c>
      <c r="R636" s="20" t="str">
        <f>IF(tbl_Clean[[#This Row],[Cars]]&lt;=1,"0-1 Cars","2+ Cars")</f>
        <v>2+ Cars</v>
      </c>
      <c r="S636" s="20">
        <f>_xlfn.XMATCH(tbl_Clean[[#This Row],[Commute Distance]],{"0-1 Miles","1-2 Miles","2-5 Miles","5-10 Miles","10+ Miles"})</f>
        <v>3</v>
      </c>
      <c r="T636" s="20">
        <f>_xlfn.XMATCH(tbl_Clean[[#This Row],[Education]],{"Partial High School","High School","Partial College","Bachelors","Graduate Degree"})</f>
        <v>3</v>
      </c>
      <c r="U636" s="20">
        <f>IF(tbl_Clean[[#This Row],[Purchased Bike]]="Yes",1,0)</f>
        <v>0</v>
      </c>
    </row>
    <row r="637" spans="1:21" x14ac:dyDescent="0.25">
      <c r="A637" s="20">
        <v>13754</v>
      </c>
      <c r="B637" s="3" t="s">
        <v>114</v>
      </c>
      <c r="C637" s="3" t="s">
        <v>112</v>
      </c>
      <c r="D637" s="19">
        <v>80000</v>
      </c>
      <c r="E637" s="20">
        <v>4</v>
      </c>
      <c r="F637" s="3" t="s">
        <v>34</v>
      </c>
      <c r="G637" s="3" t="s">
        <v>16</v>
      </c>
      <c r="H637" s="3" t="s">
        <v>17</v>
      </c>
      <c r="I637" s="20">
        <v>0</v>
      </c>
      <c r="J637" s="3" t="s">
        <v>29</v>
      </c>
      <c r="K637" s="3" t="s">
        <v>35</v>
      </c>
      <c r="L637" s="20">
        <v>48</v>
      </c>
      <c r="M637" s="3" t="s">
        <v>20</v>
      </c>
      <c r="N637" s="20" t="str" cm="1">
        <f t="array" ref="N637">_xlfn.IFS(tbl_Clean[[#This Row],[Age]]&lt;=30,"25-30",tbl_Clean[[#This Row],[Age]]&lt;=40,"31-40",tbl_Clean[[#This Row],[Age]]&lt;=50,"41-50",tbl_Clean[[#This Row],[Age]]&lt;=60,"51-60",TRUE,"61+")</f>
        <v>41-50</v>
      </c>
      <c r="O637" s="20">
        <f>_xlfn.XMATCH(tbl_Clean[[#This Row],[Age Band]],{"25-30","31-40","41-50","51-60","61+"})</f>
        <v>3</v>
      </c>
      <c r="P637" s="20" t="str" cm="1">
        <f t="array" ref="P637">_xlfn.IFS(tbl_Clean[[#This Row],[Income]]&lt;=30000,"$10k-30k",tbl_Clean[[#This Row],[Income]]&lt;=60000,"$40k-60k",tbl_Clean[[#This Row],[Income]]&lt;=90000,"$70k-90k",TRUE,"$100k+")</f>
        <v>$70k-90k</v>
      </c>
      <c r="Q637" s="20">
        <f>_xlfn.XMATCH(tbl_Clean[[#This Row],[Income Band]],{"$10k-30k","$40k-60k","$70k-90k","$100k+"})</f>
        <v>3</v>
      </c>
      <c r="R637" s="20" t="str">
        <f>IF(tbl_Clean[[#This Row],[Cars]]&lt;=1,"0-1 Cars","2+ Cars")</f>
        <v>0-1 Cars</v>
      </c>
      <c r="S637" s="20">
        <f>_xlfn.XMATCH(tbl_Clean[[#This Row],[Commute Distance]],{"0-1 Miles","1-2 Miles","2-5 Miles","5-10 Miles","10+ Miles"})</f>
        <v>2</v>
      </c>
      <c r="T637" s="20">
        <f>_xlfn.XMATCH(tbl_Clean[[#This Row],[Education]],{"Partial High School","High School","Partial College","Bachelors","Graduate Degree"})</f>
        <v>5</v>
      </c>
      <c r="U637" s="20">
        <f>IF(tbl_Clean[[#This Row],[Purchased Bike]]="Yes",1,0)</f>
        <v>0</v>
      </c>
    </row>
    <row r="638" spans="1:21" x14ac:dyDescent="0.25">
      <c r="A638" s="20">
        <v>22088</v>
      </c>
      <c r="B638" s="3" t="s">
        <v>111</v>
      </c>
      <c r="C638" s="3" t="s">
        <v>112</v>
      </c>
      <c r="D638" s="19">
        <v>130000</v>
      </c>
      <c r="E638" s="20">
        <v>1</v>
      </c>
      <c r="F638" s="3" t="s">
        <v>15</v>
      </c>
      <c r="G638" s="3" t="s">
        <v>31</v>
      </c>
      <c r="H638" s="3" t="s">
        <v>17</v>
      </c>
      <c r="I638" s="20">
        <v>2</v>
      </c>
      <c r="J638" s="3" t="s">
        <v>18</v>
      </c>
      <c r="K638" s="3" t="s">
        <v>35</v>
      </c>
      <c r="L638" s="20">
        <v>45</v>
      </c>
      <c r="M638" s="3" t="s">
        <v>17</v>
      </c>
      <c r="N638" s="20" t="str" cm="1">
        <f t="array" ref="N638">_xlfn.IFS(tbl_Clean[[#This Row],[Age]]&lt;=30,"25-30",tbl_Clean[[#This Row],[Age]]&lt;=40,"31-40",tbl_Clean[[#This Row],[Age]]&lt;=50,"41-50",tbl_Clean[[#This Row],[Age]]&lt;=60,"51-60",TRUE,"61+")</f>
        <v>41-50</v>
      </c>
      <c r="O638" s="20">
        <f>_xlfn.XMATCH(tbl_Clean[[#This Row],[Age Band]],{"25-30","31-40","41-50","51-60","61+"})</f>
        <v>3</v>
      </c>
      <c r="P638" s="20" t="str" cm="1">
        <f t="array" ref="P638">_xlfn.IFS(tbl_Clean[[#This Row],[Income]]&lt;=30000,"$10k-30k",tbl_Clean[[#This Row],[Income]]&lt;=60000,"$40k-60k",tbl_Clean[[#This Row],[Income]]&lt;=90000,"$70k-90k",TRUE,"$100k+")</f>
        <v>$100k+</v>
      </c>
      <c r="Q638" s="20">
        <f>_xlfn.XMATCH(tbl_Clean[[#This Row],[Income Band]],{"$10k-30k","$40k-60k","$70k-90k","$100k+"})</f>
        <v>4</v>
      </c>
      <c r="R638" s="20" t="str">
        <f>IF(tbl_Clean[[#This Row],[Cars]]&lt;=1,"0-1 Cars","2+ Cars")</f>
        <v>2+ Cars</v>
      </c>
      <c r="S638" s="20">
        <f>_xlfn.XMATCH(tbl_Clean[[#This Row],[Commute Distance]],{"0-1 Miles","1-2 Miles","2-5 Miles","5-10 Miles","10+ Miles"})</f>
        <v>1</v>
      </c>
      <c r="T638" s="20">
        <f>_xlfn.XMATCH(tbl_Clean[[#This Row],[Education]],{"Partial High School","High School","Partial College","Bachelors","Graduate Degree"})</f>
        <v>4</v>
      </c>
      <c r="U638" s="20">
        <f>IF(tbl_Clean[[#This Row],[Purchased Bike]]="Yes",1,0)</f>
        <v>1</v>
      </c>
    </row>
    <row r="639" spans="1:21" x14ac:dyDescent="0.25">
      <c r="A639" s="20">
        <v>27388</v>
      </c>
      <c r="B639" s="3" t="s">
        <v>111</v>
      </c>
      <c r="C639" s="3" t="s">
        <v>113</v>
      </c>
      <c r="D639" s="19">
        <v>60000</v>
      </c>
      <c r="E639" s="20">
        <v>3</v>
      </c>
      <c r="F639" s="3" t="s">
        <v>15</v>
      </c>
      <c r="G639" s="3" t="s">
        <v>31</v>
      </c>
      <c r="H639" s="3" t="s">
        <v>20</v>
      </c>
      <c r="I639" s="20">
        <v>2</v>
      </c>
      <c r="J639" s="3" t="s">
        <v>29</v>
      </c>
      <c r="K639" s="3" t="s">
        <v>35</v>
      </c>
      <c r="L639" s="20">
        <v>66</v>
      </c>
      <c r="M639" s="3" t="s">
        <v>20</v>
      </c>
      <c r="N639" s="20" t="str" cm="1">
        <f t="array" ref="N639">_xlfn.IFS(tbl_Clean[[#This Row],[Age]]&lt;=30,"25-30",tbl_Clean[[#This Row],[Age]]&lt;=40,"31-40",tbl_Clean[[#This Row],[Age]]&lt;=50,"41-50",tbl_Clean[[#This Row],[Age]]&lt;=60,"51-60",TRUE,"61+")</f>
        <v>61+</v>
      </c>
      <c r="O639" s="20">
        <f>_xlfn.XMATCH(tbl_Clean[[#This Row],[Age Band]],{"25-30","31-40","41-50","51-60","61+"})</f>
        <v>5</v>
      </c>
      <c r="P639" s="20" t="str" cm="1">
        <f t="array" ref="P639">_xlfn.IFS(tbl_Clean[[#This Row],[Income]]&lt;=30000,"$10k-30k",tbl_Clean[[#This Row],[Income]]&lt;=60000,"$40k-60k",tbl_Clean[[#This Row],[Income]]&lt;=90000,"$70k-90k",TRUE,"$100k+")</f>
        <v>$40k-60k</v>
      </c>
      <c r="Q639" s="20">
        <f>_xlfn.XMATCH(tbl_Clean[[#This Row],[Income Band]],{"$10k-30k","$40k-60k","$70k-90k","$100k+"})</f>
        <v>2</v>
      </c>
      <c r="R639" s="20" t="str">
        <f>IF(tbl_Clean[[#This Row],[Cars]]&lt;=1,"0-1 Cars","2+ Cars")</f>
        <v>2+ Cars</v>
      </c>
      <c r="S639" s="20">
        <f>_xlfn.XMATCH(tbl_Clean[[#This Row],[Commute Distance]],{"0-1 Miles","1-2 Miles","2-5 Miles","5-10 Miles","10+ Miles"})</f>
        <v>2</v>
      </c>
      <c r="T639" s="20">
        <f>_xlfn.XMATCH(tbl_Clean[[#This Row],[Education]],{"Partial High School","High School","Partial College","Bachelors","Graduate Degree"})</f>
        <v>4</v>
      </c>
      <c r="U639" s="20">
        <f>IF(tbl_Clean[[#This Row],[Purchased Bike]]="Yes",1,0)</f>
        <v>0</v>
      </c>
    </row>
    <row r="640" spans="1:21" x14ac:dyDescent="0.25">
      <c r="A640" s="20">
        <v>24745</v>
      </c>
      <c r="B640" s="3" t="s">
        <v>114</v>
      </c>
      <c r="C640" s="3" t="s">
        <v>112</v>
      </c>
      <c r="D640" s="19">
        <v>30000</v>
      </c>
      <c r="E640" s="20">
        <v>2</v>
      </c>
      <c r="F640" s="3" t="s">
        <v>30</v>
      </c>
      <c r="G640" s="3" t="s">
        <v>16</v>
      </c>
      <c r="H640" s="3" t="s">
        <v>20</v>
      </c>
      <c r="I640" s="20">
        <v>2</v>
      </c>
      <c r="J640" s="3" t="s">
        <v>18</v>
      </c>
      <c r="K640" s="3" t="s">
        <v>35</v>
      </c>
      <c r="L640" s="20">
        <v>49</v>
      </c>
      <c r="M640" s="3" t="s">
        <v>20</v>
      </c>
      <c r="N640" s="20" t="str" cm="1">
        <f t="array" ref="N640">_xlfn.IFS(tbl_Clean[[#This Row],[Age]]&lt;=30,"25-30",tbl_Clean[[#This Row],[Age]]&lt;=40,"31-40",tbl_Clean[[#This Row],[Age]]&lt;=50,"41-50",tbl_Clean[[#This Row],[Age]]&lt;=60,"51-60",TRUE,"61+")</f>
        <v>41-50</v>
      </c>
      <c r="O640" s="20">
        <f>_xlfn.XMATCH(tbl_Clean[[#This Row],[Age Band]],{"25-30","31-40","41-50","51-60","61+"})</f>
        <v>3</v>
      </c>
      <c r="P640" s="20" t="str" cm="1">
        <f t="array" ref="P640">_xlfn.IFS(tbl_Clean[[#This Row],[Income]]&lt;=30000,"$10k-30k",tbl_Clean[[#This Row],[Income]]&lt;=60000,"$40k-60k",tbl_Clean[[#This Row],[Income]]&lt;=90000,"$70k-90k",TRUE,"$100k+")</f>
        <v>$10k-30k</v>
      </c>
      <c r="Q640" s="20">
        <f>_xlfn.XMATCH(tbl_Clean[[#This Row],[Income Band]],{"$10k-30k","$40k-60k","$70k-90k","$100k+"})</f>
        <v>1</v>
      </c>
      <c r="R640" s="20" t="str">
        <f>IF(tbl_Clean[[#This Row],[Cars]]&lt;=1,"0-1 Cars","2+ Cars")</f>
        <v>2+ Cars</v>
      </c>
      <c r="S640" s="20">
        <f>_xlfn.XMATCH(tbl_Clean[[#This Row],[Commute Distance]],{"0-1 Miles","1-2 Miles","2-5 Miles","5-10 Miles","10+ Miles"})</f>
        <v>1</v>
      </c>
      <c r="T640" s="20">
        <f>_xlfn.XMATCH(tbl_Clean[[#This Row],[Education]],{"Partial High School","High School","Partial College","Bachelors","Graduate Degree"})</f>
        <v>2</v>
      </c>
      <c r="U640" s="20">
        <f>IF(tbl_Clean[[#This Row],[Purchased Bike]]="Yes",1,0)</f>
        <v>0</v>
      </c>
    </row>
    <row r="641" spans="1:21" x14ac:dyDescent="0.25">
      <c r="A641" s="20">
        <v>29237</v>
      </c>
      <c r="B641" s="3" t="s">
        <v>114</v>
      </c>
      <c r="C641" s="3" t="s">
        <v>112</v>
      </c>
      <c r="D641" s="19">
        <v>120000</v>
      </c>
      <c r="E641" s="20">
        <v>4</v>
      </c>
      <c r="F641" s="3" t="s">
        <v>21</v>
      </c>
      <c r="G641" s="3" t="s">
        <v>23</v>
      </c>
      <c r="H641" s="3" t="s">
        <v>17</v>
      </c>
      <c r="I641" s="20">
        <v>3</v>
      </c>
      <c r="J641" s="3" t="s">
        <v>26</v>
      </c>
      <c r="K641" s="3" t="s">
        <v>35</v>
      </c>
      <c r="L641" s="20">
        <v>43</v>
      </c>
      <c r="M641" s="3" t="s">
        <v>17</v>
      </c>
      <c r="N641" s="20" t="str" cm="1">
        <f t="array" ref="N641">_xlfn.IFS(tbl_Clean[[#This Row],[Age]]&lt;=30,"25-30",tbl_Clean[[#This Row],[Age]]&lt;=40,"31-40",tbl_Clean[[#This Row],[Age]]&lt;=50,"41-50",tbl_Clean[[#This Row],[Age]]&lt;=60,"51-60",TRUE,"61+")</f>
        <v>41-50</v>
      </c>
      <c r="O641" s="20">
        <f>_xlfn.XMATCH(tbl_Clean[[#This Row],[Age Band]],{"25-30","31-40","41-50","51-60","61+"})</f>
        <v>3</v>
      </c>
      <c r="P641" s="20" t="str" cm="1">
        <f t="array" ref="P641">_xlfn.IFS(tbl_Clean[[#This Row],[Income]]&lt;=30000,"$10k-30k",tbl_Clean[[#This Row],[Income]]&lt;=60000,"$40k-60k",tbl_Clean[[#This Row],[Income]]&lt;=90000,"$70k-90k",TRUE,"$100k+")</f>
        <v>$100k+</v>
      </c>
      <c r="Q641" s="20">
        <f>_xlfn.XMATCH(tbl_Clean[[#This Row],[Income Band]],{"$10k-30k","$40k-60k","$70k-90k","$100k+"})</f>
        <v>4</v>
      </c>
      <c r="R641" s="20" t="str">
        <f>IF(tbl_Clean[[#This Row],[Cars]]&lt;=1,"0-1 Cars","2+ Cars")</f>
        <v>2+ Cars</v>
      </c>
      <c r="S641" s="20">
        <f>_xlfn.XMATCH(tbl_Clean[[#This Row],[Commute Distance]],{"0-1 Miles","1-2 Miles","2-5 Miles","5-10 Miles","10+ Miles"})</f>
        <v>4</v>
      </c>
      <c r="T641" s="20">
        <f>_xlfn.XMATCH(tbl_Clean[[#This Row],[Education]],{"Partial High School","High School","Partial College","Bachelors","Graduate Degree"})</f>
        <v>3</v>
      </c>
      <c r="U641" s="20">
        <f>IF(tbl_Clean[[#This Row],[Purchased Bike]]="Yes",1,0)</f>
        <v>1</v>
      </c>
    </row>
    <row r="642" spans="1:21" x14ac:dyDescent="0.25">
      <c r="A642" s="20">
        <v>15272</v>
      </c>
      <c r="B642" s="3" t="s">
        <v>114</v>
      </c>
      <c r="C642" s="3" t="s">
        <v>113</v>
      </c>
      <c r="D642" s="19">
        <v>40000</v>
      </c>
      <c r="E642" s="20">
        <v>0</v>
      </c>
      <c r="F642" s="3" t="s">
        <v>30</v>
      </c>
      <c r="G642" s="3" t="s">
        <v>16</v>
      </c>
      <c r="H642" s="3" t="s">
        <v>20</v>
      </c>
      <c r="I642" s="20">
        <v>2</v>
      </c>
      <c r="J642" s="3" t="s">
        <v>29</v>
      </c>
      <c r="K642" s="3" t="s">
        <v>35</v>
      </c>
      <c r="L642" s="20">
        <v>30</v>
      </c>
      <c r="M642" s="3" t="s">
        <v>20</v>
      </c>
      <c r="N642" s="20" t="str" cm="1">
        <f t="array" ref="N642">_xlfn.IFS(tbl_Clean[[#This Row],[Age]]&lt;=30,"25-30",tbl_Clean[[#This Row],[Age]]&lt;=40,"31-40",tbl_Clean[[#This Row],[Age]]&lt;=50,"41-50",tbl_Clean[[#This Row],[Age]]&lt;=60,"51-60",TRUE,"61+")</f>
        <v>25-30</v>
      </c>
      <c r="O642" s="20">
        <f>_xlfn.XMATCH(tbl_Clean[[#This Row],[Age Band]],{"25-30","31-40","41-50","51-60","61+"})</f>
        <v>1</v>
      </c>
      <c r="P642" s="20" t="str" cm="1">
        <f t="array" ref="P642">_xlfn.IFS(tbl_Clean[[#This Row],[Income]]&lt;=30000,"$10k-30k",tbl_Clean[[#This Row],[Income]]&lt;=60000,"$40k-60k",tbl_Clean[[#This Row],[Income]]&lt;=90000,"$70k-90k",TRUE,"$100k+")</f>
        <v>$40k-60k</v>
      </c>
      <c r="Q642" s="20">
        <f>_xlfn.XMATCH(tbl_Clean[[#This Row],[Income Band]],{"$10k-30k","$40k-60k","$70k-90k","$100k+"})</f>
        <v>2</v>
      </c>
      <c r="R642" s="20" t="str">
        <f>IF(tbl_Clean[[#This Row],[Cars]]&lt;=1,"0-1 Cars","2+ Cars")</f>
        <v>2+ Cars</v>
      </c>
      <c r="S642" s="20">
        <f>_xlfn.XMATCH(tbl_Clean[[#This Row],[Commute Distance]],{"0-1 Miles","1-2 Miles","2-5 Miles","5-10 Miles","10+ Miles"})</f>
        <v>2</v>
      </c>
      <c r="T642" s="20">
        <f>_xlfn.XMATCH(tbl_Clean[[#This Row],[Education]],{"Partial High School","High School","Partial College","Bachelors","Graduate Degree"})</f>
        <v>2</v>
      </c>
      <c r="U642" s="20">
        <f>IF(tbl_Clean[[#This Row],[Purchased Bike]]="Yes",1,0)</f>
        <v>0</v>
      </c>
    </row>
    <row r="643" spans="1:21" x14ac:dyDescent="0.25">
      <c r="A643" s="20">
        <v>18949</v>
      </c>
      <c r="B643" s="3" t="s">
        <v>114</v>
      </c>
      <c r="C643" s="3" t="s">
        <v>113</v>
      </c>
      <c r="D643" s="19">
        <v>70000</v>
      </c>
      <c r="E643" s="20">
        <v>0</v>
      </c>
      <c r="F643" s="3" t="s">
        <v>34</v>
      </c>
      <c r="G643" s="3" t="s">
        <v>31</v>
      </c>
      <c r="H643" s="3" t="s">
        <v>17</v>
      </c>
      <c r="I643" s="20">
        <v>2</v>
      </c>
      <c r="J643" s="3" t="s">
        <v>26</v>
      </c>
      <c r="K643" s="3" t="s">
        <v>35</v>
      </c>
      <c r="L643" s="20">
        <v>74</v>
      </c>
      <c r="M643" s="3" t="s">
        <v>17</v>
      </c>
      <c r="N643" s="20" t="str" cm="1">
        <f t="array" ref="N643">_xlfn.IFS(tbl_Clean[[#This Row],[Age]]&lt;=30,"25-30",tbl_Clean[[#This Row],[Age]]&lt;=40,"31-40",tbl_Clean[[#This Row],[Age]]&lt;=50,"41-50",tbl_Clean[[#This Row],[Age]]&lt;=60,"51-60",TRUE,"61+")</f>
        <v>61+</v>
      </c>
      <c r="O643" s="20">
        <f>_xlfn.XMATCH(tbl_Clean[[#This Row],[Age Band]],{"25-30","31-40","41-50","51-60","61+"})</f>
        <v>5</v>
      </c>
      <c r="P643" s="20" t="str" cm="1">
        <f t="array" ref="P643">_xlfn.IFS(tbl_Clean[[#This Row],[Income]]&lt;=30000,"$10k-30k",tbl_Clean[[#This Row],[Income]]&lt;=60000,"$40k-60k",tbl_Clean[[#This Row],[Income]]&lt;=90000,"$70k-90k",TRUE,"$100k+")</f>
        <v>$70k-90k</v>
      </c>
      <c r="Q643" s="20">
        <f>_xlfn.XMATCH(tbl_Clean[[#This Row],[Income Band]],{"$10k-30k","$40k-60k","$70k-90k","$100k+"})</f>
        <v>3</v>
      </c>
      <c r="R643" s="20" t="str">
        <f>IF(tbl_Clean[[#This Row],[Cars]]&lt;=1,"0-1 Cars","2+ Cars")</f>
        <v>2+ Cars</v>
      </c>
      <c r="S643" s="20">
        <f>_xlfn.XMATCH(tbl_Clean[[#This Row],[Commute Distance]],{"0-1 Miles","1-2 Miles","2-5 Miles","5-10 Miles","10+ Miles"})</f>
        <v>4</v>
      </c>
      <c r="T643" s="20">
        <f>_xlfn.XMATCH(tbl_Clean[[#This Row],[Education]],{"Partial High School","High School","Partial College","Bachelors","Graduate Degree"})</f>
        <v>5</v>
      </c>
      <c r="U643" s="20">
        <f>IF(tbl_Clean[[#This Row],[Purchased Bike]]="Yes",1,0)</f>
        <v>1</v>
      </c>
    </row>
    <row r="644" spans="1:21" x14ac:dyDescent="0.25">
      <c r="A644" s="20">
        <v>14507</v>
      </c>
      <c r="B644" s="3" t="s">
        <v>111</v>
      </c>
      <c r="C644" s="3" t="s">
        <v>113</v>
      </c>
      <c r="D644" s="19">
        <v>100000</v>
      </c>
      <c r="E644" s="20">
        <v>2</v>
      </c>
      <c r="F644" s="3" t="s">
        <v>34</v>
      </c>
      <c r="G644" s="3" t="s">
        <v>31</v>
      </c>
      <c r="H644" s="3" t="s">
        <v>17</v>
      </c>
      <c r="I644" s="20">
        <v>3</v>
      </c>
      <c r="J644" s="3" t="s">
        <v>29</v>
      </c>
      <c r="K644" s="3" t="s">
        <v>35</v>
      </c>
      <c r="L644" s="20">
        <v>65</v>
      </c>
      <c r="M644" s="3" t="s">
        <v>20</v>
      </c>
      <c r="N644" s="20" t="str" cm="1">
        <f t="array" ref="N644">_xlfn.IFS(tbl_Clean[[#This Row],[Age]]&lt;=30,"25-30",tbl_Clean[[#This Row],[Age]]&lt;=40,"31-40",tbl_Clean[[#This Row],[Age]]&lt;=50,"41-50",tbl_Clean[[#This Row],[Age]]&lt;=60,"51-60",TRUE,"61+")</f>
        <v>61+</v>
      </c>
      <c r="O644" s="20">
        <f>_xlfn.XMATCH(tbl_Clean[[#This Row],[Age Band]],{"25-30","31-40","41-50","51-60","61+"})</f>
        <v>5</v>
      </c>
      <c r="P644" s="20" t="str" cm="1">
        <f t="array" ref="P644">_xlfn.IFS(tbl_Clean[[#This Row],[Income]]&lt;=30000,"$10k-30k",tbl_Clean[[#This Row],[Income]]&lt;=60000,"$40k-60k",tbl_Clean[[#This Row],[Income]]&lt;=90000,"$70k-90k",TRUE,"$100k+")</f>
        <v>$100k+</v>
      </c>
      <c r="Q644" s="20">
        <f>_xlfn.XMATCH(tbl_Clean[[#This Row],[Income Band]],{"$10k-30k","$40k-60k","$70k-90k","$100k+"})</f>
        <v>4</v>
      </c>
      <c r="R644" s="20" t="str">
        <f>IF(tbl_Clean[[#This Row],[Cars]]&lt;=1,"0-1 Cars","2+ Cars")</f>
        <v>2+ Cars</v>
      </c>
      <c r="S644" s="20">
        <f>_xlfn.XMATCH(tbl_Clean[[#This Row],[Commute Distance]],{"0-1 Miles","1-2 Miles","2-5 Miles","5-10 Miles","10+ Miles"})</f>
        <v>2</v>
      </c>
      <c r="T644" s="20">
        <f>_xlfn.XMATCH(tbl_Clean[[#This Row],[Education]],{"Partial High School","High School","Partial College","Bachelors","Graduate Degree"})</f>
        <v>5</v>
      </c>
      <c r="U644" s="20">
        <f>IF(tbl_Clean[[#This Row],[Purchased Bike]]="Yes",1,0)</f>
        <v>0</v>
      </c>
    </row>
    <row r="645" spans="1:21" x14ac:dyDescent="0.25">
      <c r="A645" s="20">
        <v>25886</v>
      </c>
      <c r="B645" s="3" t="s">
        <v>111</v>
      </c>
      <c r="C645" s="3" t="s">
        <v>112</v>
      </c>
      <c r="D645" s="19">
        <v>60000</v>
      </c>
      <c r="E645" s="20">
        <v>2</v>
      </c>
      <c r="F645" s="3" t="s">
        <v>21</v>
      </c>
      <c r="G645" s="3" t="s">
        <v>23</v>
      </c>
      <c r="H645" s="3" t="s">
        <v>17</v>
      </c>
      <c r="I645" s="20">
        <v>2</v>
      </c>
      <c r="J645" s="3" t="s">
        <v>24</v>
      </c>
      <c r="K645" s="3" t="s">
        <v>35</v>
      </c>
      <c r="L645" s="20">
        <v>56</v>
      </c>
      <c r="M645" s="3" t="s">
        <v>17</v>
      </c>
      <c r="N645" s="20" t="str" cm="1">
        <f t="array" ref="N645">_xlfn.IFS(tbl_Clean[[#This Row],[Age]]&lt;=30,"25-30",tbl_Clean[[#This Row],[Age]]&lt;=40,"31-40",tbl_Clean[[#This Row],[Age]]&lt;=50,"41-50",tbl_Clean[[#This Row],[Age]]&lt;=60,"51-60",TRUE,"61+")</f>
        <v>51-60</v>
      </c>
      <c r="O645" s="20">
        <f>_xlfn.XMATCH(tbl_Clean[[#This Row],[Age Band]],{"25-30","31-40","41-50","51-60","61+"})</f>
        <v>4</v>
      </c>
      <c r="P645" s="20" t="str" cm="1">
        <f t="array" ref="P645">_xlfn.IFS(tbl_Clean[[#This Row],[Income]]&lt;=30000,"$10k-30k",tbl_Clean[[#This Row],[Income]]&lt;=60000,"$40k-60k",tbl_Clean[[#This Row],[Income]]&lt;=90000,"$70k-90k",TRUE,"$100k+")</f>
        <v>$40k-60k</v>
      </c>
      <c r="Q645" s="20">
        <f>_xlfn.XMATCH(tbl_Clean[[#This Row],[Income Band]],{"$10k-30k","$40k-60k","$70k-90k","$100k+"})</f>
        <v>2</v>
      </c>
      <c r="R645" s="20" t="str">
        <f>IF(tbl_Clean[[#This Row],[Cars]]&lt;=1,"0-1 Cars","2+ Cars")</f>
        <v>2+ Cars</v>
      </c>
      <c r="S645" s="20">
        <f>_xlfn.XMATCH(tbl_Clean[[#This Row],[Commute Distance]],{"0-1 Miles","1-2 Miles","2-5 Miles","5-10 Miles","10+ Miles"})</f>
        <v>3</v>
      </c>
      <c r="T645" s="20">
        <f>_xlfn.XMATCH(tbl_Clean[[#This Row],[Education]],{"Partial High School","High School","Partial College","Bachelors","Graduate Degree"})</f>
        <v>3</v>
      </c>
      <c r="U645" s="20">
        <f>IF(tbl_Clean[[#This Row],[Purchased Bike]]="Yes",1,0)</f>
        <v>1</v>
      </c>
    </row>
    <row r="646" spans="1:21" x14ac:dyDescent="0.25">
      <c r="A646" s="20">
        <v>21441</v>
      </c>
      <c r="B646" s="3" t="s">
        <v>111</v>
      </c>
      <c r="C646" s="3" t="s">
        <v>113</v>
      </c>
      <c r="D646" s="19">
        <v>50000</v>
      </c>
      <c r="E646" s="20">
        <v>4</v>
      </c>
      <c r="F646" s="3" t="s">
        <v>15</v>
      </c>
      <c r="G646" s="3" t="s">
        <v>31</v>
      </c>
      <c r="H646" s="3" t="s">
        <v>17</v>
      </c>
      <c r="I646" s="20">
        <v>2</v>
      </c>
      <c r="J646" s="3" t="s">
        <v>33</v>
      </c>
      <c r="K646" s="3" t="s">
        <v>35</v>
      </c>
      <c r="L646" s="20">
        <v>64</v>
      </c>
      <c r="M646" s="3" t="s">
        <v>20</v>
      </c>
      <c r="N646" s="20" t="str" cm="1">
        <f t="array" ref="N646">_xlfn.IFS(tbl_Clean[[#This Row],[Age]]&lt;=30,"25-30",tbl_Clean[[#This Row],[Age]]&lt;=40,"31-40",tbl_Clean[[#This Row],[Age]]&lt;=50,"41-50",tbl_Clean[[#This Row],[Age]]&lt;=60,"51-60",TRUE,"61+")</f>
        <v>61+</v>
      </c>
      <c r="O646" s="20">
        <f>_xlfn.XMATCH(tbl_Clean[[#This Row],[Age Band]],{"25-30","31-40","41-50","51-60","61+"})</f>
        <v>5</v>
      </c>
      <c r="P646" s="20" t="str" cm="1">
        <f t="array" ref="P646">_xlfn.IFS(tbl_Clean[[#This Row],[Income]]&lt;=30000,"$10k-30k",tbl_Clean[[#This Row],[Income]]&lt;=60000,"$40k-60k",tbl_Clean[[#This Row],[Income]]&lt;=90000,"$70k-90k",TRUE,"$100k+")</f>
        <v>$40k-60k</v>
      </c>
      <c r="Q646" s="20">
        <f>_xlfn.XMATCH(tbl_Clean[[#This Row],[Income Band]],{"$10k-30k","$40k-60k","$70k-90k","$100k+"})</f>
        <v>2</v>
      </c>
      <c r="R646" s="20" t="str">
        <f>IF(tbl_Clean[[#This Row],[Cars]]&lt;=1,"0-1 Cars","2+ Cars")</f>
        <v>2+ Cars</v>
      </c>
      <c r="S646" s="20">
        <f>_xlfn.XMATCH(tbl_Clean[[#This Row],[Commute Distance]],{"0-1 Miles","1-2 Miles","2-5 Miles","5-10 Miles","10+ Miles"})</f>
        <v>5</v>
      </c>
      <c r="T646" s="20">
        <f>_xlfn.XMATCH(tbl_Clean[[#This Row],[Education]],{"Partial High School","High School","Partial College","Bachelors","Graduate Degree"})</f>
        <v>4</v>
      </c>
      <c r="U646" s="20">
        <f>IF(tbl_Clean[[#This Row],[Purchased Bike]]="Yes",1,0)</f>
        <v>0</v>
      </c>
    </row>
    <row r="647" spans="1:21" x14ac:dyDescent="0.25">
      <c r="A647" s="20">
        <v>21741</v>
      </c>
      <c r="B647" s="3" t="s">
        <v>111</v>
      </c>
      <c r="C647" s="3" t="s">
        <v>112</v>
      </c>
      <c r="D647" s="19">
        <v>70000</v>
      </c>
      <c r="E647" s="20">
        <v>3</v>
      </c>
      <c r="F647" s="3" t="s">
        <v>21</v>
      </c>
      <c r="G647" s="3" t="s">
        <v>23</v>
      </c>
      <c r="H647" s="3" t="s">
        <v>17</v>
      </c>
      <c r="I647" s="20">
        <v>2</v>
      </c>
      <c r="J647" s="3" t="s">
        <v>26</v>
      </c>
      <c r="K647" s="3" t="s">
        <v>35</v>
      </c>
      <c r="L647" s="20">
        <v>50</v>
      </c>
      <c r="M647" s="3" t="s">
        <v>17</v>
      </c>
      <c r="N647" s="20" t="str" cm="1">
        <f t="array" ref="N647">_xlfn.IFS(tbl_Clean[[#This Row],[Age]]&lt;=30,"25-30",tbl_Clean[[#This Row],[Age]]&lt;=40,"31-40",tbl_Clean[[#This Row],[Age]]&lt;=50,"41-50",tbl_Clean[[#This Row],[Age]]&lt;=60,"51-60",TRUE,"61+")</f>
        <v>41-50</v>
      </c>
      <c r="O647" s="20">
        <f>_xlfn.XMATCH(tbl_Clean[[#This Row],[Age Band]],{"25-30","31-40","41-50","51-60","61+"})</f>
        <v>3</v>
      </c>
      <c r="P647" s="20" t="str" cm="1">
        <f t="array" ref="P647">_xlfn.IFS(tbl_Clean[[#This Row],[Income]]&lt;=30000,"$10k-30k",tbl_Clean[[#This Row],[Income]]&lt;=60000,"$40k-60k",tbl_Clean[[#This Row],[Income]]&lt;=90000,"$70k-90k",TRUE,"$100k+")</f>
        <v>$70k-90k</v>
      </c>
      <c r="Q647" s="20">
        <f>_xlfn.XMATCH(tbl_Clean[[#This Row],[Income Band]],{"$10k-30k","$40k-60k","$70k-90k","$100k+"})</f>
        <v>3</v>
      </c>
      <c r="R647" s="20" t="str">
        <f>IF(tbl_Clean[[#This Row],[Cars]]&lt;=1,"0-1 Cars","2+ Cars")</f>
        <v>2+ Cars</v>
      </c>
      <c r="S647" s="20">
        <f>_xlfn.XMATCH(tbl_Clean[[#This Row],[Commute Distance]],{"0-1 Miles","1-2 Miles","2-5 Miles","5-10 Miles","10+ Miles"})</f>
        <v>4</v>
      </c>
      <c r="T647" s="20">
        <f>_xlfn.XMATCH(tbl_Clean[[#This Row],[Education]],{"Partial High School","High School","Partial College","Bachelors","Graduate Degree"})</f>
        <v>3</v>
      </c>
      <c r="U647" s="20">
        <f>IF(tbl_Clean[[#This Row],[Purchased Bike]]="Yes",1,0)</f>
        <v>1</v>
      </c>
    </row>
    <row r="648" spans="1:21" x14ac:dyDescent="0.25">
      <c r="A648" s="20">
        <v>14572</v>
      </c>
      <c r="B648" s="3" t="s">
        <v>111</v>
      </c>
      <c r="C648" s="3" t="s">
        <v>112</v>
      </c>
      <c r="D648" s="19">
        <v>70000</v>
      </c>
      <c r="E648" s="20">
        <v>3</v>
      </c>
      <c r="F648" s="3" t="s">
        <v>34</v>
      </c>
      <c r="G648" s="3" t="s">
        <v>23</v>
      </c>
      <c r="H648" s="3" t="s">
        <v>17</v>
      </c>
      <c r="I648" s="20">
        <v>0</v>
      </c>
      <c r="J648" s="3" t="s">
        <v>24</v>
      </c>
      <c r="K648" s="3" t="s">
        <v>35</v>
      </c>
      <c r="L648" s="20">
        <v>35</v>
      </c>
      <c r="M648" s="3" t="s">
        <v>17</v>
      </c>
      <c r="N648" s="20" t="str" cm="1">
        <f t="array" ref="N648">_xlfn.IFS(tbl_Clean[[#This Row],[Age]]&lt;=30,"25-30",tbl_Clean[[#This Row],[Age]]&lt;=40,"31-40",tbl_Clean[[#This Row],[Age]]&lt;=50,"41-50",tbl_Clean[[#This Row],[Age]]&lt;=60,"51-60",TRUE,"61+")</f>
        <v>31-40</v>
      </c>
      <c r="O648" s="20">
        <f>_xlfn.XMATCH(tbl_Clean[[#This Row],[Age Band]],{"25-30","31-40","41-50","51-60","61+"})</f>
        <v>2</v>
      </c>
      <c r="P648" s="20" t="str" cm="1">
        <f t="array" ref="P648">_xlfn.IFS(tbl_Clean[[#This Row],[Income]]&lt;=30000,"$10k-30k",tbl_Clean[[#This Row],[Income]]&lt;=60000,"$40k-60k",tbl_Clean[[#This Row],[Income]]&lt;=90000,"$70k-90k",TRUE,"$100k+")</f>
        <v>$70k-90k</v>
      </c>
      <c r="Q648" s="20">
        <f>_xlfn.XMATCH(tbl_Clean[[#This Row],[Income Band]],{"$10k-30k","$40k-60k","$70k-90k","$100k+"})</f>
        <v>3</v>
      </c>
      <c r="R648" s="20" t="str">
        <f>IF(tbl_Clean[[#This Row],[Cars]]&lt;=1,"0-1 Cars","2+ Cars")</f>
        <v>0-1 Cars</v>
      </c>
      <c r="S648" s="20">
        <f>_xlfn.XMATCH(tbl_Clean[[#This Row],[Commute Distance]],{"0-1 Miles","1-2 Miles","2-5 Miles","5-10 Miles","10+ Miles"})</f>
        <v>3</v>
      </c>
      <c r="T648" s="20">
        <f>_xlfn.XMATCH(tbl_Clean[[#This Row],[Education]],{"Partial High School","High School","Partial College","Bachelors","Graduate Degree"})</f>
        <v>5</v>
      </c>
      <c r="U648" s="20">
        <f>IF(tbl_Clean[[#This Row],[Purchased Bike]]="Yes",1,0)</f>
        <v>1</v>
      </c>
    </row>
    <row r="649" spans="1:21" x14ac:dyDescent="0.25">
      <c r="A649" s="20">
        <v>23368</v>
      </c>
      <c r="B649" s="3" t="s">
        <v>111</v>
      </c>
      <c r="C649" s="3" t="s">
        <v>112</v>
      </c>
      <c r="D649" s="19">
        <v>60000</v>
      </c>
      <c r="E649" s="20">
        <v>5</v>
      </c>
      <c r="F649" s="3" t="s">
        <v>15</v>
      </c>
      <c r="G649" s="3" t="s">
        <v>16</v>
      </c>
      <c r="H649" s="3" t="s">
        <v>17</v>
      </c>
      <c r="I649" s="20">
        <v>3</v>
      </c>
      <c r="J649" s="3" t="s">
        <v>33</v>
      </c>
      <c r="K649" s="3" t="s">
        <v>35</v>
      </c>
      <c r="L649" s="20">
        <v>41</v>
      </c>
      <c r="M649" s="3" t="s">
        <v>20</v>
      </c>
      <c r="N649" s="20" t="str" cm="1">
        <f t="array" ref="N649">_xlfn.IFS(tbl_Clean[[#This Row],[Age]]&lt;=30,"25-30",tbl_Clean[[#This Row],[Age]]&lt;=40,"31-40",tbl_Clean[[#This Row],[Age]]&lt;=50,"41-50",tbl_Clean[[#This Row],[Age]]&lt;=60,"51-60",TRUE,"61+")</f>
        <v>41-50</v>
      </c>
      <c r="O649" s="20">
        <f>_xlfn.XMATCH(tbl_Clean[[#This Row],[Age Band]],{"25-30","31-40","41-50","51-60","61+"})</f>
        <v>3</v>
      </c>
      <c r="P649" s="20" t="str" cm="1">
        <f t="array" ref="P649">_xlfn.IFS(tbl_Clean[[#This Row],[Income]]&lt;=30000,"$10k-30k",tbl_Clean[[#This Row],[Income]]&lt;=60000,"$40k-60k",tbl_Clean[[#This Row],[Income]]&lt;=90000,"$70k-90k",TRUE,"$100k+")</f>
        <v>$40k-60k</v>
      </c>
      <c r="Q649" s="20">
        <f>_xlfn.XMATCH(tbl_Clean[[#This Row],[Income Band]],{"$10k-30k","$40k-60k","$70k-90k","$100k+"})</f>
        <v>2</v>
      </c>
      <c r="R649" s="20" t="str">
        <f>IF(tbl_Clean[[#This Row],[Cars]]&lt;=1,"0-1 Cars","2+ Cars")</f>
        <v>2+ Cars</v>
      </c>
      <c r="S649" s="20">
        <f>_xlfn.XMATCH(tbl_Clean[[#This Row],[Commute Distance]],{"0-1 Miles","1-2 Miles","2-5 Miles","5-10 Miles","10+ Miles"})</f>
        <v>5</v>
      </c>
      <c r="T649" s="20">
        <f>_xlfn.XMATCH(tbl_Clean[[#This Row],[Education]],{"Partial High School","High School","Partial College","Bachelors","Graduate Degree"})</f>
        <v>4</v>
      </c>
      <c r="U649" s="20">
        <f>IF(tbl_Clean[[#This Row],[Purchased Bike]]="Yes",1,0)</f>
        <v>0</v>
      </c>
    </row>
    <row r="650" spans="1:21" x14ac:dyDescent="0.25">
      <c r="A650" s="20">
        <v>16217</v>
      </c>
      <c r="B650" s="3" t="s">
        <v>114</v>
      </c>
      <c r="C650" s="3" t="s">
        <v>112</v>
      </c>
      <c r="D650" s="19">
        <v>60000</v>
      </c>
      <c r="E650" s="20">
        <v>0</v>
      </c>
      <c r="F650" s="3" t="s">
        <v>34</v>
      </c>
      <c r="G650" s="3" t="s">
        <v>16</v>
      </c>
      <c r="H650" s="3" t="s">
        <v>17</v>
      </c>
      <c r="I650" s="20">
        <v>0</v>
      </c>
      <c r="J650" s="3" t="s">
        <v>18</v>
      </c>
      <c r="K650" s="3" t="s">
        <v>35</v>
      </c>
      <c r="L650" s="20">
        <v>39</v>
      </c>
      <c r="M650" s="3" t="s">
        <v>20</v>
      </c>
      <c r="N650" s="20" t="str" cm="1">
        <f t="array" ref="N650">_xlfn.IFS(tbl_Clean[[#This Row],[Age]]&lt;=30,"25-30",tbl_Clean[[#This Row],[Age]]&lt;=40,"31-40",tbl_Clean[[#This Row],[Age]]&lt;=50,"41-50",tbl_Clean[[#This Row],[Age]]&lt;=60,"51-60",TRUE,"61+")</f>
        <v>31-40</v>
      </c>
      <c r="O650" s="20">
        <f>_xlfn.XMATCH(tbl_Clean[[#This Row],[Age Band]],{"25-30","31-40","41-50","51-60","61+"})</f>
        <v>2</v>
      </c>
      <c r="P650" s="20" t="str" cm="1">
        <f t="array" ref="P650">_xlfn.IFS(tbl_Clean[[#This Row],[Income]]&lt;=30000,"$10k-30k",tbl_Clean[[#This Row],[Income]]&lt;=60000,"$40k-60k",tbl_Clean[[#This Row],[Income]]&lt;=90000,"$70k-90k",TRUE,"$100k+")</f>
        <v>$40k-60k</v>
      </c>
      <c r="Q650" s="20">
        <f>_xlfn.XMATCH(tbl_Clean[[#This Row],[Income Band]],{"$10k-30k","$40k-60k","$70k-90k","$100k+"})</f>
        <v>2</v>
      </c>
      <c r="R650" s="20" t="str">
        <f>IF(tbl_Clean[[#This Row],[Cars]]&lt;=1,"0-1 Cars","2+ Cars")</f>
        <v>0-1 Cars</v>
      </c>
      <c r="S650" s="20">
        <f>_xlfn.XMATCH(tbl_Clean[[#This Row],[Commute Distance]],{"0-1 Miles","1-2 Miles","2-5 Miles","5-10 Miles","10+ Miles"})</f>
        <v>1</v>
      </c>
      <c r="T650" s="20">
        <f>_xlfn.XMATCH(tbl_Clean[[#This Row],[Education]],{"Partial High School","High School","Partial College","Bachelors","Graduate Degree"})</f>
        <v>5</v>
      </c>
      <c r="U650" s="20">
        <f>IF(tbl_Clean[[#This Row],[Purchased Bike]]="Yes",1,0)</f>
        <v>0</v>
      </c>
    </row>
    <row r="651" spans="1:21" x14ac:dyDescent="0.25">
      <c r="A651" s="20">
        <v>16247</v>
      </c>
      <c r="B651" s="3" t="s">
        <v>114</v>
      </c>
      <c r="C651" s="3" t="s">
        <v>112</v>
      </c>
      <c r="D651" s="19">
        <v>60000</v>
      </c>
      <c r="E651" s="20">
        <v>4</v>
      </c>
      <c r="F651" s="3" t="s">
        <v>34</v>
      </c>
      <c r="G651" s="3" t="s">
        <v>16</v>
      </c>
      <c r="H651" s="3" t="s">
        <v>20</v>
      </c>
      <c r="I651" s="20">
        <v>0</v>
      </c>
      <c r="J651" s="3" t="s">
        <v>29</v>
      </c>
      <c r="K651" s="3" t="s">
        <v>35</v>
      </c>
      <c r="L651" s="20">
        <v>47</v>
      </c>
      <c r="M651" s="3" t="s">
        <v>20</v>
      </c>
      <c r="N651" s="20" t="str" cm="1">
        <f t="array" ref="N651">_xlfn.IFS(tbl_Clean[[#This Row],[Age]]&lt;=30,"25-30",tbl_Clean[[#This Row],[Age]]&lt;=40,"31-40",tbl_Clean[[#This Row],[Age]]&lt;=50,"41-50",tbl_Clean[[#This Row],[Age]]&lt;=60,"51-60",TRUE,"61+")</f>
        <v>41-50</v>
      </c>
      <c r="O651" s="20">
        <f>_xlfn.XMATCH(tbl_Clean[[#This Row],[Age Band]],{"25-30","31-40","41-50","51-60","61+"})</f>
        <v>3</v>
      </c>
      <c r="P651" s="20" t="str" cm="1">
        <f t="array" ref="P651">_xlfn.IFS(tbl_Clean[[#This Row],[Income]]&lt;=30000,"$10k-30k",tbl_Clean[[#This Row],[Income]]&lt;=60000,"$40k-60k",tbl_Clean[[#This Row],[Income]]&lt;=90000,"$70k-90k",TRUE,"$100k+")</f>
        <v>$40k-60k</v>
      </c>
      <c r="Q651" s="20">
        <f>_xlfn.XMATCH(tbl_Clean[[#This Row],[Income Band]],{"$10k-30k","$40k-60k","$70k-90k","$100k+"})</f>
        <v>2</v>
      </c>
      <c r="R651" s="20" t="str">
        <f>IF(tbl_Clean[[#This Row],[Cars]]&lt;=1,"0-1 Cars","2+ Cars")</f>
        <v>0-1 Cars</v>
      </c>
      <c r="S651" s="20">
        <f>_xlfn.XMATCH(tbl_Clean[[#This Row],[Commute Distance]],{"0-1 Miles","1-2 Miles","2-5 Miles","5-10 Miles","10+ Miles"})</f>
        <v>2</v>
      </c>
      <c r="T651" s="20">
        <f>_xlfn.XMATCH(tbl_Clean[[#This Row],[Education]],{"Partial High School","High School","Partial College","Bachelors","Graduate Degree"})</f>
        <v>5</v>
      </c>
      <c r="U651" s="20">
        <f>IF(tbl_Clean[[#This Row],[Purchased Bike]]="Yes",1,0)</f>
        <v>0</v>
      </c>
    </row>
    <row r="652" spans="1:21" x14ac:dyDescent="0.25">
      <c r="A652" s="20">
        <v>22010</v>
      </c>
      <c r="B652" s="3" t="s">
        <v>114</v>
      </c>
      <c r="C652" s="3" t="s">
        <v>113</v>
      </c>
      <c r="D652" s="19">
        <v>40000</v>
      </c>
      <c r="E652" s="20">
        <v>0</v>
      </c>
      <c r="F652" s="3" t="s">
        <v>30</v>
      </c>
      <c r="G652" s="3" t="s">
        <v>16</v>
      </c>
      <c r="H652" s="3" t="s">
        <v>17</v>
      </c>
      <c r="I652" s="20">
        <v>2</v>
      </c>
      <c r="J652" s="3" t="s">
        <v>26</v>
      </c>
      <c r="K652" s="3" t="s">
        <v>35</v>
      </c>
      <c r="L652" s="20">
        <v>31</v>
      </c>
      <c r="M652" s="3" t="s">
        <v>20</v>
      </c>
      <c r="N652" s="20" t="str" cm="1">
        <f t="array" ref="N652">_xlfn.IFS(tbl_Clean[[#This Row],[Age]]&lt;=30,"25-30",tbl_Clean[[#This Row],[Age]]&lt;=40,"31-40",tbl_Clean[[#This Row],[Age]]&lt;=50,"41-50",tbl_Clean[[#This Row],[Age]]&lt;=60,"51-60",TRUE,"61+")</f>
        <v>31-40</v>
      </c>
      <c r="O652" s="20">
        <f>_xlfn.XMATCH(tbl_Clean[[#This Row],[Age Band]],{"25-30","31-40","41-50","51-60","61+"})</f>
        <v>2</v>
      </c>
      <c r="P652" s="20" t="str" cm="1">
        <f t="array" ref="P652">_xlfn.IFS(tbl_Clean[[#This Row],[Income]]&lt;=30000,"$10k-30k",tbl_Clean[[#This Row],[Income]]&lt;=60000,"$40k-60k",tbl_Clean[[#This Row],[Income]]&lt;=90000,"$70k-90k",TRUE,"$100k+")</f>
        <v>$40k-60k</v>
      </c>
      <c r="Q652" s="20">
        <f>_xlfn.XMATCH(tbl_Clean[[#This Row],[Income Band]],{"$10k-30k","$40k-60k","$70k-90k","$100k+"})</f>
        <v>2</v>
      </c>
      <c r="R652" s="20" t="str">
        <f>IF(tbl_Clean[[#This Row],[Cars]]&lt;=1,"0-1 Cars","2+ Cars")</f>
        <v>2+ Cars</v>
      </c>
      <c r="S652" s="20">
        <f>_xlfn.XMATCH(tbl_Clean[[#This Row],[Commute Distance]],{"0-1 Miles","1-2 Miles","2-5 Miles","5-10 Miles","10+ Miles"})</f>
        <v>4</v>
      </c>
      <c r="T652" s="20">
        <f>_xlfn.XMATCH(tbl_Clean[[#This Row],[Education]],{"Partial High School","High School","Partial College","Bachelors","Graduate Degree"})</f>
        <v>2</v>
      </c>
      <c r="U652" s="20">
        <f>IF(tbl_Clean[[#This Row],[Purchased Bike]]="Yes",1,0)</f>
        <v>0</v>
      </c>
    </row>
    <row r="653" spans="1:21" x14ac:dyDescent="0.25">
      <c r="A653" s="20">
        <v>25872</v>
      </c>
      <c r="B653" s="3" t="s">
        <v>114</v>
      </c>
      <c r="C653" s="3" t="s">
        <v>112</v>
      </c>
      <c r="D653" s="19">
        <v>70000</v>
      </c>
      <c r="E653" s="20">
        <v>2</v>
      </c>
      <c r="F653" s="3" t="s">
        <v>15</v>
      </c>
      <c r="G653" s="3" t="s">
        <v>31</v>
      </c>
      <c r="H653" s="3" t="s">
        <v>20</v>
      </c>
      <c r="I653" s="20">
        <v>1</v>
      </c>
      <c r="J653" s="3" t="s">
        <v>24</v>
      </c>
      <c r="K653" s="3" t="s">
        <v>35</v>
      </c>
      <c r="L653" s="20">
        <v>58</v>
      </c>
      <c r="M653" s="3" t="s">
        <v>17</v>
      </c>
      <c r="N653" s="20" t="str" cm="1">
        <f t="array" ref="N653">_xlfn.IFS(tbl_Clean[[#This Row],[Age]]&lt;=30,"25-30",tbl_Clean[[#This Row],[Age]]&lt;=40,"31-40",tbl_Clean[[#This Row],[Age]]&lt;=50,"41-50",tbl_Clean[[#This Row],[Age]]&lt;=60,"51-60",TRUE,"61+")</f>
        <v>51-60</v>
      </c>
      <c r="O653" s="20">
        <f>_xlfn.XMATCH(tbl_Clean[[#This Row],[Age Band]],{"25-30","31-40","41-50","51-60","61+"})</f>
        <v>4</v>
      </c>
      <c r="P653" s="20" t="str" cm="1">
        <f t="array" ref="P653">_xlfn.IFS(tbl_Clean[[#This Row],[Income]]&lt;=30000,"$10k-30k",tbl_Clean[[#This Row],[Income]]&lt;=60000,"$40k-60k",tbl_Clean[[#This Row],[Income]]&lt;=90000,"$70k-90k",TRUE,"$100k+")</f>
        <v>$70k-90k</v>
      </c>
      <c r="Q653" s="20">
        <f>_xlfn.XMATCH(tbl_Clean[[#This Row],[Income Band]],{"$10k-30k","$40k-60k","$70k-90k","$100k+"})</f>
        <v>3</v>
      </c>
      <c r="R653" s="20" t="str">
        <f>IF(tbl_Clean[[#This Row],[Cars]]&lt;=1,"0-1 Cars","2+ Cars")</f>
        <v>0-1 Cars</v>
      </c>
      <c r="S653" s="20">
        <f>_xlfn.XMATCH(tbl_Clean[[#This Row],[Commute Distance]],{"0-1 Miles","1-2 Miles","2-5 Miles","5-10 Miles","10+ Miles"})</f>
        <v>3</v>
      </c>
      <c r="T653" s="20">
        <f>_xlfn.XMATCH(tbl_Clean[[#This Row],[Education]],{"Partial High School","High School","Partial College","Bachelors","Graduate Degree"})</f>
        <v>4</v>
      </c>
      <c r="U653" s="20">
        <f>IF(tbl_Clean[[#This Row],[Purchased Bike]]="Yes",1,0)</f>
        <v>1</v>
      </c>
    </row>
    <row r="654" spans="1:21" x14ac:dyDescent="0.25">
      <c r="A654" s="20">
        <v>19164</v>
      </c>
      <c r="B654" s="3" t="s">
        <v>114</v>
      </c>
      <c r="C654" s="3" t="s">
        <v>112</v>
      </c>
      <c r="D654" s="19">
        <v>70000</v>
      </c>
      <c r="E654" s="20">
        <v>0</v>
      </c>
      <c r="F654" s="3" t="s">
        <v>15</v>
      </c>
      <c r="G654" s="3" t="s">
        <v>23</v>
      </c>
      <c r="H654" s="3" t="s">
        <v>20</v>
      </c>
      <c r="I654" s="20">
        <v>1</v>
      </c>
      <c r="J654" s="3" t="s">
        <v>24</v>
      </c>
      <c r="K654" s="3" t="s">
        <v>35</v>
      </c>
      <c r="L654" s="20">
        <v>38</v>
      </c>
      <c r="M654" s="3" t="s">
        <v>17</v>
      </c>
      <c r="N654" s="20" t="str" cm="1">
        <f t="array" ref="N654">_xlfn.IFS(tbl_Clean[[#This Row],[Age]]&lt;=30,"25-30",tbl_Clean[[#This Row],[Age]]&lt;=40,"31-40",tbl_Clean[[#This Row],[Age]]&lt;=50,"41-50",tbl_Clean[[#This Row],[Age]]&lt;=60,"51-60",TRUE,"61+")</f>
        <v>31-40</v>
      </c>
      <c r="O654" s="20">
        <f>_xlfn.XMATCH(tbl_Clean[[#This Row],[Age Band]],{"25-30","31-40","41-50","51-60","61+"})</f>
        <v>2</v>
      </c>
      <c r="P654" s="20" t="str" cm="1">
        <f t="array" ref="P654">_xlfn.IFS(tbl_Clean[[#This Row],[Income]]&lt;=30000,"$10k-30k",tbl_Clean[[#This Row],[Income]]&lt;=60000,"$40k-60k",tbl_Clean[[#This Row],[Income]]&lt;=90000,"$70k-90k",TRUE,"$100k+")</f>
        <v>$70k-90k</v>
      </c>
      <c r="Q654" s="20">
        <f>_xlfn.XMATCH(tbl_Clean[[#This Row],[Income Band]],{"$10k-30k","$40k-60k","$70k-90k","$100k+"})</f>
        <v>3</v>
      </c>
      <c r="R654" s="20" t="str">
        <f>IF(tbl_Clean[[#This Row],[Cars]]&lt;=1,"0-1 Cars","2+ Cars")</f>
        <v>0-1 Cars</v>
      </c>
      <c r="S654" s="20">
        <f>_xlfn.XMATCH(tbl_Clean[[#This Row],[Commute Distance]],{"0-1 Miles","1-2 Miles","2-5 Miles","5-10 Miles","10+ Miles"})</f>
        <v>3</v>
      </c>
      <c r="T654" s="20">
        <f>_xlfn.XMATCH(tbl_Clean[[#This Row],[Education]],{"Partial High School","High School","Partial College","Bachelors","Graduate Degree"})</f>
        <v>4</v>
      </c>
      <c r="U654" s="20">
        <f>IF(tbl_Clean[[#This Row],[Purchased Bike]]="Yes",1,0)</f>
        <v>1</v>
      </c>
    </row>
    <row r="655" spans="1:21" x14ac:dyDescent="0.25">
      <c r="A655" s="20">
        <v>18435</v>
      </c>
      <c r="B655" s="3" t="s">
        <v>114</v>
      </c>
      <c r="C655" s="3" t="s">
        <v>112</v>
      </c>
      <c r="D655" s="19">
        <v>70000</v>
      </c>
      <c r="E655" s="20">
        <v>5</v>
      </c>
      <c r="F655" s="3" t="s">
        <v>34</v>
      </c>
      <c r="G655" s="3" t="s">
        <v>31</v>
      </c>
      <c r="H655" s="3" t="s">
        <v>17</v>
      </c>
      <c r="I655" s="20">
        <v>2</v>
      </c>
      <c r="J655" s="3" t="s">
        <v>33</v>
      </c>
      <c r="K655" s="3" t="s">
        <v>35</v>
      </c>
      <c r="L655" s="20">
        <v>67</v>
      </c>
      <c r="M655" s="3" t="s">
        <v>17</v>
      </c>
      <c r="N655" s="20" t="str" cm="1">
        <f t="array" ref="N655">_xlfn.IFS(tbl_Clean[[#This Row],[Age]]&lt;=30,"25-30",tbl_Clean[[#This Row],[Age]]&lt;=40,"31-40",tbl_Clean[[#This Row],[Age]]&lt;=50,"41-50",tbl_Clean[[#This Row],[Age]]&lt;=60,"51-60",TRUE,"61+")</f>
        <v>61+</v>
      </c>
      <c r="O655" s="20">
        <f>_xlfn.XMATCH(tbl_Clean[[#This Row],[Age Band]],{"25-30","31-40","41-50","51-60","61+"})</f>
        <v>5</v>
      </c>
      <c r="P655" s="20" t="str" cm="1">
        <f t="array" ref="P655">_xlfn.IFS(tbl_Clean[[#This Row],[Income]]&lt;=30000,"$10k-30k",tbl_Clean[[#This Row],[Income]]&lt;=60000,"$40k-60k",tbl_Clean[[#This Row],[Income]]&lt;=90000,"$70k-90k",TRUE,"$100k+")</f>
        <v>$70k-90k</v>
      </c>
      <c r="Q655" s="20">
        <f>_xlfn.XMATCH(tbl_Clean[[#This Row],[Income Band]],{"$10k-30k","$40k-60k","$70k-90k","$100k+"})</f>
        <v>3</v>
      </c>
      <c r="R655" s="20" t="str">
        <f>IF(tbl_Clean[[#This Row],[Cars]]&lt;=1,"0-1 Cars","2+ Cars")</f>
        <v>2+ Cars</v>
      </c>
      <c r="S655" s="20">
        <f>_xlfn.XMATCH(tbl_Clean[[#This Row],[Commute Distance]],{"0-1 Miles","1-2 Miles","2-5 Miles","5-10 Miles","10+ Miles"})</f>
        <v>5</v>
      </c>
      <c r="T655" s="20">
        <f>_xlfn.XMATCH(tbl_Clean[[#This Row],[Education]],{"Partial High School","High School","Partial College","Bachelors","Graduate Degree"})</f>
        <v>5</v>
      </c>
      <c r="U655" s="20">
        <f>IF(tbl_Clean[[#This Row],[Purchased Bike]]="Yes",1,0)</f>
        <v>1</v>
      </c>
    </row>
    <row r="656" spans="1:21" x14ac:dyDescent="0.25">
      <c r="A656" s="20">
        <v>14284</v>
      </c>
      <c r="B656" s="3" t="s">
        <v>114</v>
      </c>
      <c r="C656" s="3" t="s">
        <v>113</v>
      </c>
      <c r="D656" s="19">
        <v>60000</v>
      </c>
      <c r="E656" s="20">
        <v>0</v>
      </c>
      <c r="F656" s="3" t="s">
        <v>21</v>
      </c>
      <c r="G656" s="3" t="s">
        <v>23</v>
      </c>
      <c r="H656" s="3" t="s">
        <v>20</v>
      </c>
      <c r="I656" s="20">
        <v>2</v>
      </c>
      <c r="J656" s="3" t="s">
        <v>29</v>
      </c>
      <c r="K656" s="3" t="s">
        <v>35</v>
      </c>
      <c r="L656" s="20">
        <v>32</v>
      </c>
      <c r="M656" s="3" t="s">
        <v>17</v>
      </c>
      <c r="N656" s="20" t="str" cm="1">
        <f t="array" ref="N656">_xlfn.IFS(tbl_Clean[[#This Row],[Age]]&lt;=30,"25-30",tbl_Clean[[#This Row],[Age]]&lt;=40,"31-40",tbl_Clean[[#This Row],[Age]]&lt;=50,"41-50",tbl_Clean[[#This Row],[Age]]&lt;=60,"51-60",TRUE,"61+")</f>
        <v>31-40</v>
      </c>
      <c r="O656" s="20">
        <f>_xlfn.XMATCH(tbl_Clean[[#This Row],[Age Band]],{"25-30","31-40","41-50","51-60","61+"})</f>
        <v>2</v>
      </c>
      <c r="P656" s="20" t="str" cm="1">
        <f t="array" ref="P656">_xlfn.IFS(tbl_Clean[[#This Row],[Income]]&lt;=30000,"$10k-30k",tbl_Clean[[#This Row],[Income]]&lt;=60000,"$40k-60k",tbl_Clean[[#This Row],[Income]]&lt;=90000,"$70k-90k",TRUE,"$100k+")</f>
        <v>$40k-60k</v>
      </c>
      <c r="Q656" s="20">
        <f>_xlfn.XMATCH(tbl_Clean[[#This Row],[Income Band]],{"$10k-30k","$40k-60k","$70k-90k","$100k+"})</f>
        <v>2</v>
      </c>
      <c r="R656" s="20" t="str">
        <f>IF(tbl_Clean[[#This Row],[Cars]]&lt;=1,"0-1 Cars","2+ Cars")</f>
        <v>2+ Cars</v>
      </c>
      <c r="S656" s="20">
        <f>_xlfn.XMATCH(tbl_Clean[[#This Row],[Commute Distance]],{"0-1 Miles","1-2 Miles","2-5 Miles","5-10 Miles","10+ Miles"})</f>
        <v>2</v>
      </c>
      <c r="T656" s="20">
        <f>_xlfn.XMATCH(tbl_Clean[[#This Row],[Education]],{"Partial High School","High School","Partial College","Bachelors","Graduate Degree"})</f>
        <v>3</v>
      </c>
      <c r="U656" s="20">
        <f>IF(tbl_Clean[[#This Row],[Purchased Bike]]="Yes",1,0)</f>
        <v>1</v>
      </c>
    </row>
    <row r="657" spans="1:21" x14ac:dyDescent="0.25">
      <c r="A657" s="20">
        <v>11287</v>
      </c>
      <c r="B657" s="3" t="s">
        <v>111</v>
      </c>
      <c r="C657" s="3" t="s">
        <v>113</v>
      </c>
      <c r="D657" s="19">
        <v>70000</v>
      </c>
      <c r="E657" s="20">
        <v>5</v>
      </c>
      <c r="F657" s="3" t="s">
        <v>21</v>
      </c>
      <c r="G657" s="3" t="s">
        <v>23</v>
      </c>
      <c r="H657" s="3" t="s">
        <v>20</v>
      </c>
      <c r="I657" s="20">
        <v>3</v>
      </c>
      <c r="J657" s="3" t="s">
        <v>26</v>
      </c>
      <c r="K657" s="3" t="s">
        <v>35</v>
      </c>
      <c r="L657" s="20">
        <v>45</v>
      </c>
      <c r="M657" s="3" t="s">
        <v>20</v>
      </c>
      <c r="N657" s="20" t="str" cm="1">
        <f t="array" ref="N657">_xlfn.IFS(tbl_Clean[[#This Row],[Age]]&lt;=30,"25-30",tbl_Clean[[#This Row],[Age]]&lt;=40,"31-40",tbl_Clean[[#This Row],[Age]]&lt;=50,"41-50",tbl_Clean[[#This Row],[Age]]&lt;=60,"51-60",TRUE,"61+")</f>
        <v>41-50</v>
      </c>
      <c r="O657" s="20">
        <f>_xlfn.XMATCH(tbl_Clean[[#This Row],[Age Band]],{"25-30","31-40","41-50","51-60","61+"})</f>
        <v>3</v>
      </c>
      <c r="P657" s="20" t="str" cm="1">
        <f t="array" ref="P657">_xlfn.IFS(tbl_Clean[[#This Row],[Income]]&lt;=30000,"$10k-30k",tbl_Clean[[#This Row],[Income]]&lt;=60000,"$40k-60k",tbl_Clean[[#This Row],[Income]]&lt;=90000,"$70k-90k",TRUE,"$100k+")</f>
        <v>$70k-90k</v>
      </c>
      <c r="Q657" s="20">
        <f>_xlfn.XMATCH(tbl_Clean[[#This Row],[Income Band]],{"$10k-30k","$40k-60k","$70k-90k","$100k+"})</f>
        <v>3</v>
      </c>
      <c r="R657" s="20" t="str">
        <f>IF(tbl_Clean[[#This Row],[Cars]]&lt;=1,"0-1 Cars","2+ Cars")</f>
        <v>2+ Cars</v>
      </c>
      <c r="S657" s="20">
        <f>_xlfn.XMATCH(tbl_Clean[[#This Row],[Commute Distance]],{"0-1 Miles","1-2 Miles","2-5 Miles","5-10 Miles","10+ Miles"})</f>
        <v>4</v>
      </c>
      <c r="T657" s="20">
        <f>_xlfn.XMATCH(tbl_Clean[[#This Row],[Education]],{"Partial High School","High School","Partial College","Bachelors","Graduate Degree"})</f>
        <v>3</v>
      </c>
      <c r="U657" s="20">
        <f>IF(tbl_Clean[[#This Row],[Purchased Bike]]="Yes",1,0)</f>
        <v>0</v>
      </c>
    </row>
    <row r="658" spans="1:21" x14ac:dyDescent="0.25">
      <c r="A658" s="20">
        <v>13066</v>
      </c>
      <c r="B658" s="3" t="s">
        <v>114</v>
      </c>
      <c r="C658" s="3" t="s">
        <v>113</v>
      </c>
      <c r="D658" s="19">
        <v>30000</v>
      </c>
      <c r="E658" s="20">
        <v>0</v>
      </c>
      <c r="F658" s="3" t="s">
        <v>30</v>
      </c>
      <c r="G658" s="3" t="s">
        <v>16</v>
      </c>
      <c r="H658" s="3" t="s">
        <v>20</v>
      </c>
      <c r="I658" s="20">
        <v>2</v>
      </c>
      <c r="J658" s="3" t="s">
        <v>29</v>
      </c>
      <c r="K658" s="3" t="s">
        <v>35</v>
      </c>
      <c r="L658" s="20">
        <v>31</v>
      </c>
      <c r="M658" s="3" t="s">
        <v>17</v>
      </c>
      <c r="N658" s="20" t="str" cm="1">
        <f t="array" ref="N658">_xlfn.IFS(tbl_Clean[[#This Row],[Age]]&lt;=30,"25-30",tbl_Clean[[#This Row],[Age]]&lt;=40,"31-40",tbl_Clean[[#This Row],[Age]]&lt;=50,"41-50",tbl_Clean[[#This Row],[Age]]&lt;=60,"51-60",TRUE,"61+")</f>
        <v>31-40</v>
      </c>
      <c r="O658" s="20">
        <f>_xlfn.XMATCH(tbl_Clean[[#This Row],[Age Band]],{"25-30","31-40","41-50","51-60","61+"})</f>
        <v>2</v>
      </c>
      <c r="P658" s="20" t="str" cm="1">
        <f t="array" ref="P658">_xlfn.IFS(tbl_Clean[[#This Row],[Income]]&lt;=30000,"$10k-30k",tbl_Clean[[#This Row],[Income]]&lt;=60000,"$40k-60k",tbl_Clean[[#This Row],[Income]]&lt;=90000,"$70k-90k",TRUE,"$100k+")</f>
        <v>$10k-30k</v>
      </c>
      <c r="Q658" s="20">
        <f>_xlfn.XMATCH(tbl_Clean[[#This Row],[Income Band]],{"$10k-30k","$40k-60k","$70k-90k","$100k+"})</f>
        <v>1</v>
      </c>
      <c r="R658" s="20" t="str">
        <f>IF(tbl_Clean[[#This Row],[Cars]]&lt;=1,"0-1 Cars","2+ Cars")</f>
        <v>2+ Cars</v>
      </c>
      <c r="S658" s="20">
        <f>_xlfn.XMATCH(tbl_Clean[[#This Row],[Commute Distance]],{"0-1 Miles","1-2 Miles","2-5 Miles","5-10 Miles","10+ Miles"})</f>
        <v>2</v>
      </c>
      <c r="T658" s="20">
        <f>_xlfn.XMATCH(tbl_Clean[[#This Row],[Education]],{"Partial High School","High School","Partial College","Bachelors","Graduate Degree"})</f>
        <v>2</v>
      </c>
      <c r="U658" s="20">
        <f>IF(tbl_Clean[[#This Row],[Purchased Bike]]="Yes",1,0)</f>
        <v>1</v>
      </c>
    </row>
    <row r="659" spans="1:21" x14ac:dyDescent="0.25">
      <c r="A659" s="20">
        <v>29106</v>
      </c>
      <c r="B659" s="3" t="s">
        <v>114</v>
      </c>
      <c r="C659" s="3" t="s">
        <v>113</v>
      </c>
      <c r="D659" s="19">
        <v>40000</v>
      </c>
      <c r="E659" s="20">
        <v>0</v>
      </c>
      <c r="F659" s="3" t="s">
        <v>30</v>
      </c>
      <c r="G659" s="3" t="s">
        <v>16</v>
      </c>
      <c r="H659" s="3" t="s">
        <v>20</v>
      </c>
      <c r="I659" s="20">
        <v>2</v>
      </c>
      <c r="J659" s="3" t="s">
        <v>29</v>
      </c>
      <c r="K659" s="3" t="s">
        <v>35</v>
      </c>
      <c r="L659" s="20">
        <v>31</v>
      </c>
      <c r="M659" s="3" t="s">
        <v>17</v>
      </c>
      <c r="N659" s="20" t="str" cm="1">
        <f t="array" ref="N659">_xlfn.IFS(tbl_Clean[[#This Row],[Age]]&lt;=30,"25-30",tbl_Clean[[#This Row],[Age]]&lt;=40,"31-40",tbl_Clean[[#This Row],[Age]]&lt;=50,"41-50",tbl_Clean[[#This Row],[Age]]&lt;=60,"51-60",TRUE,"61+")</f>
        <v>31-40</v>
      </c>
      <c r="O659" s="20">
        <f>_xlfn.XMATCH(tbl_Clean[[#This Row],[Age Band]],{"25-30","31-40","41-50","51-60","61+"})</f>
        <v>2</v>
      </c>
      <c r="P659" s="20" t="str" cm="1">
        <f t="array" ref="P659">_xlfn.IFS(tbl_Clean[[#This Row],[Income]]&lt;=30000,"$10k-30k",tbl_Clean[[#This Row],[Income]]&lt;=60000,"$40k-60k",tbl_Clean[[#This Row],[Income]]&lt;=90000,"$70k-90k",TRUE,"$100k+")</f>
        <v>$40k-60k</v>
      </c>
      <c r="Q659" s="20">
        <f>_xlfn.XMATCH(tbl_Clean[[#This Row],[Income Band]],{"$10k-30k","$40k-60k","$70k-90k","$100k+"})</f>
        <v>2</v>
      </c>
      <c r="R659" s="20" t="str">
        <f>IF(tbl_Clean[[#This Row],[Cars]]&lt;=1,"0-1 Cars","2+ Cars")</f>
        <v>2+ Cars</v>
      </c>
      <c r="S659" s="20">
        <f>_xlfn.XMATCH(tbl_Clean[[#This Row],[Commute Distance]],{"0-1 Miles","1-2 Miles","2-5 Miles","5-10 Miles","10+ Miles"})</f>
        <v>2</v>
      </c>
      <c r="T659" s="20">
        <f>_xlfn.XMATCH(tbl_Clean[[#This Row],[Education]],{"Partial High School","High School","Partial College","Bachelors","Graduate Degree"})</f>
        <v>2</v>
      </c>
      <c r="U659" s="20">
        <f>IF(tbl_Clean[[#This Row],[Purchased Bike]]="Yes",1,0)</f>
        <v>1</v>
      </c>
    </row>
    <row r="660" spans="1:21" x14ac:dyDescent="0.25">
      <c r="A660" s="20">
        <v>26236</v>
      </c>
      <c r="B660" s="3" t="s">
        <v>111</v>
      </c>
      <c r="C660" s="3" t="s">
        <v>112</v>
      </c>
      <c r="D660" s="19">
        <v>40000</v>
      </c>
      <c r="E660" s="20">
        <v>3</v>
      </c>
      <c r="F660" s="3" t="s">
        <v>21</v>
      </c>
      <c r="G660" s="3" t="s">
        <v>22</v>
      </c>
      <c r="H660" s="3" t="s">
        <v>17</v>
      </c>
      <c r="I660" s="20">
        <v>1</v>
      </c>
      <c r="J660" s="3" t="s">
        <v>18</v>
      </c>
      <c r="K660" s="3" t="s">
        <v>35</v>
      </c>
      <c r="L660" s="20">
        <v>31</v>
      </c>
      <c r="M660" s="3" t="s">
        <v>20</v>
      </c>
      <c r="N660" s="20" t="str" cm="1">
        <f t="array" ref="N660">_xlfn.IFS(tbl_Clean[[#This Row],[Age]]&lt;=30,"25-30",tbl_Clean[[#This Row],[Age]]&lt;=40,"31-40",tbl_Clean[[#This Row],[Age]]&lt;=50,"41-50",tbl_Clean[[#This Row],[Age]]&lt;=60,"51-60",TRUE,"61+")</f>
        <v>31-40</v>
      </c>
      <c r="O660" s="20">
        <f>_xlfn.XMATCH(tbl_Clean[[#This Row],[Age Band]],{"25-30","31-40","41-50","51-60","61+"})</f>
        <v>2</v>
      </c>
      <c r="P660" s="20" t="str" cm="1">
        <f t="array" ref="P660">_xlfn.IFS(tbl_Clean[[#This Row],[Income]]&lt;=30000,"$10k-30k",tbl_Clean[[#This Row],[Income]]&lt;=60000,"$40k-60k",tbl_Clean[[#This Row],[Income]]&lt;=90000,"$70k-90k",TRUE,"$100k+")</f>
        <v>$40k-60k</v>
      </c>
      <c r="Q660" s="20">
        <f>_xlfn.XMATCH(tbl_Clean[[#This Row],[Income Band]],{"$10k-30k","$40k-60k","$70k-90k","$100k+"})</f>
        <v>2</v>
      </c>
      <c r="R660" s="20" t="str">
        <f>IF(tbl_Clean[[#This Row],[Cars]]&lt;=1,"0-1 Cars","2+ Cars")</f>
        <v>0-1 Cars</v>
      </c>
      <c r="S660" s="20">
        <f>_xlfn.XMATCH(tbl_Clean[[#This Row],[Commute Distance]],{"0-1 Miles","1-2 Miles","2-5 Miles","5-10 Miles","10+ Miles"})</f>
        <v>1</v>
      </c>
      <c r="T660" s="20">
        <f>_xlfn.XMATCH(tbl_Clean[[#This Row],[Education]],{"Partial High School","High School","Partial College","Bachelors","Graduate Degree"})</f>
        <v>3</v>
      </c>
      <c r="U660" s="20">
        <f>IF(tbl_Clean[[#This Row],[Purchased Bike]]="Yes",1,0)</f>
        <v>0</v>
      </c>
    </row>
    <row r="661" spans="1:21" x14ac:dyDescent="0.25">
      <c r="A661" s="20">
        <v>17531</v>
      </c>
      <c r="B661" s="3" t="s">
        <v>111</v>
      </c>
      <c r="C661" s="3" t="s">
        <v>113</v>
      </c>
      <c r="D661" s="19">
        <v>60000</v>
      </c>
      <c r="E661" s="20">
        <v>2</v>
      </c>
      <c r="F661" s="3" t="s">
        <v>30</v>
      </c>
      <c r="G661" s="3" t="s">
        <v>23</v>
      </c>
      <c r="H661" s="3" t="s">
        <v>20</v>
      </c>
      <c r="I661" s="20">
        <v>2</v>
      </c>
      <c r="J661" s="3" t="s">
        <v>26</v>
      </c>
      <c r="K661" s="3" t="s">
        <v>35</v>
      </c>
      <c r="L661" s="20">
        <v>50</v>
      </c>
      <c r="M661" s="3" t="s">
        <v>20</v>
      </c>
      <c r="N661" s="20" t="str" cm="1">
        <f t="array" ref="N661">_xlfn.IFS(tbl_Clean[[#This Row],[Age]]&lt;=30,"25-30",tbl_Clean[[#This Row],[Age]]&lt;=40,"31-40",tbl_Clean[[#This Row],[Age]]&lt;=50,"41-50",tbl_Clean[[#This Row],[Age]]&lt;=60,"51-60",TRUE,"61+")</f>
        <v>41-50</v>
      </c>
      <c r="O661" s="20">
        <f>_xlfn.XMATCH(tbl_Clean[[#This Row],[Age Band]],{"25-30","31-40","41-50","51-60","61+"})</f>
        <v>3</v>
      </c>
      <c r="P661" s="20" t="str" cm="1">
        <f t="array" ref="P661">_xlfn.IFS(tbl_Clean[[#This Row],[Income]]&lt;=30000,"$10k-30k",tbl_Clean[[#This Row],[Income]]&lt;=60000,"$40k-60k",tbl_Clean[[#This Row],[Income]]&lt;=90000,"$70k-90k",TRUE,"$100k+")</f>
        <v>$40k-60k</v>
      </c>
      <c r="Q661" s="20">
        <f>_xlfn.XMATCH(tbl_Clean[[#This Row],[Income Band]],{"$10k-30k","$40k-60k","$70k-90k","$100k+"})</f>
        <v>2</v>
      </c>
      <c r="R661" s="20" t="str">
        <f>IF(tbl_Clean[[#This Row],[Cars]]&lt;=1,"0-1 Cars","2+ Cars")</f>
        <v>2+ Cars</v>
      </c>
      <c r="S661" s="20">
        <f>_xlfn.XMATCH(tbl_Clean[[#This Row],[Commute Distance]],{"0-1 Miles","1-2 Miles","2-5 Miles","5-10 Miles","10+ Miles"})</f>
        <v>4</v>
      </c>
      <c r="T661" s="20">
        <f>_xlfn.XMATCH(tbl_Clean[[#This Row],[Education]],{"Partial High School","High School","Partial College","Bachelors","Graduate Degree"})</f>
        <v>2</v>
      </c>
      <c r="U661" s="20">
        <f>IF(tbl_Clean[[#This Row],[Purchased Bike]]="Yes",1,0)</f>
        <v>0</v>
      </c>
    </row>
    <row r="662" spans="1:21" x14ac:dyDescent="0.25">
      <c r="A662" s="20">
        <v>12964</v>
      </c>
      <c r="B662" s="3" t="s">
        <v>111</v>
      </c>
      <c r="C662" s="3" t="s">
        <v>113</v>
      </c>
      <c r="D662" s="19">
        <v>70000</v>
      </c>
      <c r="E662" s="20">
        <v>1</v>
      </c>
      <c r="F662" s="3" t="s">
        <v>21</v>
      </c>
      <c r="G662" s="3" t="s">
        <v>16</v>
      </c>
      <c r="H662" s="3" t="s">
        <v>17</v>
      </c>
      <c r="I662" s="20">
        <v>1</v>
      </c>
      <c r="J662" s="3" t="s">
        <v>18</v>
      </c>
      <c r="K662" s="3" t="s">
        <v>35</v>
      </c>
      <c r="L662" s="20">
        <v>44</v>
      </c>
      <c r="M662" s="3" t="s">
        <v>20</v>
      </c>
      <c r="N662" s="20" t="str" cm="1">
        <f t="array" ref="N662">_xlfn.IFS(tbl_Clean[[#This Row],[Age]]&lt;=30,"25-30",tbl_Clean[[#This Row],[Age]]&lt;=40,"31-40",tbl_Clean[[#This Row],[Age]]&lt;=50,"41-50",tbl_Clean[[#This Row],[Age]]&lt;=60,"51-60",TRUE,"61+")</f>
        <v>41-50</v>
      </c>
      <c r="O662" s="20">
        <f>_xlfn.XMATCH(tbl_Clean[[#This Row],[Age Band]],{"25-30","31-40","41-50","51-60","61+"})</f>
        <v>3</v>
      </c>
      <c r="P662" s="20" t="str" cm="1">
        <f t="array" ref="P662">_xlfn.IFS(tbl_Clean[[#This Row],[Income]]&lt;=30000,"$10k-30k",tbl_Clean[[#This Row],[Income]]&lt;=60000,"$40k-60k",tbl_Clean[[#This Row],[Income]]&lt;=90000,"$70k-90k",TRUE,"$100k+")</f>
        <v>$70k-90k</v>
      </c>
      <c r="Q662" s="20">
        <f>_xlfn.XMATCH(tbl_Clean[[#This Row],[Income Band]],{"$10k-30k","$40k-60k","$70k-90k","$100k+"})</f>
        <v>3</v>
      </c>
      <c r="R662" s="20" t="str">
        <f>IF(tbl_Clean[[#This Row],[Cars]]&lt;=1,"0-1 Cars","2+ Cars")</f>
        <v>0-1 Cars</v>
      </c>
      <c r="S662" s="20">
        <f>_xlfn.XMATCH(tbl_Clean[[#This Row],[Commute Distance]],{"0-1 Miles","1-2 Miles","2-5 Miles","5-10 Miles","10+ Miles"})</f>
        <v>1</v>
      </c>
      <c r="T662" s="20">
        <f>_xlfn.XMATCH(tbl_Clean[[#This Row],[Education]],{"Partial High School","High School","Partial College","Bachelors","Graduate Degree"})</f>
        <v>3</v>
      </c>
      <c r="U662" s="20">
        <f>IF(tbl_Clean[[#This Row],[Purchased Bike]]="Yes",1,0)</f>
        <v>0</v>
      </c>
    </row>
    <row r="663" spans="1:21" x14ac:dyDescent="0.25">
      <c r="A663" s="20">
        <v>19133</v>
      </c>
      <c r="B663" s="3" t="s">
        <v>114</v>
      </c>
      <c r="C663" s="3" t="s">
        <v>113</v>
      </c>
      <c r="D663" s="19">
        <v>50000</v>
      </c>
      <c r="E663" s="20">
        <v>2</v>
      </c>
      <c r="F663" s="3" t="s">
        <v>15</v>
      </c>
      <c r="G663" s="3" t="s">
        <v>16</v>
      </c>
      <c r="H663" s="3" t="s">
        <v>17</v>
      </c>
      <c r="I663" s="20">
        <v>1</v>
      </c>
      <c r="J663" s="3" t="s">
        <v>24</v>
      </c>
      <c r="K663" s="3" t="s">
        <v>35</v>
      </c>
      <c r="L663" s="20">
        <v>38</v>
      </c>
      <c r="M663" s="3" t="s">
        <v>17</v>
      </c>
      <c r="N663" s="20" t="str" cm="1">
        <f t="array" ref="N663">_xlfn.IFS(tbl_Clean[[#This Row],[Age]]&lt;=30,"25-30",tbl_Clean[[#This Row],[Age]]&lt;=40,"31-40",tbl_Clean[[#This Row],[Age]]&lt;=50,"41-50",tbl_Clean[[#This Row],[Age]]&lt;=60,"51-60",TRUE,"61+")</f>
        <v>31-40</v>
      </c>
      <c r="O663" s="20">
        <f>_xlfn.XMATCH(tbl_Clean[[#This Row],[Age Band]],{"25-30","31-40","41-50","51-60","61+"})</f>
        <v>2</v>
      </c>
      <c r="P663" s="20" t="str" cm="1">
        <f t="array" ref="P663">_xlfn.IFS(tbl_Clean[[#This Row],[Income]]&lt;=30000,"$10k-30k",tbl_Clean[[#This Row],[Income]]&lt;=60000,"$40k-60k",tbl_Clean[[#This Row],[Income]]&lt;=90000,"$70k-90k",TRUE,"$100k+")</f>
        <v>$40k-60k</v>
      </c>
      <c r="Q663" s="20">
        <f>_xlfn.XMATCH(tbl_Clean[[#This Row],[Income Band]],{"$10k-30k","$40k-60k","$70k-90k","$100k+"})</f>
        <v>2</v>
      </c>
      <c r="R663" s="20" t="str">
        <f>IF(tbl_Clean[[#This Row],[Cars]]&lt;=1,"0-1 Cars","2+ Cars")</f>
        <v>0-1 Cars</v>
      </c>
      <c r="S663" s="20">
        <f>_xlfn.XMATCH(tbl_Clean[[#This Row],[Commute Distance]],{"0-1 Miles","1-2 Miles","2-5 Miles","5-10 Miles","10+ Miles"})</f>
        <v>3</v>
      </c>
      <c r="T663" s="20">
        <f>_xlfn.XMATCH(tbl_Clean[[#This Row],[Education]],{"Partial High School","High School","Partial College","Bachelors","Graduate Degree"})</f>
        <v>4</v>
      </c>
      <c r="U663" s="20">
        <f>IF(tbl_Clean[[#This Row],[Purchased Bike]]="Yes",1,0)</f>
        <v>1</v>
      </c>
    </row>
    <row r="664" spans="1:21" x14ac:dyDescent="0.25">
      <c r="A664" s="20">
        <v>24643</v>
      </c>
      <c r="B664" s="3" t="s">
        <v>114</v>
      </c>
      <c r="C664" s="3" t="s">
        <v>112</v>
      </c>
      <c r="D664" s="19">
        <v>60000</v>
      </c>
      <c r="E664" s="20">
        <v>4</v>
      </c>
      <c r="F664" s="3" t="s">
        <v>15</v>
      </c>
      <c r="G664" s="3" t="s">
        <v>31</v>
      </c>
      <c r="H664" s="3" t="s">
        <v>17</v>
      </c>
      <c r="I664" s="20">
        <v>2</v>
      </c>
      <c r="J664" s="3" t="s">
        <v>33</v>
      </c>
      <c r="K664" s="3" t="s">
        <v>35</v>
      </c>
      <c r="L664" s="20">
        <v>63</v>
      </c>
      <c r="M664" s="3" t="s">
        <v>20</v>
      </c>
      <c r="N664" s="20" t="str" cm="1">
        <f t="array" ref="N664">_xlfn.IFS(tbl_Clean[[#This Row],[Age]]&lt;=30,"25-30",tbl_Clean[[#This Row],[Age]]&lt;=40,"31-40",tbl_Clean[[#This Row],[Age]]&lt;=50,"41-50",tbl_Clean[[#This Row],[Age]]&lt;=60,"51-60",TRUE,"61+")</f>
        <v>61+</v>
      </c>
      <c r="O664" s="20">
        <f>_xlfn.XMATCH(tbl_Clean[[#This Row],[Age Band]],{"25-30","31-40","41-50","51-60","61+"})</f>
        <v>5</v>
      </c>
      <c r="P664" s="20" t="str" cm="1">
        <f t="array" ref="P664">_xlfn.IFS(tbl_Clean[[#This Row],[Income]]&lt;=30000,"$10k-30k",tbl_Clean[[#This Row],[Income]]&lt;=60000,"$40k-60k",tbl_Clean[[#This Row],[Income]]&lt;=90000,"$70k-90k",TRUE,"$100k+")</f>
        <v>$40k-60k</v>
      </c>
      <c r="Q664" s="20">
        <f>_xlfn.XMATCH(tbl_Clean[[#This Row],[Income Band]],{"$10k-30k","$40k-60k","$70k-90k","$100k+"})</f>
        <v>2</v>
      </c>
      <c r="R664" s="20" t="str">
        <f>IF(tbl_Clean[[#This Row],[Cars]]&lt;=1,"0-1 Cars","2+ Cars")</f>
        <v>2+ Cars</v>
      </c>
      <c r="S664" s="20">
        <f>_xlfn.XMATCH(tbl_Clean[[#This Row],[Commute Distance]],{"0-1 Miles","1-2 Miles","2-5 Miles","5-10 Miles","10+ Miles"})</f>
        <v>5</v>
      </c>
      <c r="T664" s="20">
        <f>_xlfn.XMATCH(tbl_Clean[[#This Row],[Education]],{"Partial High School","High School","Partial College","Bachelors","Graduate Degree"})</f>
        <v>4</v>
      </c>
      <c r="U664" s="20">
        <f>IF(tbl_Clean[[#This Row],[Purchased Bike]]="Yes",1,0)</f>
        <v>0</v>
      </c>
    </row>
    <row r="665" spans="1:21" x14ac:dyDescent="0.25">
      <c r="A665" s="20">
        <v>21599</v>
      </c>
      <c r="B665" s="3" t="s">
        <v>111</v>
      </c>
      <c r="C665" s="3" t="s">
        <v>112</v>
      </c>
      <c r="D665" s="19">
        <v>60000</v>
      </c>
      <c r="E665" s="20">
        <v>1</v>
      </c>
      <c r="F665" s="3" t="s">
        <v>34</v>
      </c>
      <c r="G665" s="3" t="s">
        <v>23</v>
      </c>
      <c r="H665" s="3" t="s">
        <v>17</v>
      </c>
      <c r="I665" s="20">
        <v>0</v>
      </c>
      <c r="J665" s="3" t="s">
        <v>24</v>
      </c>
      <c r="K665" s="3" t="s">
        <v>35</v>
      </c>
      <c r="L665" s="20">
        <v>36</v>
      </c>
      <c r="M665" s="3" t="s">
        <v>17</v>
      </c>
      <c r="N665" s="20" t="str" cm="1">
        <f t="array" ref="N665">_xlfn.IFS(tbl_Clean[[#This Row],[Age]]&lt;=30,"25-30",tbl_Clean[[#This Row],[Age]]&lt;=40,"31-40",tbl_Clean[[#This Row],[Age]]&lt;=50,"41-50",tbl_Clean[[#This Row],[Age]]&lt;=60,"51-60",TRUE,"61+")</f>
        <v>31-40</v>
      </c>
      <c r="O665" s="20">
        <f>_xlfn.XMATCH(tbl_Clean[[#This Row],[Age Band]],{"25-30","31-40","41-50","51-60","61+"})</f>
        <v>2</v>
      </c>
      <c r="P665" s="20" t="str" cm="1">
        <f t="array" ref="P665">_xlfn.IFS(tbl_Clean[[#This Row],[Income]]&lt;=30000,"$10k-30k",tbl_Clean[[#This Row],[Income]]&lt;=60000,"$40k-60k",tbl_Clean[[#This Row],[Income]]&lt;=90000,"$70k-90k",TRUE,"$100k+")</f>
        <v>$40k-60k</v>
      </c>
      <c r="Q665" s="20">
        <f>_xlfn.XMATCH(tbl_Clean[[#This Row],[Income Band]],{"$10k-30k","$40k-60k","$70k-90k","$100k+"})</f>
        <v>2</v>
      </c>
      <c r="R665" s="20" t="str">
        <f>IF(tbl_Clean[[#This Row],[Cars]]&lt;=1,"0-1 Cars","2+ Cars")</f>
        <v>0-1 Cars</v>
      </c>
      <c r="S665" s="20">
        <f>_xlfn.XMATCH(tbl_Clean[[#This Row],[Commute Distance]],{"0-1 Miles","1-2 Miles","2-5 Miles","5-10 Miles","10+ Miles"})</f>
        <v>3</v>
      </c>
      <c r="T665" s="20">
        <f>_xlfn.XMATCH(tbl_Clean[[#This Row],[Education]],{"Partial High School","High School","Partial College","Bachelors","Graduate Degree"})</f>
        <v>5</v>
      </c>
      <c r="U665" s="20">
        <f>IF(tbl_Clean[[#This Row],[Purchased Bike]]="Yes",1,0)</f>
        <v>1</v>
      </c>
    </row>
    <row r="666" spans="1:21" x14ac:dyDescent="0.25">
      <c r="A666" s="20">
        <v>22976</v>
      </c>
      <c r="B666" s="3" t="s">
        <v>114</v>
      </c>
      <c r="C666" s="3" t="s">
        <v>113</v>
      </c>
      <c r="D666" s="19">
        <v>40000</v>
      </c>
      <c r="E666" s="20">
        <v>0</v>
      </c>
      <c r="F666" s="3" t="s">
        <v>30</v>
      </c>
      <c r="G666" s="3" t="s">
        <v>16</v>
      </c>
      <c r="H666" s="3" t="s">
        <v>20</v>
      </c>
      <c r="I666" s="20">
        <v>2</v>
      </c>
      <c r="J666" s="3" t="s">
        <v>18</v>
      </c>
      <c r="K666" s="3" t="s">
        <v>35</v>
      </c>
      <c r="L666" s="20">
        <v>28</v>
      </c>
      <c r="M666" s="3" t="s">
        <v>17</v>
      </c>
      <c r="N666" s="20" t="str" cm="1">
        <f t="array" ref="N666">_xlfn.IFS(tbl_Clean[[#This Row],[Age]]&lt;=30,"25-30",tbl_Clean[[#This Row],[Age]]&lt;=40,"31-40",tbl_Clean[[#This Row],[Age]]&lt;=50,"41-50",tbl_Clean[[#This Row],[Age]]&lt;=60,"51-60",TRUE,"61+")</f>
        <v>25-30</v>
      </c>
      <c r="O666" s="20">
        <f>_xlfn.XMATCH(tbl_Clean[[#This Row],[Age Band]],{"25-30","31-40","41-50","51-60","61+"})</f>
        <v>1</v>
      </c>
      <c r="P666" s="20" t="str" cm="1">
        <f t="array" ref="P666">_xlfn.IFS(tbl_Clean[[#This Row],[Income]]&lt;=30000,"$10k-30k",tbl_Clean[[#This Row],[Income]]&lt;=60000,"$40k-60k",tbl_Clean[[#This Row],[Income]]&lt;=90000,"$70k-90k",TRUE,"$100k+")</f>
        <v>$40k-60k</v>
      </c>
      <c r="Q666" s="20">
        <f>_xlfn.XMATCH(tbl_Clean[[#This Row],[Income Band]],{"$10k-30k","$40k-60k","$70k-90k","$100k+"})</f>
        <v>2</v>
      </c>
      <c r="R666" s="20" t="str">
        <f>IF(tbl_Clean[[#This Row],[Cars]]&lt;=1,"0-1 Cars","2+ Cars")</f>
        <v>2+ Cars</v>
      </c>
      <c r="S666" s="20">
        <f>_xlfn.XMATCH(tbl_Clean[[#This Row],[Commute Distance]],{"0-1 Miles","1-2 Miles","2-5 Miles","5-10 Miles","10+ Miles"})</f>
        <v>1</v>
      </c>
      <c r="T666" s="20">
        <f>_xlfn.XMATCH(tbl_Clean[[#This Row],[Education]],{"Partial High School","High School","Partial College","Bachelors","Graduate Degree"})</f>
        <v>2</v>
      </c>
      <c r="U666" s="20">
        <f>IF(tbl_Clean[[#This Row],[Purchased Bike]]="Yes",1,0)</f>
        <v>1</v>
      </c>
    </row>
    <row r="667" spans="1:21" x14ac:dyDescent="0.25">
      <c r="A667" s="20">
        <v>27637</v>
      </c>
      <c r="B667" s="3" t="s">
        <v>114</v>
      </c>
      <c r="C667" s="3" t="s">
        <v>112</v>
      </c>
      <c r="D667" s="19">
        <v>100000</v>
      </c>
      <c r="E667" s="20">
        <v>1</v>
      </c>
      <c r="F667" s="3" t="s">
        <v>21</v>
      </c>
      <c r="G667" s="3" t="s">
        <v>23</v>
      </c>
      <c r="H667" s="3" t="s">
        <v>20</v>
      </c>
      <c r="I667" s="20">
        <v>3</v>
      </c>
      <c r="J667" s="3" t="s">
        <v>29</v>
      </c>
      <c r="K667" s="3" t="s">
        <v>35</v>
      </c>
      <c r="L667" s="20">
        <v>44</v>
      </c>
      <c r="M667" s="3" t="s">
        <v>20</v>
      </c>
      <c r="N667" s="20" t="str" cm="1">
        <f t="array" ref="N667">_xlfn.IFS(tbl_Clean[[#This Row],[Age]]&lt;=30,"25-30",tbl_Clean[[#This Row],[Age]]&lt;=40,"31-40",tbl_Clean[[#This Row],[Age]]&lt;=50,"41-50",tbl_Clean[[#This Row],[Age]]&lt;=60,"51-60",TRUE,"61+")</f>
        <v>41-50</v>
      </c>
      <c r="O667" s="20">
        <f>_xlfn.XMATCH(tbl_Clean[[#This Row],[Age Band]],{"25-30","31-40","41-50","51-60","61+"})</f>
        <v>3</v>
      </c>
      <c r="P667" s="20" t="str" cm="1">
        <f t="array" ref="P667">_xlfn.IFS(tbl_Clean[[#This Row],[Income]]&lt;=30000,"$10k-30k",tbl_Clean[[#This Row],[Income]]&lt;=60000,"$40k-60k",tbl_Clean[[#This Row],[Income]]&lt;=90000,"$70k-90k",TRUE,"$100k+")</f>
        <v>$100k+</v>
      </c>
      <c r="Q667" s="20">
        <f>_xlfn.XMATCH(tbl_Clean[[#This Row],[Income Band]],{"$10k-30k","$40k-60k","$70k-90k","$100k+"})</f>
        <v>4</v>
      </c>
      <c r="R667" s="20" t="str">
        <f>IF(tbl_Clean[[#This Row],[Cars]]&lt;=1,"0-1 Cars","2+ Cars")</f>
        <v>2+ Cars</v>
      </c>
      <c r="S667" s="20">
        <f>_xlfn.XMATCH(tbl_Clean[[#This Row],[Commute Distance]],{"0-1 Miles","1-2 Miles","2-5 Miles","5-10 Miles","10+ Miles"})</f>
        <v>2</v>
      </c>
      <c r="T667" s="20">
        <f>_xlfn.XMATCH(tbl_Clean[[#This Row],[Education]],{"Partial High School","High School","Partial College","Bachelors","Graduate Degree"})</f>
        <v>3</v>
      </c>
      <c r="U667" s="20">
        <f>IF(tbl_Clean[[#This Row],[Purchased Bike]]="Yes",1,0)</f>
        <v>0</v>
      </c>
    </row>
    <row r="668" spans="1:21" x14ac:dyDescent="0.25">
      <c r="A668" s="20">
        <v>11890</v>
      </c>
      <c r="B668" s="3" t="s">
        <v>111</v>
      </c>
      <c r="C668" s="3" t="s">
        <v>112</v>
      </c>
      <c r="D668" s="19">
        <v>70000</v>
      </c>
      <c r="E668" s="20">
        <v>5</v>
      </c>
      <c r="F668" s="3" t="s">
        <v>34</v>
      </c>
      <c r="G668" s="3" t="s">
        <v>23</v>
      </c>
      <c r="H668" s="3" t="s">
        <v>17</v>
      </c>
      <c r="I668" s="20">
        <v>1</v>
      </c>
      <c r="J668" s="3" t="s">
        <v>18</v>
      </c>
      <c r="K668" s="3" t="s">
        <v>35</v>
      </c>
      <c r="L668" s="20">
        <v>47</v>
      </c>
      <c r="M668" s="3" t="s">
        <v>20</v>
      </c>
      <c r="N668" s="20" t="str" cm="1">
        <f t="array" ref="N668">_xlfn.IFS(tbl_Clean[[#This Row],[Age]]&lt;=30,"25-30",tbl_Clean[[#This Row],[Age]]&lt;=40,"31-40",tbl_Clean[[#This Row],[Age]]&lt;=50,"41-50",tbl_Clean[[#This Row],[Age]]&lt;=60,"51-60",TRUE,"61+")</f>
        <v>41-50</v>
      </c>
      <c r="O668" s="20">
        <f>_xlfn.XMATCH(tbl_Clean[[#This Row],[Age Band]],{"25-30","31-40","41-50","51-60","61+"})</f>
        <v>3</v>
      </c>
      <c r="P668" s="20" t="str" cm="1">
        <f t="array" ref="P668">_xlfn.IFS(tbl_Clean[[#This Row],[Income]]&lt;=30000,"$10k-30k",tbl_Clean[[#This Row],[Income]]&lt;=60000,"$40k-60k",tbl_Clean[[#This Row],[Income]]&lt;=90000,"$70k-90k",TRUE,"$100k+")</f>
        <v>$70k-90k</v>
      </c>
      <c r="Q668" s="20">
        <f>_xlfn.XMATCH(tbl_Clean[[#This Row],[Income Band]],{"$10k-30k","$40k-60k","$70k-90k","$100k+"})</f>
        <v>3</v>
      </c>
      <c r="R668" s="20" t="str">
        <f>IF(tbl_Clean[[#This Row],[Cars]]&lt;=1,"0-1 Cars","2+ Cars")</f>
        <v>0-1 Cars</v>
      </c>
      <c r="S668" s="20">
        <f>_xlfn.XMATCH(tbl_Clean[[#This Row],[Commute Distance]],{"0-1 Miles","1-2 Miles","2-5 Miles","5-10 Miles","10+ Miles"})</f>
        <v>1</v>
      </c>
      <c r="T668" s="20">
        <f>_xlfn.XMATCH(tbl_Clean[[#This Row],[Education]],{"Partial High School","High School","Partial College","Bachelors","Graduate Degree"})</f>
        <v>5</v>
      </c>
      <c r="U668" s="20">
        <f>IF(tbl_Clean[[#This Row],[Purchased Bike]]="Yes",1,0)</f>
        <v>0</v>
      </c>
    </row>
    <row r="669" spans="1:21" x14ac:dyDescent="0.25">
      <c r="A669" s="20">
        <v>28580</v>
      </c>
      <c r="B669" s="3" t="s">
        <v>111</v>
      </c>
      <c r="C669" s="3" t="s">
        <v>112</v>
      </c>
      <c r="D669" s="19">
        <v>80000</v>
      </c>
      <c r="E669" s="20">
        <v>0</v>
      </c>
      <c r="F669" s="3" t="s">
        <v>34</v>
      </c>
      <c r="G669" s="3" t="s">
        <v>16</v>
      </c>
      <c r="H669" s="3" t="s">
        <v>17</v>
      </c>
      <c r="I669" s="20">
        <v>0</v>
      </c>
      <c r="J669" s="3" t="s">
        <v>29</v>
      </c>
      <c r="K669" s="3" t="s">
        <v>35</v>
      </c>
      <c r="L669" s="20">
        <v>40</v>
      </c>
      <c r="M669" s="3" t="s">
        <v>17</v>
      </c>
      <c r="N669" s="20" t="str" cm="1">
        <f t="array" ref="N669">_xlfn.IFS(tbl_Clean[[#This Row],[Age]]&lt;=30,"25-30",tbl_Clean[[#This Row],[Age]]&lt;=40,"31-40",tbl_Clean[[#This Row],[Age]]&lt;=50,"41-50",tbl_Clean[[#This Row],[Age]]&lt;=60,"51-60",TRUE,"61+")</f>
        <v>31-40</v>
      </c>
      <c r="O669" s="20">
        <f>_xlfn.XMATCH(tbl_Clean[[#This Row],[Age Band]],{"25-30","31-40","41-50","51-60","61+"})</f>
        <v>2</v>
      </c>
      <c r="P669" s="20" t="str" cm="1">
        <f t="array" ref="P669">_xlfn.IFS(tbl_Clean[[#This Row],[Income]]&lt;=30000,"$10k-30k",tbl_Clean[[#This Row],[Income]]&lt;=60000,"$40k-60k",tbl_Clean[[#This Row],[Income]]&lt;=90000,"$70k-90k",TRUE,"$100k+")</f>
        <v>$70k-90k</v>
      </c>
      <c r="Q669" s="20">
        <f>_xlfn.XMATCH(tbl_Clean[[#This Row],[Income Band]],{"$10k-30k","$40k-60k","$70k-90k","$100k+"})</f>
        <v>3</v>
      </c>
      <c r="R669" s="20" t="str">
        <f>IF(tbl_Clean[[#This Row],[Cars]]&lt;=1,"0-1 Cars","2+ Cars")</f>
        <v>0-1 Cars</v>
      </c>
      <c r="S669" s="20">
        <f>_xlfn.XMATCH(tbl_Clean[[#This Row],[Commute Distance]],{"0-1 Miles","1-2 Miles","2-5 Miles","5-10 Miles","10+ Miles"})</f>
        <v>2</v>
      </c>
      <c r="T669" s="20">
        <f>_xlfn.XMATCH(tbl_Clean[[#This Row],[Education]],{"Partial High School","High School","Partial College","Bachelors","Graduate Degree"})</f>
        <v>5</v>
      </c>
      <c r="U669" s="20">
        <f>IF(tbl_Clean[[#This Row],[Purchased Bike]]="Yes",1,0)</f>
        <v>1</v>
      </c>
    </row>
    <row r="670" spans="1:21" x14ac:dyDescent="0.25">
      <c r="A670" s="20">
        <v>14443</v>
      </c>
      <c r="B670" s="3" t="s">
        <v>111</v>
      </c>
      <c r="C670" s="3" t="s">
        <v>113</v>
      </c>
      <c r="D670" s="19">
        <v>130000</v>
      </c>
      <c r="E670" s="20">
        <v>1</v>
      </c>
      <c r="F670" s="3" t="s">
        <v>34</v>
      </c>
      <c r="G670" s="3" t="s">
        <v>31</v>
      </c>
      <c r="H670" s="3" t="s">
        <v>17</v>
      </c>
      <c r="I670" s="20">
        <v>4</v>
      </c>
      <c r="J670" s="3" t="s">
        <v>18</v>
      </c>
      <c r="K670" s="3" t="s">
        <v>35</v>
      </c>
      <c r="L670" s="20">
        <v>40</v>
      </c>
      <c r="M670" s="3" t="s">
        <v>20</v>
      </c>
      <c r="N670" s="20" t="str" cm="1">
        <f t="array" ref="N670">_xlfn.IFS(tbl_Clean[[#This Row],[Age]]&lt;=30,"25-30",tbl_Clean[[#This Row],[Age]]&lt;=40,"31-40",tbl_Clean[[#This Row],[Age]]&lt;=50,"41-50",tbl_Clean[[#This Row],[Age]]&lt;=60,"51-60",TRUE,"61+")</f>
        <v>31-40</v>
      </c>
      <c r="O670" s="20">
        <f>_xlfn.XMATCH(tbl_Clean[[#This Row],[Age Band]],{"25-30","31-40","41-50","51-60","61+"})</f>
        <v>2</v>
      </c>
      <c r="P670" s="20" t="str" cm="1">
        <f t="array" ref="P670">_xlfn.IFS(tbl_Clean[[#This Row],[Income]]&lt;=30000,"$10k-30k",tbl_Clean[[#This Row],[Income]]&lt;=60000,"$40k-60k",tbl_Clean[[#This Row],[Income]]&lt;=90000,"$70k-90k",TRUE,"$100k+")</f>
        <v>$100k+</v>
      </c>
      <c r="Q670" s="20">
        <f>_xlfn.XMATCH(tbl_Clean[[#This Row],[Income Band]],{"$10k-30k","$40k-60k","$70k-90k","$100k+"})</f>
        <v>4</v>
      </c>
      <c r="R670" s="20" t="str">
        <f>IF(tbl_Clean[[#This Row],[Cars]]&lt;=1,"0-1 Cars","2+ Cars")</f>
        <v>2+ Cars</v>
      </c>
      <c r="S670" s="20">
        <f>_xlfn.XMATCH(tbl_Clean[[#This Row],[Commute Distance]],{"0-1 Miles","1-2 Miles","2-5 Miles","5-10 Miles","10+ Miles"})</f>
        <v>1</v>
      </c>
      <c r="T670" s="20">
        <f>_xlfn.XMATCH(tbl_Clean[[#This Row],[Education]],{"Partial High School","High School","Partial College","Bachelors","Graduate Degree"})</f>
        <v>5</v>
      </c>
      <c r="U670" s="20">
        <f>IF(tbl_Clean[[#This Row],[Purchased Bike]]="Yes",1,0)</f>
        <v>0</v>
      </c>
    </row>
    <row r="671" spans="1:21" x14ac:dyDescent="0.25">
      <c r="A671" s="20">
        <v>17864</v>
      </c>
      <c r="B671" s="3" t="s">
        <v>111</v>
      </c>
      <c r="C671" s="3" t="s">
        <v>112</v>
      </c>
      <c r="D671" s="19">
        <v>60000</v>
      </c>
      <c r="E671" s="20">
        <v>1</v>
      </c>
      <c r="F671" s="3" t="s">
        <v>21</v>
      </c>
      <c r="G671" s="3" t="s">
        <v>16</v>
      </c>
      <c r="H671" s="3" t="s">
        <v>17</v>
      </c>
      <c r="I671" s="20">
        <v>1</v>
      </c>
      <c r="J671" s="3" t="s">
        <v>24</v>
      </c>
      <c r="K671" s="3" t="s">
        <v>35</v>
      </c>
      <c r="L671" s="20">
        <v>46</v>
      </c>
      <c r="M671" s="3" t="s">
        <v>17</v>
      </c>
      <c r="N671" s="20" t="str" cm="1">
        <f t="array" ref="N671">_xlfn.IFS(tbl_Clean[[#This Row],[Age]]&lt;=30,"25-30",tbl_Clean[[#This Row],[Age]]&lt;=40,"31-40",tbl_Clean[[#This Row],[Age]]&lt;=50,"41-50",tbl_Clean[[#This Row],[Age]]&lt;=60,"51-60",TRUE,"61+")</f>
        <v>41-50</v>
      </c>
      <c r="O671" s="20">
        <f>_xlfn.XMATCH(tbl_Clean[[#This Row],[Age Band]],{"25-30","31-40","41-50","51-60","61+"})</f>
        <v>3</v>
      </c>
      <c r="P671" s="20" t="str" cm="1">
        <f t="array" ref="P671">_xlfn.IFS(tbl_Clean[[#This Row],[Income]]&lt;=30000,"$10k-30k",tbl_Clean[[#This Row],[Income]]&lt;=60000,"$40k-60k",tbl_Clean[[#This Row],[Income]]&lt;=90000,"$70k-90k",TRUE,"$100k+")</f>
        <v>$40k-60k</v>
      </c>
      <c r="Q671" s="20">
        <f>_xlfn.XMATCH(tbl_Clean[[#This Row],[Income Band]],{"$10k-30k","$40k-60k","$70k-90k","$100k+"})</f>
        <v>2</v>
      </c>
      <c r="R671" s="20" t="str">
        <f>IF(tbl_Clean[[#This Row],[Cars]]&lt;=1,"0-1 Cars","2+ Cars")</f>
        <v>0-1 Cars</v>
      </c>
      <c r="S671" s="20">
        <f>_xlfn.XMATCH(tbl_Clean[[#This Row],[Commute Distance]],{"0-1 Miles","1-2 Miles","2-5 Miles","5-10 Miles","10+ Miles"})</f>
        <v>3</v>
      </c>
      <c r="T671" s="20">
        <f>_xlfn.XMATCH(tbl_Clean[[#This Row],[Education]],{"Partial High School","High School","Partial College","Bachelors","Graduate Degree"})</f>
        <v>3</v>
      </c>
      <c r="U671" s="20">
        <f>IF(tbl_Clean[[#This Row],[Purchased Bike]]="Yes",1,0)</f>
        <v>1</v>
      </c>
    </row>
    <row r="672" spans="1:21" x14ac:dyDescent="0.25">
      <c r="A672" s="20">
        <v>20505</v>
      </c>
      <c r="B672" s="3" t="s">
        <v>111</v>
      </c>
      <c r="C672" s="3" t="s">
        <v>112</v>
      </c>
      <c r="D672" s="19">
        <v>40000</v>
      </c>
      <c r="E672" s="20">
        <v>5</v>
      </c>
      <c r="F672" s="3" t="s">
        <v>30</v>
      </c>
      <c r="G672" s="3" t="s">
        <v>23</v>
      </c>
      <c r="H672" s="3" t="s">
        <v>20</v>
      </c>
      <c r="I672" s="20">
        <v>2</v>
      </c>
      <c r="J672" s="3" t="s">
        <v>33</v>
      </c>
      <c r="K672" s="3" t="s">
        <v>35</v>
      </c>
      <c r="L672" s="20">
        <v>61</v>
      </c>
      <c r="M672" s="3" t="s">
        <v>20</v>
      </c>
      <c r="N672" s="20" t="str" cm="1">
        <f t="array" ref="N672">_xlfn.IFS(tbl_Clean[[#This Row],[Age]]&lt;=30,"25-30",tbl_Clean[[#This Row],[Age]]&lt;=40,"31-40",tbl_Clean[[#This Row],[Age]]&lt;=50,"41-50",tbl_Clean[[#This Row],[Age]]&lt;=60,"51-60",TRUE,"61+")</f>
        <v>61+</v>
      </c>
      <c r="O672" s="20">
        <f>_xlfn.XMATCH(tbl_Clean[[#This Row],[Age Band]],{"25-30","31-40","41-50","51-60","61+"})</f>
        <v>5</v>
      </c>
      <c r="P672" s="20" t="str" cm="1">
        <f t="array" ref="P672">_xlfn.IFS(tbl_Clean[[#This Row],[Income]]&lt;=30000,"$10k-30k",tbl_Clean[[#This Row],[Income]]&lt;=60000,"$40k-60k",tbl_Clean[[#This Row],[Income]]&lt;=90000,"$70k-90k",TRUE,"$100k+")</f>
        <v>$40k-60k</v>
      </c>
      <c r="Q672" s="20">
        <f>_xlfn.XMATCH(tbl_Clean[[#This Row],[Income Band]],{"$10k-30k","$40k-60k","$70k-90k","$100k+"})</f>
        <v>2</v>
      </c>
      <c r="R672" s="20" t="str">
        <f>IF(tbl_Clean[[#This Row],[Cars]]&lt;=1,"0-1 Cars","2+ Cars")</f>
        <v>2+ Cars</v>
      </c>
      <c r="S672" s="20">
        <f>_xlfn.XMATCH(tbl_Clean[[#This Row],[Commute Distance]],{"0-1 Miles","1-2 Miles","2-5 Miles","5-10 Miles","10+ Miles"})</f>
        <v>5</v>
      </c>
      <c r="T672" s="20">
        <f>_xlfn.XMATCH(tbl_Clean[[#This Row],[Education]],{"Partial High School","High School","Partial College","Bachelors","Graduate Degree"})</f>
        <v>2</v>
      </c>
      <c r="U672" s="20">
        <f>IF(tbl_Clean[[#This Row],[Purchased Bike]]="Yes",1,0)</f>
        <v>0</v>
      </c>
    </row>
    <row r="673" spans="1:21" x14ac:dyDescent="0.25">
      <c r="A673" s="20">
        <v>14592</v>
      </c>
      <c r="B673" s="3" t="s">
        <v>111</v>
      </c>
      <c r="C673" s="3" t="s">
        <v>112</v>
      </c>
      <c r="D673" s="19">
        <v>60000</v>
      </c>
      <c r="E673" s="20">
        <v>0</v>
      </c>
      <c r="F673" s="3" t="s">
        <v>34</v>
      </c>
      <c r="G673" s="3" t="s">
        <v>23</v>
      </c>
      <c r="H673" s="3" t="s">
        <v>17</v>
      </c>
      <c r="I673" s="20">
        <v>0</v>
      </c>
      <c r="J673" s="3" t="s">
        <v>18</v>
      </c>
      <c r="K673" s="3" t="s">
        <v>35</v>
      </c>
      <c r="L673" s="20">
        <v>40</v>
      </c>
      <c r="M673" s="3" t="s">
        <v>20</v>
      </c>
      <c r="N673" s="20" t="str" cm="1">
        <f t="array" ref="N673">_xlfn.IFS(tbl_Clean[[#This Row],[Age]]&lt;=30,"25-30",tbl_Clean[[#This Row],[Age]]&lt;=40,"31-40",tbl_Clean[[#This Row],[Age]]&lt;=50,"41-50",tbl_Clean[[#This Row],[Age]]&lt;=60,"51-60",TRUE,"61+")</f>
        <v>31-40</v>
      </c>
      <c r="O673" s="20">
        <f>_xlfn.XMATCH(tbl_Clean[[#This Row],[Age Band]],{"25-30","31-40","41-50","51-60","61+"})</f>
        <v>2</v>
      </c>
      <c r="P673" s="20" t="str" cm="1">
        <f t="array" ref="P673">_xlfn.IFS(tbl_Clean[[#This Row],[Income]]&lt;=30000,"$10k-30k",tbl_Clean[[#This Row],[Income]]&lt;=60000,"$40k-60k",tbl_Clean[[#This Row],[Income]]&lt;=90000,"$70k-90k",TRUE,"$100k+")</f>
        <v>$40k-60k</v>
      </c>
      <c r="Q673" s="20">
        <f>_xlfn.XMATCH(tbl_Clean[[#This Row],[Income Band]],{"$10k-30k","$40k-60k","$70k-90k","$100k+"})</f>
        <v>2</v>
      </c>
      <c r="R673" s="20" t="str">
        <f>IF(tbl_Clean[[#This Row],[Cars]]&lt;=1,"0-1 Cars","2+ Cars")</f>
        <v>0-1 Cars</v>
      </c>
      <c r="S673" s="20">
        <f>_xlfn.XMATCH(tbl_Clean[[#This Row],[Commute Distance]],{"0-1 Miles","1-2 Miles","2-5 Miles","5-10 Miles","10+ Miles"})</f>
        <v>1</v>
      </c>
      <c r="T673" s="20">
        <f>_xlfn.XMATCH(tbl_Clean[[#This Row],[Education]],{"Partial High School","High School","Partial College","Bachelors","Graduate Degree"})</f>
        <v>5</v>
      </c>
      <c r="U673" s="20">
        <f>IF(tbl_Clean[[#This Row],[Purchased Bike]]="Yes",1,0)</f>
        <v>0</v>
      </c>
    </row>
    <row r="674" spans="1:21" x14ac:dyDescent="0.25">
      <c r="A674" s="20">
        <v>22227</v>
      </c>
      <c r="B674" s="3" t="s">
        <v>111</v>
      </c>
      <c r="C674" s="3" t="s">
        <v>112</v>
      </c>
      <c r="D674" s="19">
        <v>60000</v>
      </c>
      <c r="E674" s="20">
        <v>2</v>
      </c>
      <c r="F674" s="3" t="s">
        <v>30</v>
      </c>
      <c r="G674" s="3" t="s">
        <v>23</v>
      </c>
      <c r="H674" s="3" t="s">
        <v>17</v>
      </c>
      <c r="I674" s="20">
        <v>2</v>
      </c>
      <c r="J674" s="3" t="s">
        <v>26</v>
      </c>
      <c r="K674" s="3" t="s">
        <v>35</v>
      </c>
      <c r="L674" s="20">
        <v>50</v>
      </c>
      <c r="M674" s="3" t="s">
        <v>20</v>
      </c>
      <c r="N674" s="20" t="str" cm="1">
        <f t="array" ref="N674">_xlfn.IFS(tbl_Clean[[#This Row],[Age]]&lt;=30,"25-30",tbl_Clean[[#This Row],[Age]]&lt;=40,"31-40",tbl_Clean[[#This Row],[Age]]&lt;=50,"41-50",tbl_Clean[[#This Row],[Age]]&lt;=60,"51-60",TRUE,"61+")</f>
        <v>41-50</v>
      </c>
      <c r="O674" s="20">
        <f>_xlfn.XMATCH(tbl_Clean[[#This Row],[Age Band]],{"25-30","31-40","41-50","51-60","61+"})</f>
        <v>3</v>
      </c>
      <c r="P674" s="20" t="str" cm="1">
        <f t="array" ref="P674">_xlfn.IFS(tbl_Clean[[#This Row],[Income]]&lt;=30000,"$10k-30k",tbl_Clean[[#This Row],[Income]]&lt;=60000,"$40k-60k",tbl_Clean[[#This Row],[Income]]&lt;=90000,"$70k-90k",TRUE,"$100k+")</f>
        <v>$40k-60k</v>
      </c>
      <c r="Q674" s="20">
        <f>_xlfn.XMATCH(tbl_Clean[[#This Row],[Income Band]],{"$10k-30k","$40k-60k","$70k-90k","$100k+"})</f>
        <v>2</v>
      </c>
      <c r="R674" s="20" t="str">
        <f>IF(tbl_Clean[[#This Row],[Cars]]&lt;=1,"0-1 Cars","2+ Cars")</f>
        <v>2+ Cars</v>
      </c>
      <c r="S674" s="20">
        <f>_xlfn.XMATCH(tbl_Clean[[#This Row],[Commute Distance]],{"0-1 Miles","1-2 Miles","2-5 Miles","5-10 Miles","10+ Miles"})</f>
        <v>4</v>
      </c>
      <c r="T674" s="20">
        <f>_xlfn.XMATCH(tbl_Clean[[#This Row],[Education]],{"Partial High School","High School","Partial College","Bachelors","Graduate Degree"})</f>
        <v>2</v>
      </c>
      <c r="U674" s="20">
        <f>IF(tbl_Clean[[#This Row],[Purchased Bike]]="Yes",1,0)</f>
        <v>0</v>
      </c>
    </row>
    <row r="675" spans="1:21" x14ac:dyDescent="0.25">
      <c r="A675" s="20">
        <v>21471</v>
      </c>
      <c r="B675" s="3" t="s">
        <v>111</v>
      </c>
      <c r="C675" s="3" t="s">
        <v>113</v>
      </c>
      <c r="D675" s="19">
        <v>70000</v>
      </c>
      <c r="E675" s="20">
        <v>2</v>
      </c>
      <c r="F675" s="3" t="s">
        <v>21</v>
      </c>
      <c r="G675" s="3" t="s">
        <v>23</v>
      </c>
      <c r="H675" s="3" t="s">
        <v>17</v>
      </c>
      <c r="I675" s="20">
        <v>1</v>
      </c>
      <c r="J675" s="3" t="s">
        <v>33</v>
      </c>
      <c r="K675" s="3" t="s">
        <v>35</v>
      </c>
      <c r="L675" s="20">
        <v>59</v>
      </c>
      <c r="M675" s="3" t="s">
        <v>20</v>
      </c>
      <c r="N675" s="20" t="str" cm="1">
        <f t="array" ref="N675">_xlfn.IFS(tbl_Clean[[#This Row],[Age]]&lt;=30,"25-30",tbl_Clean[[#This Row],[Age]]&lt;=40,"31-40",tbl_Clean[[#This Row],[Age]]&lt;=50,"41-50",tbl_Clean[[#This Row],[Age]]&lt;=60,"51-60",TRUE,"61+")</f>
        <v>51-60</v>
      </c>
      <c r="O675" s="20">
        <f>_xlfn.XMATCH(tbl_Clean[[#This Row],[Age Band]],{"25-30","31-40","41-50","51-60","61+"})</f>
        <v>4</v>
      </c>
      <c r="P675" s="20" t="str" cm="1">
        <f t="array" ref="P675">_xlfn.IFS(tbl_Clean[[#This Row],[Income]]&lt;=30000,"$10k-30k",tbl_Clean[[#This Row],[Income]]&lt;=60000,"$40k-60k",tbl_Clean[[#This Row],[Income]]&lt;=90000,"$70k-90k",TRUE,"$100k+")</f>
        <v>$70k-90k</v>
      </c>
      <c r="Q675" s="20">
        <f>_xlfn.XMATCH(tbl_Clean[[#This Row],[Income Band]],{"$10k-30k","$40k-60k","$70k-90k","$100k+"})</f>
        <v>3</v>
      </c>
      <c r="R675" s="20" t="str">
        <f>IF(tbl_Clean[[#This Row],[Cars]]&lt;=1,"0-1 Cars","2+ Cars")</f>
        <v>0-1 Cars</v>
      </c>
      <c r="S675" s="20">
        <f>_xlfn.XMATCH(tbl_Clean[[#This Row],[Commute Distance]],{"0-1 Miles","1-2 Miles","2-5 Miles","5-10 Miles","10+ Miles"})</f>
        <v>5</v>
      </c>
      <c r="T675" s="20">
        <f>_xlfn.XMATCH(tbl_Clean[[#This Row],[Education]],{"Partial High School","High School","Partial College","Bachelors","Graduate Degree"})</f>
        <v>3</v>
      </c>
      <c r="U675" s="20">
        <f>IF(tbl_Clean[[#This Row],[Purchased Bike]]="Yes",1,0)</f>
        <v>0</v>
      </c>
    </row>
    <row r="676" spans="1:21" x14ac:dyDescent="0.25">
      <c r="A676" s="20">
        <v>22252</v>
      </c>
      <c r="B676" s="3" t="s">
        <v>114</v>
      </c>
      <c r="C676" s="3" t="s">
        <v>112</v>
      </c>
      <c r="D676" s="19">
        <v>60000</v>
      </c>
      <c r="E676" s="20">
        <v>1</v>
      </c>
      <c r="F676" s="3" t="s">
        <v>34</v>
      </c>
      <c r="G676" s="3" t="s">
        <v>23</v>
      </c>
      <c r="H676" s="3" t="s">
        <v>17</v>
      </c>
      <c r="I676" s="20">
        <v>0</v>
      </c>
      <c r="J676" s="3" t="s">
        <v>24</v>
      </c>
      <c r="K676" s="3" t="s">
        <v>35</v>
      </c>
      <c r="L676" s="20">
        <v>36</v>
      </c>
      <c r="M676" s="3" t="s">
        <v>17</v>
      </c>
      <c r="N676" s="20" t="str" cm="1">
        <f t="array" ref="N676">_xlfn.IFS(tbl_Clean[[#This Row],[Age]]&lt;=30,"25-30",tbl_Clean[[#This Row],[Age]]&lt;=40,"31-40",tbl_Clean[[#This Row],[Age]]&lt;=50,"41-50",tbl_Clean[[#This Row],[Age]]&lt;=60,"51-60",TRUE,"61+")</f>
        <v>31-40</v>
      </c>
      <c r="O676" s="20">
        <f>_xlfn.XMATCH(tbl_Clean[[#This Row],[Age Band]],{"25-30","31-40","41-50","51-60","61+"})</f>
        <v>2</v>
      </c>
      <c r="P676" s="20" t="str" cm="1">
        <f t="array" ref="P676">_xlfn.IFS(tbl_Clean[[#This Row],[Income]]&lt;=30000,"$10k-30k",tbl_Clean[[#This Row],[Income]]&lt;=60000,"$40k-60k",tbl_Clean[[#This Row],[Income]]&lt;=90000,"$70k-90k",TRUE,"$100k+")</f>
        <v>$40k-60k</v>
      </c>
      <c r="Q676" s="20">
        <f>_xlfn.XMATCH(tbl_Clean[[#This Row],[Income Band]],{"$10k-30k","$40k-60k","$70k-90k","$100k+"})</f>
        <v>2</v>
      </c>
      <c r="R676" s="20" t="str">
        <f>IF(tbl_Clean[[#This Row],[Cars]]&lt;=1,"0-1 Cars","2+ Cars")</f>
        <v>0-1 Cars</v>
      </c>
      <c r="S676" s="20">
        <f>_xlfn.XMATCH(tbl_Clean[[#This Row],[Commute Distance]],{"0-1 Miles","1-2 Miles","2-5 Miles","5-10 Miles","10+ Miles"})</f>
        <v>3</v>
      </c>
      <c r="T676" s="20">
        <f>_xlfn.XMATCH(tbl_Clean[[#This Row],[Education]],{"Partial High School","High School","Partial College","Bachelors","Graduate Degree"})</f>
        <v>5</v>
      </c>
      <c r="U676" s="20">
        <f>IF(tbl_Clean[[#This Row],[Purchased Bike]]="Yes",1,0)</f>
        <v>1</v>
      </c>
    </row>
    <row r="677" spans="1:21" x14ac:dyDescent="0.25">
      <c r="A677" s="20">
        <v>21260</v>
      </c>
      <c r="B677" s="3" t="s">
        <v>114</v>
      </c>
      <c r="C677" s="3" t="s">
        <v>112</v>
      </c>
      <c r="D677" s="19">
        <v>40000</v>
      </c>
      <c r="E677" s="20">
        <v>0</v>
      </c>
      <c r="F677" s="3" t="s">
        <v>30</v>
      </c>
      <c r="G677" s="3" t="s">
        <v>16</v>
      </c>
      <c r="H677" s="3" t="s">
        <v>17</v>
      </c>
      <c r="I677" s="20">
        <v>2</v>
      </c>
      <c r="J677" s="3" t="s">
        <v>26</v>
      </c>
      <c r="K677" s="3" t="s">
        <v>35</v>
      </c>
      <c r="L677" s="20">
        <v>30</v>
      </c>
      <c r="M677" s="3" t="s">
        <v>20</v>
      </c>
      <c r="N677" s="20" t="str" cm="1">
        <f t="array" ref="N677">_xlfn.IFS(tbl_Clean[[#This Row],[Age]]&lt;=30,"25-30",tbl_Clean[[#This Row],[Age]]&lt;=40,"31-40",tbl_Clean[[#This Row],[Age]]&lt;=50,"41-50",tbl_Clean[[#This Row],[Age]]&lt;=60,"51-60",TRUE,"61+")</f>
        <v>25-30</v>
      </c>
      <c r="O677" s="20">
        <f>_xlfn.XMATCH(tbl_Clean[[#This Row],[Age Band]],{"25-30","31-40","41-50","51-60","61+"})</f>
        <v>1</v>
      </c>
      <c r="P677" s="20" t="str" cm="1">
        <f t="array" ref="P677">_xlfn.IFS(tbl_Clean[[#This Row],[Income]]&lt;=30000,"$10k-30k",tbl_Clean[[#This Row],[Income]]&lt;=60000,"$40k-60k",tbl_Clean[[#This Row],[Income]]&lt;=90000,"$70k-90k",TRUE,"$100k+")</f>
        <v>$40k-60k</v>
      </c>
      <c r="Q677" s="20">
        <f>_xlfn.XMATCH(tbl_Clean[[#This Row],[Income Band]],{"$10k-30k","$40k-60k","$70k-90k","$100k+"})</f>
        <v>2</v>
      </c>
      <c r="R677" s="20" t="str">
        <f>IF(tbl_Clean[[#This Row],[Cars]]&lt;=1,"0-1 Cars","2+ Cars")</f>
        <v>2+ Cars</v>
      </c>
      <c r="S677" s="20">
        <f>_xlfn.XMATCH(tbl_Clean[[#This Row],[Commute Distance]],{"0-1 Miles","1-2 Miles","2-5 Miles","5-10 Miles","10+ Miles"})</f>
        <v>4</v>
      </c>
      <c r="T677" s="20">
        <f>_xlfn.XMATCH(tbl_Clean[[#This Row],[Education]],{"Partial High School","High School","Partial College","Bachelors","Graduate Degree"})</f>
        <v>2</v>
      </c>
      <c r="U677" s="20">
        <f>IF(tbl_Clean[[#This Row],[Purchased Bike]]="Yes",1,0)</f>
        <v>0</v>
      </c>
    </row>
    <row r="678" spans="1:21" x14ac:dyDescent="0.25">
      <c r="A678" s="20">
        <v>11817</v>
      </c>
      <c r="B678" s="3" t="s">
        <v>114</v>
      </c>
      <c r="C678" s="3" t="s">
        <v>112</v>
      </c>
      <c r="D678" s="19">
        <v>70000</v>
      </c>
      <c r="E678" s="20">
        <v>4</v>
      </c>
      <c r="F678" s="3" t="s">
        <v>34</v>
      </c>
      <c r="G678" s="3" t="s">
        <v>23</v>
      </c>
      <c r="H678" s="3" t="s">
        <v>17</v>
      </c>
      <c r="I678" s="20">
        <v>0</v>
      </c>
      <c r="J678" s="3" t="s">
        <v>24</v>
      </c>
      <c r="K678" s="3" t="s">
        <v>35</v>
      </c>
      <c r="L678" s="20">
        <v>35</v>
      </c>
      <c r="M678" s="3" t="s">
        <v>17</v>
      </c>
      <c r="N678" s="20" t="str" cm="1">
        <f t="array" ref="N678">_xlfn.IFS(tbl_Clean[[#This Row],[Age]]&lt;=30,"25-30",tbl_Clean[[#This Row],[Age]]&lt;=40,"31-40",tbl_Clean[[#This Row],[Age]]&lt;=50,"41-50",tbl_Clean[[#This Row],[Age]]&lt;=60,"51-60",TRUE,"61+")</f>
        <v>31-40</v>
      </c>
      <c r="O678" s="20">
        <f>_xlfn.XMATCH(tbl_Clean[[#This Row],[Age Band]],{"25-30","31-40","41-50","51-60","61+"})</f>
        <v>2</v>
      </c>
      <c r="P678" s="20" t="str" cm="1">
        <f t="array" ref="P678">_xlfn.IFS(tbl_Clean[[#This Row],[Income]]&lt;=30000,"$10k-30k",tbl_Clean[[#This Row],[Income]]&lt;=60000,"$40k-60k",tbl_Clean[[#This Row],[Income]]&lt;=90000,"$70k-90k",TRUE,"$100k+")</f>
        <v>$70k-90k</v>
      </c>
      <c r="Q678" s="20">
        <f>_xlfn.XMATCH(tbl_Clean[[#This Row],[Income Band]],{"$10k-30k","$40k-60k","$70k-90k","$100k+"})</f>
        <v>3</v>
      </c>
      <c r="R678" s="20" t="str">
        <f>IF(tbl_Clean[[#This Row],[Cars]]&lt;=1,"0-1 Cars","2+ Cars")</f>
        <v>0-1 Cars</v>
      </c>
      <c r="S678" s="20">
        <f>_xlfn.XMATCH(tbl_Clean[[#This Row],[Commute Distance]],{"0-1 Miles","1-2 Miles","2-5 Miles","5-10 Miles","10+ Miles"})</f>
        <v>3</v>
      </c>
      <c r="T678" s="20">
        <f>_xlfn.XMATCH(tbl_Clean[[#This Row],[Education]],{"Partial High School","High School","Partial College","Bachelors","Graduate Degree"})</f>
        <v>5</v>
      </c>
      <c r="U678" s="20">
        <f>IF(tbl_Clean[[#This Row],[Purchased Bike]]="Yes",1,0)</f>
        <v>1</v>
      </c>
    </row>
    <row r="679" spans="1:21" x14ac:dyDescent="0.25">
      <c r="A679" s="20">
        <v>19223</v>
      </c>
      <c r="B679" s="3" t="s">
        <v>111</v>
      </c>
      <c r="C679" s="3" t="s">
        <v>112</v>
      </c>
      <c r="D679" s="19">
        <v>30000</v>
      </c>
      <c r="E679" s="20">
        <v>2</v>
      </c>
      <c r="F679" s="3" t="s">
        <v>30</v>
      </c>
      <c r="G679" s="3" t="s">
        <v>16</v>
      </c>
      <c r="H679" s="3" t="s">
        <v>17</v>
      </c>
      <c r="I679" s="20">
        <v>2</v>
      </c>
      <c r="J679" s="3" t="s">
        <v>29</v>
      </c>
      <c r="K679" s="3" t="s">
        <v>35</v>
      </c>
      <c r="L679" s="20">
        <v>48</v>
      </c>
      <c r="M679" s="3" t="s">
        <v>20</v>
      </c>
      <c r="N679" s="20" t="str" cm="1">
        <f t="array" ref="N679">_xlfn.IFS(tbl_Clean[[#This Row],[Age]]&lt;=30,"25-30",tbl_Clean[[#This Row],[Age]]&lt;=40,"31-40",tbl_Clean[[#This Row],[Age]]&lt;=50,"41-50",tbl_Clean[[#This Row],[Age]]&lt;=60,"51-60",TRUE,"61+")</f>
        <v>41-50</v>
      </c>
      <c r="O679" s="20">
        <f>_xlfn.XMATCH(tbl_Clean[[#This Row],[Age Band]],{"25-30","31-40","41-50","51-60","61+"})</f>
        <v>3</v>
      </c>
      <c r="P679" s="20" t="str" cm="1">
        <f t="array" ref="P679">_xlfn.IFS(tbl_Clean[[#This Row],[Income]]&lt;=30000,"$10k-30k",tbl_Clean[[#This Row],[Income]]&lt;=60000,"$40k-60k",tbl_Clean[[#This Row],[Income]]&lt;=90000,"$70k-90k",TRUE,"$100k+")</f>
        <v>$10k-30k</v>
      </c>
      <c r="Q679" s="20">
        <f>_xlfn.XMATCH(tbl_Clean[[#This Row],[Income Band]],{"$10k-30k","$40k-60k","$70k-90k","$100k+"})</f>
        <v>1</v>
      </c>
      <c r="R679" s="20" t="str">
        <f>IF(tbl_Clean[[#This Row],[Cars]]&lt;=1,"0-1 Cars","2+ Cars")</f>
        <v>2+ Cars</v>
      </c>
      <c r="S679" s="20">
        <f>_xlfn.XMATCH(tbl_Clean[[#This Row],[Commute Distance]],{"0-1 Miles","1-2 Miles","2-5 Miles","5-10 Miles","10+ Miles"})</f>
        <v>2</v>
      </c>
      <c r="T679" s="20">
        <f>_xlfn.XMATCH(tbl_Clean[[#This Row],[Education]],{"Partial High School","High School","Partial College","Bachelors","Graduate Degree"})</f>
        <v>2</v>
      </c>
      <c r="U679" s="20">
        <f>IF(tbl_Clean[[#This Row],[Purchased Bike]]="Yes",1,0)</f>
        <v>0</v>
      </c>
    </row>
    <row r="680" spans="1:21" x14ac:dyDescent="0.25">
      <c r="A680" s="20">
        <v>18517</v>
      </c>
      <c r="B680" s="3" t="s">
        <v>111</v>
      </c>
      <c r="C680" s="3" t="s">
        <v>113</v>
      </c>
      <c r="D680" s="19">
        <v>100000</v>
      </c>
      <c r="E680" s="20">
        <v>3</v>
      </c>
      <c r="F680" s="3" t="s">
        <v>15</v>
      </c>
      <c r="G680" s="3" t="s">
        <v>31</v>
      </c>
      <c r="H680" s="3" t="s">
        <v>17</v>
      </c>
      <c r="I680" s="20">
        <v>4</v>
      </c>
      <c r="J680" s="3" t="s">
        <v>18</v>
      </c>
      <c r="K680" s="3" t="s">
        <v>35</v>
      </c>
      <c r="L680" s="20">
        <v>41</v>
      </c>
      <c r="M680" s="3" t="s">
        <v>20</v>
      </c>
      <c r="N680" s="20" t="str" cm="1">
        <f t="array" ref="N680">_xlfn.IFS(tbl_Clean[[#This Row],[Age]]&lt;=30,"25-30",tbl_Clean[[#This Row],[Age]]&lt;=40,"31-40",tbl_Clean[[#This Row],[Age]]&lt;=50,"41-50",tbl_Clean[[#This Row],[Age]]&lt;=60,"51-60",TRUE,"61+")</f>
        <v>41-50</v>
      </c>
      <c r="O680" s="20">
        <f>_xlfn.XMATCH(tbl_Clean[[#This Row],[Age Band]],{"25-30","31-40","41-50","51-60","61+"})</f>
        <v>3</v>
      </c>
      <c r="P680" s="20" t="str" cm="1">
        <f t="array" ref="P680">_xlfn.IFS(tbl_Clean[[#This Row],[Income]]&lt;=30000,"$10k-30k",tbl_Clean[[#This Row],[Income]]&lt;=60000,"$40k-60k",tbl_Clean[[#This Row],[Income]]&lt;=90000,"$70k-90k",TRUE,"$100k+")</f>
        <v>$100k+</v>
      </c>
      <c r="Q680" s="20">
        <f>_xlfn.XMATCH(tbl_Clean[[#This Row],[Income Band]],{"$10k-30k","$40k-60k","$70k-90k","$100k+"})</f>
        <v>4</v>
      </c>
      <c r="R680" s="20" t="str">
        <f>IF(tbl_Clean[[#This Row],[Cars]]&lt;=1,"0-1 Cars","2+ Cars")</f>
        <v>2+ Cars</v>
      </c>
      <c r="S680" s="20">
        <f>_xlfn.XMATCH(tbl_Clean[[#This Row],[Commute Distance]],{"0-1 Miles","1-2 Miles","2-5 Miles","5-10 Miles","10+ Miles"})</f>
        <v>1</v>
      </c>
      <c r="T680" s="20">
        <f>_xlfn.XMATCH(tbl_Clean[[#This Row],[Education]],{"Partial High School","High School","Partial College","Bachelors","Graduate Degree"})</f>
        <v>4</v>
      </c>
      <c r="U680" s="20">
        <f>IF(tbl_Clean[[#This Row],[Purchased Bike]]="Yes",1,0)</f>
        <v>0</v>
      </c>
    </row>
    <row r="681" spans="1:21" x14ac:dyDescent="0.25">
      <c r="A681" s="20">
        <v>21717</v>
      </c>
      <c r="B681" s="3" t="s">
        <v>111</v>
      </c>
      <c r="C681" s="3" t="s">
        <v>113</v>
      </c>
      <c r="D681" s="19">
        <v>40000</v>
      </c>
      <c r="E681" s="20">
        <v>2</v>
      </c>
      <c r="F681" s="3" t="s">
        <v>21</v>
      </c>
      <c r="G681" s="3" t="s">
        <v>22</v>
      </c>
      <c r="H681" s="3" t="s">
        <v>17</v>
      </c>
      <c r="I681" s="20">
        <v>1</v>
      </c>
      <c r="J681" s="3" t="s">
        <v>18</v>
      </c>
      <c r="K681" s="3" t="s">
        <v>35</v>
      </c>
      <c r="L681" s="20">
        <v>47</v>
      </c>
      <c r="M681" s="3" t="s">
        <v>20</v>
      </c>
      <c r="N681" s="20" t="str" cm="1">
        <f t="array" ref="N681">_xlfn.IFS(tbl_Clean[[#This Row],[Age]]&lt;=30,"25-30",tbl_Clean[[#This Row],[Age]]&lt;=40,"31-40",tbl_Clean[[#This Row],[Age]]&lt;=50,"41-50",tbl_Clean[[#This Row],[Age]]&lt;=60,"51-60",TRUE,"61+")</f>
        <v>41-50</v>
      </c>
      <c r="O681" s="20">
        <f>_xlfn.XMATCH(tbl_Clean[[#This Row],[Age Band]],{"25-30","31-40","41-50","51-60","61+"})</f>
        <v>3</v>
      </c>
      <c r="P681" s="20" t="str" cm="1">
        <f t="array" ref="P681">_xlfn.IFS(tbl_Clean[[#This Row],[Income]]&lt;=30000,"$10k-30k",tbl_Clean[[#This Row],[Income]]&lt;=60000,"$40k-60k",tbl_Clean[[#This Row],[Income]]&lt;=90000,"$70k-90k",TRUE,"$100k+")</f>
        <v>$40k-60k</v>
      </c>
      <c r="Q681" s="20">
        <f>_xlfn.XMATCH(tbl_Clean[[#This Row],[Income Band]],{"$10k-30k","$40k-60k","$70k-90k","$100k+"})</f>
        <v>2</v>
      </c>
      <c r="R681" s="20" t="str">
        <f>IF(tbl_Clean[[#This Row],[Cars]]&lt;=1,"0-1 Cars","2+ Cars")</f>
        <v>0-1 Cars</v>
      </c>
      <c r="S681" s="20">
        <f>_xlfn.XMATCH(tbl_Clean[[#This Row],[Commute Distance]],{"0-1 Miles","1-2 Miles","2-5 Miles","5-10 Miles","10+ Miles"})</f>
        <v>1</v>
      </c>
      <c r="T681" s="20">
        <f>_xlfn.XMATCH(tbl_Clean[[#This Row],[Education]],{"Partial High School","High School","Partial College","Bachelors","Graduate Degree"})</f>
        <v>3</v>
      </c>
      <c r="U681" s="20">
        <f>IF(tbl_Clean[[#This Row],[Purchased Bike]]="Yes",1,0)</f>
        <v>0</v>
      </c>
    </row>
    <row r="682" spans="1:21" x14ac:dyDescent="0.25">
      <c r="A682" s="20">
        <v>13760</v>
      </c>
      <c r="B682" s="3" t="s">
        <v>111</v>
      </c>
      <c r="C682" s="3" t="s">
        <v>113</v>
      </c>
      <c r="D682" s="19">
        <v>60000</v>
      </c>
      <c r="E682" s="20">
        <v>4</v>
      </c>
      <c r="F682" s="3" t="s">
        <v>34</v>
      </c>
      <c r="G682" s="3" t="s">
        <v>16</v>
      </c>
      <c r="H682" s="3" t="s">
        <v>20</v>
      </c>
      <c r="I682" s="20">
        <v>0</v>
      </c>
      <c r="J682" s="3" t="s">
        <v>18</v>
      </c>
      <c r="K682" s="3" t="s">
        <v>35</v>
      </c>
      <c r="L682" s="20">
        <v>47</v>
      </c>
      <c r="M682" s="3" t="s">
        <v>20</v>
      </c>
      <c r="N682" s="20" t="str" cm="1">
        <f t="array" ref="N682">_xlfn.IFS(tbl_Clean[[#This Row],[Age]]&lt;=30,"25-30",tbl_Clean[[#This Row],[Age]]&lt;=40,"31-40",tbl_Clean[[#This Row],[Age]]&lt;=50,"41-50",tbl_Clean[[#This Row],[Age]]&lt;=60,"51-60",TRUE,"61+")</f>
        <v>41-50</v>
      </c>
      <c r="O682" s="20">
        <f>_xlfn.XMATCH(tbl_Clean[[#This Row],[Age Band]],{"25-30","31-40","41-50","51-60","61+"})</f>
        <v>3</v>
      </c>
      <c r="P682" s="20" t="str" cm="1">
        <f t="array" ref="P682">_xlfn.IFS(tbl_Clean[[#This Row],[Income]]&lt;=30000,"$10k-30k",tbl_Clean[[#This Row],[Income]]&lt;=60000,"$40k-60k",tbl_Clean[[#This Row],[Income]]&lt;=90000,"$70k-90k",TRUE,"$100k+")</f>
        <v>$40k-60k</v>
      </c>
      <c r="Q682" s="20">
        <f>_xlfn.XMATCH(tbl_Clean[[#This Row],[Income Band]],{"$10k-30k","$40k-60k","$70k-90k","$100k+"})</f>
        <v>2</v>
      </c>
      <c r="R682" s="20" t="str">
        <f>IF(tbl_Clean[[#This Row],[Cars]]&lt;=1,"0-1 Cars","2+ Cars")</f>
        <v>0-1 Cars</v>
      </c>
      <c r="S682" s="20">
        <f>_xlfn.XMATCH(tbl_Clean[[#This Row],[Commute Distance]],{"0-1 Miles","1-2 Miles","2-5 Miles","5-10 Miles","10+ Miles"})</f>
        <v>1</v>
      </c>
      <c r="T682" s="20">
        <f>_xlfn.XMATCH(tbl_Clean[[#This Row],[Education]],{"Partial High School","High School","Partial College","Bachelors","Graduate Degree"})</f>
        <v>5</v>
      </c>
      <c r="U682" s="20">
        <f>IF(tbl_Clean[[#This Row],[Purchased Bike]]="Yes",1,0)</f>
        <v>0</v>
      </c>
    </row>
    <row r="683" spans="1:21" x14ac:dyDescent="0.25">
      <c r="A683" s="20">
        <v>18145</v>
      </c>
      <c r="B683" s="3" t="s">
        <v>111</v>
      </c>
      <c r="C683" s="3" t="s">
        <v>113</v>
      </c>
      <c r="D683" s="19">
        <v>80000</v>
      </c>
      <c r="E683" s="20">
        <v>5</v>
      </c>
      <c r="F683" s="3" t="s">
        <v>15</v>
      </c>
      <c r="G683" s="3" t="s">
        <v>31</v>
      </c>
      <c r="H683" s="3" t="s">
        <v>20</v>
      </c>
      <c r="I683" s="20">
        <v>2</v>
      </c>
      <c r="J683" s="3" t="s">
        <v>24</v>
      </c>
      <c r="K683" s="3" t="s">
        <v>19</v>
      </c>
      <c r="L683" s="20">
        <v>62</v>
      </c>
      <c r="M683" s="3" t="s">
        <v>20</v>
      </c>
      <c r="N683" s="20" t="str" cm="1">
        <f t="array" ref="N683">_xlfn.IFS(tbl_Clean[[#This Row],[Age]]&lt;=30,"25-30",tbl_Clean[[#This Row],[Age]]&lt;=40,"31-40",tbl_Clean[[#This Row],[Age]]&lt;=50,"41-50",tbl_Clean[[#This Row],[Age]]&lt;=60,"51-60",TRUE,"61+")</f>
        <v>61+</v>
      </c>
      <c r="O683" s="20">
        <f>_xlfn.XMATCH(tbl_Clean[[#This Row],[Age Band]],{"25-30","31-40","41-50","51-60","61+"})</f>
        <v>5</v>
      </c>
      <c r="P683" s="20" t="str" cm="1">
        <f t="array" ref="P683">_xlfn.IFS(tbl_Clean[[#This Row],[Income]]&lt;=30000,"$10k-30k",tbl_Clean[[#This Row],[Income]]&lt;=60000,"$40k-60k",tbl_Clean[[#This Row],[Income]]&lt;=90000,"$70k-90k",TRUE,"$100k+")</f>
        <v>$70k-90k</v>
      </c>
      <c r="Q683" s="20">
        <f>_xlfn.XMATCH(tbl_Clean[[#This Row],[Income Band]],{"$10k-30k","$40k-60k","$70k-90k","$100k+"})</f>
        <v>3</v>
      </c>
      <c r="R683" s="20" t="str">
        <f>IF(tbl_Clean[[#This Row],[Cars]]&lt;=1,"0-1 Cars","2+ Cars")</f>
        <v>2+ Cars</v>
      </c>
      <c r="S683" s="20">
        <f>_xlfn.XMATCH(tbl_Clean[[#This Row],[Commute Distance]],{"0-1 Miles","1-2 Miles","2-5 Miles","5-10 Miles","10+ Miles"})</f>
        <v>3</v>
      </c>
      <c r="T683" s="20">
        <f>_xlfn.XMATCH(tbl_Clean[[#This Row],[Education]],{"Partial High School","High School","Partial College","Bachelors","Graduate Degree"})</f>
        <v>4</v>
      </c>
      <c r="U683" s="20">
        <f>IF(tbl_Clean[[#This Row],[Purchased Bike]]="Yes",1,0)</f>
        <v>0</v>
      </c>
    </row>
    <row r="684" spans="1:21" x14ac:dyDescent="0.25">
      <c r="A684" s="20">
        <v>21770</v>
      </c>
      <c r="B684" s="3" t="s">
        <v>111</v>
      </c>
      <c r="C684" s="3" t="s">
        <v>113</v>
      </c>
      <c r="D684" s="19">
        <v>60000</v>
      </c>
      <c r="E684" s="20">
        <v>4</v>
      </c>
      <c r="F684" s="3" t="s">
        <v>15</v>
      </c>
      <c r="G684" s="3" t="s">
        <v>31</v>
      </c>
      <c r="H684" s="3" t="s">
        <v>17</v>
      </c>
      <c r="I684" s="20">
        <v>2</v>
      </c>
      <c r="J684" s="3" t="s">
        <v>33</v>
      </c>
      <c r="K684" s="3" t="s">
        <v>35</v>
      </c>
      <c r="L684" s="20">
        <v>60</v>
      </c>
      <c r="M684" s="3" t="s">
        <v>20</v>
      </c>
      <c r="N684" s="20" t="str" cm="1">
        <f t="array" ref="N684">_xlfn.IFS(tbl_Clean[[#This Row],[Age]]&lt;=30,"25-30",tbl_Clean[[#This Row],[Age]]&lt;=40,"31-40",tbl_Clean[[#This Row],[Age]]&lt;=50,"41-50",tbl_Clean[[#This Row],[Age]]&lt;=60,"51-60",TRUE,"61+")</f>
        <v>51-60</v>
      </c>
      <c r="O684" s="20">
        <f>_xlfn.XMATCH(tbl_Clean[[#This Row],[Age Band]],{"25-30","31-40","41-50","51-60","61+"})</f>
        <v>4</v>
      </c>
      <c r="P684" s="20" t="str" cm="1">
        <f t="array" ref="P684">_xlfn.IFS(tbl_Clean[[#This Row],[Income]]&lt;=30000,"$10k-30k",tbl_Clean[[#This Row],[Income]]&lt;=60000,"$40k-60k",tbl_Clean[[#This Row],[Income]]&lt;=90000,"$70k-90k",TRUE,"$100k+")</f>
        <v>$40k-60k</v>
      </c>
      <c r="Q684" s="20">
        <f>_xlfn.XMATCH(tbl_Clean[[#This Row],[Income Band]],{"$10k-30k","$40k-60k","$70k-90k","$100k+"})</f>
        <v>2</v>
      </c>
      <c r="R684" s="20" t="str">
        <f>IF(tbl_Clean[[#This Row],[Cars]]&lt;=1,"0-1 Cars","2+ Cars")</f>
        <v>2+ Cars</v>
      </c>
      <c r="S684" s="20">
        <f>_xlfn.XMATCH(tbl_Clean[[#This Row],[Commute Distance]],{"0-1 Miles","1-2 Miles","2-5 Miles","5-10 Miles","10+ Miles"})</f>
        <v>5</v>
      </c>
      <c r="T684" s="20">
        <f>_xlfn.XMATCH(tbl_Clean[[#This Row],[Education]],{"Partial High School","High School","Partial College","Bachelors","Graduate Degree"})</f>
        <v>4</v>
      </c>
      <c r="U684" s="20">
        <f>IF(tbl_Clean[[#This Row],[Purchased Bike]]="Yes",1,0)</f>
        <v>0</v>
      </c>
    </row>
    <row r="685" spans="1:21" x14ac:dyDescent="0.25">
      <c r="A685" s="20">
        <v>11165</v>
      </c>
      <c r="B685" s="3" t="s">
        <v>111</v>
      </c>
      <c r="C685" s="3" t="s">
        <v>112</v>
      </c>
      <c r="D685" s="19">
        <v>60000</v>
      </c>
      <c r="E685" s="20">
        <v>0</v>
      </c>
      <c r="F685" s="3" t="s">
        <v>21</v>
      </c>
      <c r="G685" s="3" t="s">
        <v>16</v>
      </c>
      <c r="H685" s="3" t="s">
        <v>20</v>
      </c>
      <c r="I685" s="20">
        <v>1</v>
      </c>
      <c r="J685" s="3" t="s">
        <v>29</v>
      </c>
      <c r="K685" s="3" t="s">
        <v>35</v>
      </c>
      <c r="L685" s="20">
        <v>33</v>
      </c>
      <c r="M685" s="3" t="s">
        <v>20</v>
      </c>
      <c r="N685" s="20" t="str" cm="1">
        <f t="array" ref="N685">_xlfn.IFS(tbl_Clean[[#This Row],[Age]]&lt;=30,"25-30",tbl_Clean[[#This Row],[Age]]&lt;=40,"31-40",tbl_Clean[[#This Row],[Age]]&lt;=50,"41-50",tbl_Clean[[#This Row],[Age]]&lt;=60,"51-60",TRUE,"61+")</f>
        <v>31-40</v>
      </c>
      <c r="O685" s="20">
        <f>_xlfn.XMATCH(tbl_Clean[[#This Row],[Age Band]],{"25-30","31-40","41-50","51-60","61+"})</f>
        <v>2</v>
      </c>
      <c r="P685" s="20" t="str" cm="1">
        <f t="array" ref="P685">_xlfn.IFS(tbl_Clean[[#This Row],[Income]]&lt;=30000,"$10k-30k",tbl_Clean[[#This Row],[Income]]&lt;=60000,"$40k-60k",tbl_Clean[[#This Row],[Income]]&lt;=90000,"$70k-90k",TRUE,"$100k+")</f>
        <v>$40k-60k</v>
      </c>
      <c r="Q685" s="20">
        <f>_xlfn.XMATCH(tbl_Clean[[#This Row],[Income Band]],{"$10k-30k","$40k-60k","$70k-90k","$100k+"})</f>
        <v>2</v>
      </c>
      <c r="R685" s="20" t="str">
        <f>IF(tbl_Clean[[#This Row],[Cars]]&lt;=1,"0-1 Cars","2+ Cars")</f>
        <v>0-1 Cars</v>
      </c>
      <c r="S685" s="20">
        <f>_xlfn.XMATCH(tbl_Clean[[#This Row],[Commute Distance]],{"0-1 Miles","1-2 Miles","2-5 Miles","5-10 Miles","10+ Miles"})</f>
        <v>2</v>
      </c>
      <c r="T685" s="20">
        <f>_xlfn.XMATCH(tbl_Clean[[#This Row],[Education]],{"Partial High School","High School","Partial College","Bachelors","Graduate Degree"})</f>
        <v>3</v>
      </c>
      <c r="U685" s="20">
        <f>IF(tbl_Clean[[#This Row],[Purchased Bike]]="Yes",1,0)</f>
        <v>0</v>
      </c>
    </row>
    <row r="686" spans="1:21" x14ac:dyDescent="0.25">
      <c r="A686" s="20">
        <v>16377</v>
      </c>
      <c r="B686" s="3" t="s">
        <v>114</v>
      </c>
      <c r="C686" s="3" t="s">
        <v>112</v>
      </c>
      <c r="D686" s="19">
        <v>80000</v>
      </c>
      <c r="E686" s="20">
        <v>4</v>
      </c>
      <c r="F686" s="3" t="s">
        <v>34</v>
      </c>
      <c r="G686" s="3" t="s">
        <v>16</v>
      </c>
      <c r="H686" s="3" t="s">
        <v>20</v>
      </c>
      <c r="I686" s="20">
        <v>0</v>
      </c>
      <c r="J686" s="3" t="s">
        <v>18</v>
      </c>
      <c r="K686" s="3" t="s">
        <v>35</v>
      </c>
      <c r="L686" s="20">
        <v>47</v>
      </c>
      <c r="M686" s="3" t="s">
        <v>20</v>
      </c>
      <c r="N686" s="20" t="str" cm="1">
        <f t="array" ref="N686">_xlfn.IFS(tbl_Clean[[#This Row],[Age]]&lt;=30,"25-30",tbl_Clean[[#This Row],[Age]]&lt;=40,"31-40",tbl_Clean[[#This Row],[Age]]&lt;=50,"41-50",tbl_Clean[[#This Row],[Age]]&lt;=60,"51-60",TRUE,"61+")</f>
        <v>41-50</v>
      </c>
      <c r="O686" s="20">
        <f>_xlfn.XMATCH(tbl_Clean[[#This Row],[Age Band]],{"25-30","31-40","41-50","51-60","61+"})</f>
        <v>3</v>
      </c>
      <c r="P686" s="20" t="str" cm="1">
        <f t="array" ref="P686">_xlfn.IFS(tbl_Clean[[#This Row],[Income]]&lt;=30000,"$10k-30k",tbl_Clean[[#This Row],[Income]]&lt;=60000,"$40k-60k",tbl_Clean[[#This Row],[Income]]&lt;=90000,"$70k-90k",TRUE,"$100k+")</f>
        <v>$70k-90k</v>
      </c>
      <c r="Q686" s="20">
        <f>_xlfn.XMATCH(tbl_Clean[[#This Row],[Income Band]],{"$10k-30k","$40k-60k","$70k-90k","$100k+"})</f>
        <v>3</v>
      </c>
      <c r="R686" s="20" t="str">
        <f>IF(tbl_Clean[[#This Row],[Cars]]&lt;=1,"0-1 Cars","2+ Cars")</f>
        <v>0-1 Cars</v>
      </c>
      <c r="S686" s="20">
        <f>_xlfn.XMATCH(tbl_Clean[[#This Row],[Commute Distance]],{"0-1 Miles","1-2 Miles","2-5 Miles","5-10 Miles","10+ Miles"})</f>
        <v>1</v>
      </c>
      <c r="T686" s="20">
        <f>_xlfn.XMATCH(tbl_Clean[[#This Row],[Education]],{"Partial High School","High School","Partial College","Bachelors","Graduate Degree"})</f>
        <v>5</v>
      </c>
      <c r="U686" s="20">
        <f>IF(tbl_Clean[[#This Row],[Purchased Bike]]="Yes",1,0)</f>
        <v>0</v>
      </c>
    </row>
    <row r="687" spans="1:21" x14ac:dyDescent="0.25">
      <c r="A687" s="20">
        <v>26248</v>
      </c>
      <c r="B687" s="3" t="s">
        <v>111</v>
      </c>
      <c r="C687" s="3" t="s">
        <v>113</v>
      </c>
      <c r="D687" s="19">
        <v>20000</v>
      </c>
      <c r="E687" s="20">
        <v>3</v>
      </c>
      <c r="F687" s="3" t="s">
        <v>32</v>
      </c>
      <c r="G687" s="3" t="s">
        <v>22</v>
      </c>
      <c r="H687" s="3" t="s">
        <v>20</v>
      </c>
      <c r="I687" s="20">
        <v>2</v>
      </c>
      <c r="J687" s="3" t="s">
        <v>18</v>
      </c>
      <c r="K687" s="3" t="s">
        <v>35</v>
      </c>
      <c r="L687" s="20">
        <v>52</v>
      </c>
      <c r="M687" s="3" t="s">
        <v>20</v>
      </c>
      <c r="N687" s="20" t="str" cm="1">
        <f t="array" ref="N687">_xlfn.IFS(tbl_Clean[[#This Row],[Age]]&lt;=30,"25-30",tbl_Clean[[#This Row],[Age]]&lt;=40,"31-40",tbl_Clean[[#This Row],[Age]]&lt;=50,"41-50",tbl_Clean[[#This Row],[Age]]&lt;=60,"51-60",TRUE,"61+")</f>
        <v>51-60</v>
      </c>
      <c r="O687" s="20">
        <f>_xlfn.XMATCH(tbl_Clean[[#This Row],[Age Band]],{"25-30","31-40","41-50","51-60","61+"})</f>
        <v>4</v>
      </c>
      <c r="P687" s="20" t="str" cm="1">
        <f t="array" ref="P687">_xlfn.IFS(tbl_Clean[[#This Row],[Income]]&lt;=30000,"$10k-30k",tbl_Clean[[#This Row],[Income]]&lt;=60000,"$40k-60k",tbl_Clean[[#This Row],[Income]]&lt;=90000,"$70k-90k",TRUE,"$100k+")</f>
        <v>$10k-30k</v>
      </c>
      <c r="Q687" s="20">
        <f>_xlfn.XMATCH(tbl_Clean[[#This Row],[Income Band]],{"$10k-30k","$40k-60k","$70k-90k","$100k+"})</f>
        <v>1</v>
      </c>
      <c r="R687" s="20" t="str">
        <f>IF(tbl_Clean[[#This Row],[Cars]]&lt;=1,"0-1 Cars","2+ Cars")</f>
        <v>2+ Cars</v>
      </c>
      <c r="S687" s="20">
        <f>_xlfn.XMATCH(tbl_Clean[[#This Row],[Commute Distance]],{"0-1 Miles","1-2 Miles","2-5 Miles","5-10 Miles","10+ Miles"})</f>
        <v>1</v>
      </c>
      <c r="T687" s="20">
        <f>_xlfn.XMATCH(tbl_Clean[[#This Row],[Education]],{"Partial High School","High School","Partial College","Bachelors","Graduate Degree"})</f>
        <v>1</v>
      </c>
      <c r="U687" s="20">
        <f>IF(tbl_Clean[[#This Row],[Purchased Bike]]="Yes",1,0)</f>
        <v>0</v>
      </c>
    </row>
    <row r="688" spans="1:21" x14ac:dyDescent="0.25">
      <c r="A688" s="20">
        <v>23461</v>
      </c>
      <c r="B688" s="3" t="s">
        <v>111</v>
      </c>
      <c r="C688" s="3" t="s">
        <v>112</v>
      </c>
      <c r="D688" s="19">
        <v>90000</v>
      </c>
      <c r="E688" s="20">
        <v>5</v>
      </c>
      <c r="F688" s="3" t="s">
        <v>21</v>
      </c>
      <c r="G688" s="3" t="s">
        <v>23</v>
      </c>
      <c r="H688" s="3" t="s">
        <v>17</v>
      </c>
      <c r="I688" s="20">
        <v>3</v>
      </c>
      <c r="J688" s="3" t="s">
        <v>24</v>
      </c>
      <c r="K688" s="3" t="s">
        <v>35</v>
      </c>
      <c r="L688" s="20">
        <v>40</v>
      </c>
      <c r="M688" s="3" t="s">
        <v>20</v>
      </c>
      <c r="N688" s="20" t="str" cm="1">
        <f t="array" ref="N688">_xlfn.IFS(tbl_Clean[[#This Row],[Age]]&lt;=30,"25-30",tbl_Clean[[#This Row],[Age]]&lt;=40,"31-40",tbl_Clean[[#This Row],[Age]]&lt;=50,"41-50",tbl_Clean[[#This Row],[Age]]&lt;=60,"51-60",TRUE,"61+")</f>
        <v>31-40</v>
      </c>
      <c r="O688" s="20">
        <f>_xlfn.XMATCH(tbl_Clean[[#This Row],[Age Band]],{"25-30","31-40","41-50","51-60","61+"})</f>
        <v>2</v>
      </c>
      <c r="P688" s="20" t="str" cm="1">
        <f t="array" ref="P688">_xlfn.IFS(tbl_Clean[[#This Row],[Income]]&lt;=30000,"$10k-30k",tbl_Clean[[#This Row],[Income]]&lt;=60000,"$40k-60k",tbl_Clean[[#This Row],[Income]]&lt;=90000,"$70k-90k",TRUE,"$100k+")</f>
        <v>$70k-90k</v>
      </c>
      <c r="Q688" s="20">
        <f>_xlfn.XMATCH(tbl_Clean[[#This Row],[Income Band]],{"$10k-30k","$40k-60k","$70k-90k","$100k+"})</f>
        <v>3</v>
      </c>
      <c r="R688" s="20" t="str">
        <f>IF(tbl_Clean[[#This Row],[Cars]]&lt;=1,"0-1 Cars","2+ Cars")</f>
        <v>2+ Cars</v>
      </c>
      <c r="S688" s="20">
        <f>_xlfn.XMATCH(tbl_Clean[[#This Row],[Commute Distance]],{"0-1 Miles","1-2 Miles","2-5 Miles","5-10 Miles","10+ Miles"})</f>
        <v>3</v>
      </c>
      <c r="T688" s="20">
        <f>_xlfn.XMATCH(tbl_Clean[[#This Row],[Education]],{"Partial High School","High School","Partial College","Bachelors","Graduate Degree"})</f>
        <v>3</v>
      </c>
      <c r="U688" s="20">
        <f>IF(tbl_Clean[[#This Row],[Purchased Bike]]="Yes",1,0)</f>
        <v>0</v>
      </c>
    </row>
    <row r="689" spans="1:21" x14ac:dyDescent="0.25">
      <c r="A689" s="20">
        <v>29133</v>
      </c>
      <c r="B689" s="3" t="s">
        <v>114</v>
      </c>
      <c r="C689" s="3" t="s">
        <v>112</v>
      </c>
      <c r="D689" s="19">
        <v>60000</v>
      </c>
      <c r="E689" s="20">
        <v>4</v>
      </c>
      <c r="F689" s="3" t="s">
        <v>15</v>
      </c>
      <c r="G689" s="3" t="s">
        <v>16</v>
      </c>
      <c r="H689" s="3" t="s">
        <v>20</v>
      </c>
      <c r="I689" s="20">
        <v>2</v>
      </c>
      <c r="J689" s="3" t="s">
        <v>18</v>
      </c>
      <c r="K689" s="3" t="s">
        <v>35</v>
      </c>
      <c r="L689" s="20">
        <v>42</v>
      </c>
      <c r="M689" s="3" t="s">
        <v>20</v>
      </c>
      <c r="N689" s="20" t="str" cm="1">
        <f t="array" ref="N689">_xlfn.IFS(tbl_Clean[[#This Row],[Age]]&lt;=30,"25-30",tbl_Clean[[#This Row],[Age]]&lt;=40,"31-40",tbl_Clean[[#This Row],[Age]]&lt;=50,"41-50",tbl_Clean[[#This Row],[Age]]&lt;=60,"51-60",TRUE,"61+")</f>
        <v>41-50</v>
      </c>
      <c r="O689" s="20">
        <f>_xlfn.XMATCH(tbl_Clean[[#This Row],[Age Band]],{"25-30","31-40","41-50","51-60","61+"})</f>
        <v>3</v>
      </c>
      <c r="P689" s="20" t="str" cm="1">
        <f t="array" ref="P689">_xlfn.IFS(tbl_Clean[[#This Row],[Income]]&lt;=30000,"$10k-30k",tbl_Clean[[#This Row],[Income]]&lt;=60000,"$40k-60k",tbl_Clean[[#This Row],[Income]]&lt;=90000,"$70k-90k",TRUE,"$100k+")</f>
        <v>$40k-60k</v>
      </c>
      <c r="Q689" s="20">
        <f>_xlfn.XMATCH(tbl_Clean[[#This Row],[Income Band]],{"$10k-30k","$40k-60k","$70k-90k","$100k+"})</f>
        <v>2</v>
      </c>
      <c r="R689" s="20" t="str">
        <f>IF(tbl_Clean[[#This Row],[Cars]]&lt;=1,"0-1 Cars","2+ Cars")</f>
        <v>2+ Cars</v>
      </c>
      <c r="S689" s="20">
        <f>_xlfn.XMATCH(tbl_Clean[[#This Row],[Commute Distance]],{"0-1 Miles","1-2 Miles","2-5 Miles","5-10 Miles","10+ Miles"})</f>
        <v>1</v>
      </c>
      <c r="T689" s="20">
        <f>_xlfn.XMATCH(tbl_Clean[[#This Row],[Education]],{"Partial High School","High School","Partial College","Bachelors","Graduate Degree"})</f>
        <v>4</v>
      </c>
      <c r="U689" s="20">
        <f>IF(tbl_Clean[[#This Row],[Purchased Bike]]="Yes",1,0)</f>
        <v>0</v>
      </c>
    </row>
    <row r="690" spans="1:21" x14ac:dyDescent="0.25">
      <c r="A690" s="20">
        <v>27673</v>
      </c>
      <c r="B690" s="3" t="s">
        <v>114</v>
      </c>
      <c r="C690" s="3" t="s">
        <v>112</v>
      </c>
      <c r="D690" s="19">
        <v>60000</v>
      </c>
      <c r="E690" s="20">
        <v>3</v>
      </c>
      <c r="F690" s="3" t="s">
        <v>34</v>
      </c>
      <c r="G690" s="3" t="s">
        <v>31</v>
      </c>
      <c r="H690" s="3" t="s">
        <v>17</v>
      </c>
      <c r="I690" s="20">
        <v>2</v>
      </c>
      <c r="J690" s="3" t="s">
        <v>26</v>
      </c>
      <c r="K690" s="3" t="s">
        <v>35</v>
      </c>
      <c r="L690" s="20">
        <v>53</v>
      </c>
      <c r="M690" s="3" t="s">
        <v>17</v>
      </c>
      <c r="N690" s="20" t="str" cm="1">
        <f t="array" ref="N690">_xlfn.IFS(tbl_Clean[[#This Row],[Age]]&lt;=30,"25-30",tbl_Clean[[#This Row],[Age]]&lt;=40,"31-40",tbl_Clean[[#This Row],[Age]]&lt;=50,"41-50",tbl_Clean[[#This Row],[Age]]&lt;=60,"51-60",TRUE,"61+")</f>
        <v>51-60</v>
      </c>
      <c r="O690" s="20">
        <f>_xlfn.XMATCH(tbl_Clean[[#This Row],[Age Band]],{"25-30","31-40","41-50","51-60","61+"})</f>
        <v>4</v>
      </c>
      <c r="P690" s="20" t="str" cm="1">
        <f t="array" ref="P690">_xlfn.IFS(tbl_Clean[[#This Row],[Income]]&lt;=30000,"$10k-30k",tbl_Clean[[#This Row],[Income]]&lt;=60000,"$40k-60k",tbl_Clean[[#This Row],[Income]]&lt;=90000,"$70k-90k",TRUE,"$100k+")</f>
        <v>$40k-60k</v>
      </c>
      <c r="Q690" s="20">
        <f>_xlfn.XMATCH(tbl_Clean[[#This Row],[Income Band]],{"$10k-30k","$40k-60k","$70k-90k","$100k+"})</f>
        <v>2</v>
      </c>
      <c r="R690" s="20" t="str">
        <f>IF(tbl_Clean[[#This Row],[Cars]]&lt;=1,"0-1 Cars","2+ Cars")</f>
        <v>2+ Cars</v>
      </c>
      <c r="S690" s="20">
        <f>_xlfn.XMATCH(tbl_Clean[[#This Row],[Commute Distance]],{"0-1 Miles","1-2 Miles","2-5 Miles","5-10 Miles","10+ Miles"})</f>
        <v>4</v>
      </c>
      <c r="T690" s="20">
        <f>_xlfn.XMATCH(tbl_Clean[[#This Row],[Education]],{"Partial High School","High School","Partial College","Bachelors","Graduate Degree"})</f>
        <v>5</v>
      </c>
      <c r="U690" s="20">
        <f>IF(tbl_Clean[[#This Row],[Purchased Bike]]="Yes",1,0)</f>
        <v>1</v>
      </c>
    </row>
    <row r="691" spans="1:21" x14ac:dyDescent="0.25">
      <c r="A691" s="20">
        <v>12774</v>
      </c>
      <c r="B691" s="3" t="s">
        <v>111</v>
      </c>
      <c r="C691" s="3" t="s">
        <v>112</v>
      </c>
      <c r="D691" s="19">
        <v>40000</v>
      </c>
      <c r="E691" s="20">
        <v>1</v>
      </c>
      <c r="F691" s="3" t="s">
        <v>21</v>
      </c>
      <c r="G691" s="3" t="s">
        <v>22</v>
      </c>
      <c r="H691" s="3" t="s">
        <v>17</v>
      </c>
      <c r="I691" s="20">
        <v>1</v>
      </c>
      <c r="J691" s="3" t="s">
        <v>29</v>
      </c>
      <c r="K691" s="3" t="s">
        <v>35</v>
      </c>
      <c r="L691" s="20">
        <v>51</v>
      </c>
      <c r="M691" s="3" t="s">
        <v>17</v>
      </c>
      <c r="N691" s="20" t="str" cm="1">
        <f t="array" ref="N691">_xlfn.IFS(tbl_Clean[[#This Row],[Age]]&lt;=30,"25-30",tbl_Clean[[#This Row],[Age]]&lt;=40,"31-40",tbl_Clean[[#This Row],[Age]]&lt;=50,"41-50",tbl_Clean[[#This Row],[Age]]&lt;=60,"51-60",TRUE,"61+")</f>
        <v>51-60</v>
      </c>
      <c r="O691" s="20">
        <f>_xlfn.XMATCH(tbl_Clean[[#This Row],[Age Band]],{"25-30","31-40","41-50","51-60","61+"})</f>
        <v>4</v>
      </c>
      <c r="P691" s="20" t="str" cm="1">
        <f t="array" ref="P691">_xlfn.IFS(tbl_Clean[[#This Row],[Income]]&lt;=30000,"$10k-30k",tbl_Clean[[#This Row],[Income]]&lt;=60000,"$40k-60k",tbl_Clean[[#This Row],[Income]]&lt;=90000,"$70k-90k",TRUE,"$100k+")</f>
        <v>$40k-60k</v>
      </c>
      <c r="Q691" s="20">
        <f>_xlfn.XMATCH(tbl_Clean[[#This Row],[Income Band]],{"$10k-30k","$40k-60k","$70k-90k","$100k+"})</f>
        <v>2</v>
      </c>
      <c r="R691" s="20" t="str">
        <f>IF(tbl_Clean[[#This Row],[Cars]]&lt;=1,"0-1 Cars","2+ Cars")</f>
        <v>0-1 Cars</v>
      </c>
      <c r="S691" s="20">
        <f>_xlfn.XMATCH(tbl_Clean[[#This Row],[Commute Distance]],{"0-1 Miles","1-2 Miles","2-5 Miles","5-10 Miles","10+ Miles"})</f>
        <v>2</v>
      </c>
      <c r="T691" s="20">
        <f>_xlfn.XMATCH(tbl_Clean[[#This Row],[Education]],{"Partial High School","High School","Partial College","Bachelors","Graduate Degree"})</f>
        <v>3</v>
      </c>
      <c r="U691" s="20">
        <f>IF(tbl_Clean[[#This Row],[Purchased Bike]]="Yes",1,0)</f>
        <v>1</v>
      </c>
    </row>
    <row r="692" spans="1:21" x14ac:dyDescent="0.25">
      <c r="A692" s="20">
        <v>18910</v>
      </c>
      <c r="B692" s="3" t="s">
        <v>114</v>
      </c>
      <c r="C692" s="3" t="s">
        <v>113</v>
      </c>
      <c r="D692" s="19">
        <v>30000</v>
      </c>
      <c r="E692" s="20">
        <v>0</v>
      </c>
      <c r="F692" s="3" t="s">
        <v>21</v>
      </c>
      <c r="G692" s="3" t="s">
        <v>16</v>
      </c>
      <c r="H692" s="3" t="s">
        <v>17</v>
      </c>
      <c r="I692" s="20">
        <v>2</v>
      </c>
      <c r="J692" s="3" t="s">
        <v>26</v>
      </c>
      <c r="K692" s="3" t="s">
        <v>35</v>
      </c>
      <c r="L692" s="20">
        <v>30</v>
      </c>
      <c r="M692" s="3" t="s">
        <v>20</v>
      </c>
      <c r="N692" s="20" t="str" cm="1">
        <f t="array" ref="N692">_xlfn.IFS(tbl_Clean[[#This Row],[Age]]&lt;=30,"25-30",tbl_Clean[[#This Row],[Age]]&lt;=40,"31-40",tbl_Clean[[#This Row],[Age]]&lt;=50,"41-50",tbl_Clean[[#This Row],[Age]]&lt;=60,"51-60",TRUE,"61+")</f>
        <v>25-30</v>
      </c>
      <c r="O692" s="20">
        <f>_xlfn.XMATCH(tbl_Clean[[#This Row],[Age Band]],{"25-30","31-40","41-50","51-60","61+"})</f>
        <v>1</v>
      </c>
      <c r="P692" s="20" t="str" cm="1">
        <f t="array" ref="P692">_xlfn.IFS(tbl_Clean[[#This Row],[Income]]&lt;=30000,"$10k-30k",tbl_Clean[[#This Row],[Income]]&lt;=60000,"$40k-60k",tbl_Clean[[#This Row],[Income]]&lt;=90000,"$70k-90k",TRUE,"$100k+")</f>
        <v>$10k-30k</v>
      </c>
      <c r="Q692" s="20">
        <f>_xlfn.XMATCH(tbl_Clean[[#This Row],[Income Band]],{"$10k-30k","$40k-60k","$70k-90k","$100k+"})</f>
        <v>1</v>
      </c>
      <c r="R692" s="20" t="str">
        <f>IF(tbl_Clean[[#This Row],[Cars]]&lt;=1,"0-1 Cars","2+ Cars")</f>
        <v>2+ Cars</v>
      </c>
      <c r="S692" s="20">
        <f>_xlfn.XMATCH(tbl_Clean[[#This Row],[Commute Distance]],{"0-1 Miles","1-2 Miles","2-5 Miles","5-10 Miles","10+ Miles"})</f>
        <v>4</v>
      </c>
      <c r="T692" s="20">
        <f>_xlfn.XMATCH(tbl_Clean[[#This Row],[Education]],{"Partial High School","High School","Partial College","Bachelors","Graduate Degree"})</f>
        <v>3</v>
      </c>
      <c r="U692" s="20">
        <f>IF(tbl_Clean[[#This Row],[Purchased Bike]]="Yes",1,0)</f>
        <v>0</v>
      </c>
    </row>
    <row r="693" spans="1:21" x14ac:dyDescent="0.25">
      <c r="A693" s="20">
        <v>11699</v>
      </c>
      <c r="B693" s="3" t="s">
        <v>114</v>
      </c>
      <c r="C693" s="3" t="s">
        <v>113</v>
      </c>
      <c r="D693" s="19">
        <v>60000</v>
      </c>
      <c r="E693" s="20">
        <v>0</v>
      </c>
      <c r="F693" s="3" t="s">
        <v>15</v>
      </c>
      <c r="G693" s="3" t="s">
        <v>16</v>
      </c>
      <c r="H693" s="3" t="s">
        <v>20</v>
      </c>
      <c r="I693" s="20">
        <v>2</v>
      </c>
      <c r="J693" s="3" t="s">
        <v>18</v>
      </c>
      <c r="K693" s="3" t="s">
        <v>35</v>
      </c>
      <c r="L693" s="20">
        <v>30</v>
      </c>
      <c r="M693" s="3" t="s">
        <v>20</v>
      </c>
      <c r="N693" s="20" t="str" cm="1">
        <f t="array" ref="N693">_xlfn.IFS(tbl_Clean[[#This Row],[Age]]&lt;=30,"25-30",tbl_Clean[[#This Row],[Age]]&lt;=40,"31-40",tbl_Clean[[#This Row],[Age]]&lt;=50,"41-50",tbl_Clean[[#This Row],[Age]]&lt;=60,"51-60",TRUE,"61+")</f>
        <v>25-30</v>
      </c>
      <c r="O693" s="20">
        <f>_xlfn.XMATCH(tbl_Clean[[#This Row],[Age Band]],{"25-30","31-40","41-50","51-60","61+"})</f>
        <v>1</v>
      </c>
      <c r="P693" s="20" t="str" cm="1">
        <f t="array" ref="P693">_xlfn.IFS(tbl_Clean[[#This Row],[Income]]&lt;=30000,"$10k-30k",tbl_Clean[[#This Row],[Income]]&lt;=60000,"$40k-60k",tbl_Clean[[#This Row],[Income]]&lt;=90000,"$70k-90k",TRUE,"$100k+")</f>
        <v>$40k-60k</v>
      </c>
      <c r="Q693" s="20">
        <f>_xlfn.XMATCH(tbl_Clean[[#This Row],[Income Band]],{"$10k-30k","$40k-60k","$70k-90k","$100k+"})</f>
        <v>2</v>
      </c>
      <c r="R693" s="20" t="str">
        <f>IF(tbl_Clean[[#This Row],[Cars]]&lt;=1,"0-1 Cars","2+ Cars")</f>
        <v>2+ Cars</v>
      </c>
      <c r="S693" s="20">
        <f>_xlfn.XMATCH(tbl_Clean[[#This Row],[Commute Distance]],{"0-1 Miles","1-2 Miles","2-5 Miles","5-10 Miles","10+ Miles"})</f>
        <v>1</v>
      </c>
      <c r="T693" s="20">
        <f>_xlfn.XMATCH(tbl_Clean[[#This Row],[Education]],{"Partial High School","High School","Partial College","Bachelors","Graduate Degree"})</f>
        <v>4</v>
      </c>
      <c r="U693" s="20">
        <f>IF(tbl_Clean[[#This Row],[Purchased Bike]]="Yes",1,0)</f>
        <v>0</v>
      </c>
    </row>
    <row r="694" spans="1:21" x14ac:dyDescent="0.25">
      <c r="A694" s="20">
        <v>16725</v>
      </c>
      <c r="B694" s="3" t="s">
        <v>111</v>
      </c>
      <c r="C694" s="3" t="s">
        <v>113</v>
      </c>
      <c r="D694" s="19">
        <v>30000</v>
      </c>
      <c r="E694" s="20">
        <v>0</v>
      </c>
      <c r="F694" s="3" t="s">
        <v>30</v>
      </c>
      <c r="G694" s="3" t="s">
        <v>16</v>
      </c>
      <c r="H694" s="3" t="s">
        <v>17</v>
      </c>
      <c r="I694" s="20">
        <v>2</v>
      </c>
      <c r="J694" s="3" t="s">
        <v>26</v>
      </c>
      <c r="K694" s="3" t="s">
        <v>35</v>
      </c>
      <c r="L694" s="20">
        <v>26</v>
      </c>
      <c r="M694" s="3" t="s">
        <v>20</v>
      </c>
      <c r="N694" s="20" t="str" cm="1">
        <f t="array" ref="N694">_xlfn.IFS(tbl_Clean[[#This Row],[Age]]&lt;=30,"25-30",tbl_Clean[[#This Row],[Age]]&lt;=40,"31-40",tbl_Clean[[#This Row],[Age]]&lt;=50,"41-50",tbl_Clean[[#This Row],[Age]]&lt;=60,"51-60",TRUE,"61+")</f>
        <v>25-30</v>
      </c>
      <c r="O694" s="20">
        <f>_xlfn.XMATCH(tbl_Clean[[#This Row],[Age Band]],{"25-30","31-40","41-50","51-60","61+"})</f>
        <v>1</v>
      </c>
      <c r="P694" s="20" t="str" cm="1">
        <f t="array" ref="P694">_xlfn.IFS(tbl_Clean[[#This Row],[Income]]&lt;=30000,"$10k-30k",tbl_Clean[[#This Row],[Income]]&lt;=60000,"$40k-60k",tbl_Clean[[#This Row],[Income]]&lt;=90000,"$70k-90k",TRUE,"$100k+")</f>
        <v>$10k-30k</v>
      </c>
      <c r="Q694" s="20">
        <f>_xlfn.XMATCH(tbl_Clean[[#This Row],[Income Band]],{"$10k-30k","$40k-60k","$70k-90k","$100k+"})</f>
        <v>1</v>
      </c>
      <c r="R694" s="20" t="str">
        <f>IF(tbl_Clean[[#This Row],[Cars]]&lt;=1,"0-1 Cars","2+ Cars")</f>
        <v>2+ Cars</v>
      </c>
      <c r="S694" s="20">
        <f>_xlfn.XMATCH(tbl_Clean[[#This Row],[Commute Distance]],{"0-1 Miles","1-2 Miles","2-5 Miles","5-10 Miles","10+ Miles"})</f>
        <v>4</v>
      </c>
      <c r="T694" s="20">
        <f>_xlfn.XMATCH(tbl_Clean[[#This Row],[Education]],{"Partial High School","High School","Partial College","Bachelors","Graduate Degree"})</f>
        <v>2</v>
      </c>
      <c r="U694" s="20">
        <f>IF(tbl_Clean[[#This Row],[Purchased Bike]]="Yes",1,0)</f>
        <v>0</v>
      </c>
    </row>
    <row r="695" spans="1:21" x14ac:dyDescent="0.25">
      <c r="A695" s="20">
        <v>28269</v>
      </c>
      <c r="B695" s="3" t="s">
        <v>114</v>
      </c>
      <c r="C695" s="3" t="s">
        <v>112</v>
      </c>
      <c r="D695" s="19">
        <v>130000</v>
      </c>
      <c r="E695" s="20">
        <v>1</v>
      </c>
      <c r="F695" s="3" t="s">
        <v>15</v>
      </c>
      <c r="G695" s="3" t="s">
        <v>31</v>
      </c>
      <c r="H695" s="3" t="s">
        <v>20</v>
      </c>
      <c r="I695" s="20">
        <v>1</v>
      </c>
      <c r="J695" s="3" t="s">
        <v>24</v>
      </c>
      <c r="K695" s="3" t="s">
        <v>35</v>
      </c>
      <c r="L695" s="20">
        <v>45</v>
      </c>
      <c r="M695" s="3" t="s">
        <v>20</v>
      </c>
      <c r="N695" s="20" t="str" cm="1">
        <f t="array" ref="N695">_xlfn.IFS(tbl_Clean[[#This Row],[Age]]&lt;=30,"25-30",tbl_Clean[[#This Row],[Age]]&lt;=40,"31-40",tbl_Clean[[#This Row],[Age]]&lt;=50,"41-50",tbl_Clean[[#This Row],[Age]]&lt;=60,"51-60",TRUE,"61+")</f>
        <v>41-50</v>
      </c>
      <c r="O695" s="20">
        <f>_xlfn.XMATCH(tbl_Clean[[#This Row],[Age Band]],{"25-30","31-40","41-50","51-60","61+"})</f>
        <v>3</v>
      </c>
      <c r="P695" s="20" t="str" cm="1">
        <f t="array" ref="P695">_xlfn.IFS(tbl_Clean[[#This Row],[Income]]&lt;=30000,"$10k-30k",tbl_Clean[[#This Row],[Income]]&lt;=60000,"$40k-60k",tbl_Clean[[#This Row],[Income]]&lt;=90000,"$70k-90k",TRUE,"$100k+")</f>
        <v>$100k+</v>
      </c>
      <c r="Q695" s="20">
        <f>_xlfn.XMATCH(tbl_Clean[[#This Row],[Income Band]],{"$10k-30k","$40k-60k","$70k-90k","$100k+"})</f>
        <v>4</v>
      </c>
      <c r="R695" s="20" t="str">
        <f>IF(tbl_Clean[[#This Row],[Cars]]&lt;=1,"0-1 Cars","2+ Cars")</f>
        <v>0-1 Cars</v>
      </c>
      <c r="S695" s="20">
        <f>_xlfn.XMATCH(tbl_Clean[[#This Row],[Commute Distance]],{"0-1 Miles","1-2 Miles","2-5 Miles","5-10 Miles","10+ Miles"})</f>
        <v>3</v>
      </c>
      <c r="T695" s="20">
        <f>_xlfn.XMATCH(tbl_Clean[[#This Row],[Education]],{"Partial High School","High School","Partial College","Bachelors","Graduate Degree"})</f>
        <v>4</v>
      </c>
      <c r="U695" s="20">
        <f>IF(tbl_Clean[[#This Row],[Purchased Bike]]="Yes",1,0)</f>
        <v>0</v>
      </c>
    </row>
    <row r="696" spans="1:21" x14ac:dyDescent="0.25">
      <c r="A696" s="20">
        <v>23144</v>
      </c>
      <c r="B696" s="3" t="s">
        <v>111</v>
      </c>
      <c r="C696" s="3" t="s">
        <v>113</v>
      </c>
      <c r="D696" s="19">
        <v>50000</v>
      </c>
      <c r="E696" s="20">
        <v>1</v>
      </c>
      <c r="F696" s="3" t="s">
        <v>15</v>
      </c>
      <c r="G696" s="3" t="s">
        <v>16</v>
      </c>
      <c r="H696" s="3" t="s">
        <v>17</v>
      </c>
      <c r="I696" s="20">
        <v>0</v>
      </c>
      <c r="J696" s="3" t="s">
        <v>18</v>
      </c>
      <c r="K696" s="3" t="s">
        <v>35</v>
      </c>
      <c r="L696" s="20">
        <v>34</v>
      </c>
      <c r="M696" s="3" t="s">
        <v>17</v>
      </c>
      <c r="N696" s="20" t="str" cm="1">
        <f t="array" ref="N696">_xlfn.IFS(tbl_Clean[[#This Row],[Age]]&lt;=30,"25-30",tbl_Clean[[#This Row],[Age]]&lt;=40,"31-40",tbl_Clean[[#This Row],[Age]]&lt;=50,"41-50",tbl_Clean[[#This Row],[Age]]&lt;=60,"51-60",TRUE,"61+")</f>
        <v>31-40</v>
      </c>
      <c r="O696" s="20">
        <f>_xlfn.XMATCH(tbl_Clean[[#This Row],[Age Band]],{"25-30","31-40","41-50","51-60","61+"})</f>
        <v>2</v>
      </c>
      <c r="P696" s="20" t="str" cm="1">
        <f t="array" ref="P696">_xlfn.IFS(tbl_Clean[[#This Row],[Income]]&lt;=30000,"$10k-30k",tbl_Clean[[#This Row],[Income]]&lt;=60000,"$40k-60k",tbl_Clean[[#This Row],[Income]]&lt;=90000,"$70k-90k",TRUE,"$100k+")</f>
        <v>$40k-60k</v>
      </c>
      <c r="Q696" s="20">
        <f>_xlfn.XMATCH(tbl_Clean[[#This Row],[Income Band]],{"$10k-30k","$40k-60k","$70k-90k","$100k+"})</f>
        <v>2</v>
      </c>
      <c r="R696" s="20" t="str">
        <f>IF(tbl_Clean[[#This Row],[Cars]]&lt;=1,"0-1 Cars","2+ Cars")</f>
        <v>0-1 Cars</v>
      </c>
      <c r="S696" s="20">
        <f>_xlfn.XMATCH(tbl_Clean[[#This Row],[Commute Distance]],{"0-1 Miles","1-2 Miles","2-5 Miles","5-10 Miles","10+ Miles"})</f>
        <v>1</v>
      </c>
      <c r="T696" s="20">
        <f>_xlfn.XMATCH(tbl_Clean[[#This Row],[Education]],{"Partial High School","High School","Partial College","Bachelors","Graduate Degree"})</f>
        <v>4</v>
      </c>
      <c r="U696" s="20">
        <f>IF(tbl_Clean[[#This Row],[Purchased Bike]]="Yes",1,0)</f>
        <v>1</v>
      </c>
    </row>
    <row r="697" spans="1:21" x14ac:dyDescent="0.25">
      <c r="A697" s="20">
        <v>23376</v>
      </c>
      <c r="B697" s="3" t="s">
        <v>111</v>
      </c>
      <c r="C697" s="3" t="s">
        <v>113</v>
      </c>
      <c r="D697" s="19">
        <v>70000</v>
      </c>
      <c r="E697" s="20">
        <v>1</v>
      </c>
      <c r="F697" s="3" t="s">
        <v>15</v>
      </c>
      <c r="G697" s="3" t="s">
        <v>23</v>
      </c>
      <c r="H697" s="3" t="s">
        <v>17</v>
      </c>
      <c r="I697" s="20">
        <v>1</v>
      </c>
      <c r="J697" s="3" t="s">
        <v>24</v>
      </c>
      <c r="K697" s="3" t="s">
        <v>35</v>
      </c>
      <c r="L697" s="20">
        <v>44</v>
      </c>
      <c r="M697" s="3" t="s">
        <v>17</v>
      </c>
      <c r="N697" s="20" t="str" cm="1">
        <f t="array" ref="N697">_xlfn.IFS(tbl_Clean[[#This Row],[Age]]&lt;=30,"25-30",tbl_Clean[[#This Row],[Age]]&lt;=40,"31-40",tbl_Clean[[#This Row],[Age]]&lt;=50,"41-50",tbl_Clean[[#This Row],[Age]]&lt;=60,"51-60",TRUE,"61+")</f>
        <v>41-50</v>
      </c>
      <c r="O697" s="20">
        <f>_xlfn.XMATCH(tbl_Clean[[#This Row],[Age Band]],{"25-30","31-40","41-50","51-60","61+"})</f>
        <v>3</v>
      </c>
      <c r="P697" s="20" t="str" cm="1">
        <f t="array" ref="P697">_xlfn.IFS(tbl_Clean[[#This Row],[Income]]&lt;=30000,"$10k-30k",tbl_Clean[[#This Row],[Income]]&lt;=60000,"$40k-60k",tbl_Clean[[#This Row],[Income]]&lt;=90000,"$70k-90k",TRUE,"$100k+")</f>
        <v>$70k-90k</v>
      </c>
      <c r="Q697" s="20">
        <f>_xlfn.XMATCH(tbl_Clean[[#This Row],[Income Band]],{"$10k-30k","$40k-60k","$70k-90k","$100k+"})</f>
        <v>3</v>
      </c>
      <c r="R697" s="20" t="str">
        <f>IF(tbl_Clean[[#This Row],[Cars]]&lt;=1,"0-1 Cars","2+ Cars")</f>
        <v>0-1 Cars</v>
      </c>
      <c r="S697" s="20">
        <f>_xlfn.XMATCH(tbl_Clean[[#This Row],[Commute Distance]],{"0-1 Miles","1-2 Miles","2-5 Miles","5-10 Miles","10+ Miles"})</f>
        <v>3</v>
      </c>
      <c r="T697" s="20">
        <f>_xlfn.XMATCH(tbl_Clean[[#This Row],[Education]],{"Partial High School","High School","Partial College","Bachelors","Graduate Degree"})</f>
        <v>4</v>
      </c>
      <c r="U697" s="20">
        <f>IF(tbl_Clean[[#This Row],[Purchased Bike]]="Yes",1,0)</f>
        <v>1</v>
      </c>
    </row>
    <row r="698" spans="1:21" x14ac:dyDescent="0.25">
      <c r="A698" s="20">
        <v>25970</v>
      </c>
      <c r="B698" s="3" t="s">
        <v>114</v>
      </c>
      <c r="C698" s="3" t="s">
        <v>112</v>
      </c>
      <c r="D698" s="19">
        <v>60000</v>
      </c>
      <c r="E698" s="20">
        <v>4</v>
      </c>
      <c r="F698" s="3" t="s">
        <v>15</v>
      </c>
      <c r="G698" s="3" t="s">
        <v>16</v>
      </c>
      <c r="H698" s="3" t="s">
        <v>20</v>
      </c>
      <c r="I698" s="20">
        <v>2</v>
      </c>
      <c r="J698" s="3" t="s">
        <v>18</v>
      </c>
      <c r="K698" s="3" t="s">
        <v>35</v>
      </c>
      <c r="L698" s="20">
        <v>41</v>
      </c>
      <c r="M698" s="3" t="s">
        <v>17</v>
      </c>
      <c r="N698" s="20" t="str" cm="1">
        <f t="array" ref="N698">_xlfn.IFS(tbl_Clean[[#This Row],[Age]]&lt;=30,"25-30",tbl_Clean[[#This Row],[Age]]&lt;=40,"31-40",tbl_Clean[[#This Row],[Age]]&lt;=50,"41-50",tbl_Clean[[#This Row],[Age]]&lt;=60,"51-60",TRUE,"61+")</f>
        <v>41-50</v>
      </c>
      <c r="O698" s="20">
        <f>_xlfn.XMATCH(tbl_Clean[[#This Row],[Age Band]],{"25-30","31-40","41-50","51-60","61+"})</f>
        <v>3</v>
      </c>
      <c r="P698" s="20" t="str" cm="1">
        <f t="array" ref="P698">_xlfn.IFS(tbl_Clean[[#This Row],[Income]]&lt;=30000,"$10k-30k",tbl_Clean[[#This Row],[Income]]&lt;=60000,"$40k-60k",tbl_Clean[[#This Row],[Income]]&lt;=90000,"$70k-90k",TRUE,"$100k+")</f>
        <v>$40k-60k</v>
      </c>
      <c r="Q698" s="20">
        <f>_xlfn.XMATCH(tbl_Clean[[#This Row],[Income Band]],{"$10k-30k","$40k-60k","$70k-90k","$100k+"})</f>
        <v>2</v>
      </c>
      <c r="R698" s="20" t="str">
        <f>IF(tbl_Clean[[#This Row],[Cars]]&lt;=1,"0-1 Cars","2+ Cars")</f>
        <v>2+ Cars</v>
      </c>
      <c r="S698" s="20">
        <f>_xlfn.XMATCH(tbl_Clean[[#This Row],[Commute Distance]],{"0-1 Miles","1-2 Miles","2-5 Miles","5-10 Miles","10+ Miles"})</f>
        <v>1</v>
      </c>
      <c r="T698" s="20">
        <f>_xlfn.XMATCH(tbl_Clean[[#This Row],[Education]],{"Partial High School","High School","Partial College","Bachelors","Graduate Degree"})</f>
        <v>4</v>
      </c>
      <c r="U698" s="20">
        <f>IF(tbl_Clean[[#This Row],[Purchased Bike]]="Yes",1,0)</f>
        <v>1</v>
      </c>
    </row>
    <row r="699" spans="1:21" x14ac:dyDescent="0.25">
      <c r="A699" s="20">
        <v>28068</v>
      </c>
      <c r="B699" s="3" t="s">
        <v>114</v>
      </c>
      <c r="C699" s="3" t="s">
        <v>112</v>
      </c>
      <c r="D699" s="19">
        <v>80000</v>
      </c>
      <c r="E699" s="20">
        <v>3</v>
      </c>
      <c r="F699" s="3" t="s">
        <v>34</v>
      </c>
      <c r="G699" s="3" t="s">
        <v>23</v>
      </c>
      <c r="H699" s="3" t="s">
        <v>20</v>
      </c>
      <c r="I699" s="20">
        <v>0</v>
      </c>
      <c r="J699" s="3" t="s">
        <v>18</v>
      </c>
      <c r="K699" s="3" t="s">
        <v>35</v>
      </c>
      <c r="L699" s="20">
        <v>36</v>
      </c>
      <c r="M699" s="3" t="s">
        <v>17</v>
      </c>
      <c r="N699" s="20" t="str" cm="1">
        <f t="array" ref="N699">_xlfn.IFS(tbl_Clean[[#This Row],[Age]]&lt;=30,"25-30",tbl_Clean[[#This Row],[Age]]&lt;=40,"31-40",tbl_Clean[[#This Row],[Age]]&lt;=50,"41-50",tbl_Clean[[#This Row],[Age]]&lt;=60,"51-60",TRUE,"61+")</f>
        <v>31-40</v>
      </c>
      <c r="O699" s="20">
        <f>_xlfn.XMATCH(tbl_Clean[[#This Row],[Age Band]],{"25-30","31-40","41-50","51-60","61+"})</f>
        <v>2</v>
      </c>
      <c r="P699" s="20" t="str" cm="1">
        <f t="array" ref="P699">_xlfn.IFS(tbl_Clean[[#This Row],[Income]]&lt;=30000,"$10k-30k",tbl_Clean[[#This Row],[Income]]&lt;=60000,"$40k-60k",tbl_Clean[[#This Row],[Income]]&lt;=90000,"$70k-90k",TRUE,"$100k+")</f>
        <v>$70k-90k</v>
      </c>
      <c r="Q699" s="20">
        <f>_xlfn.XMATCH(tbl_Clean[[#This Row],[Income Band]],{"$10k-30k","$40k-60k","$70k-90k","$100k+"})</f>
        <v>3</v>
      </c>
      <c r="R699" s="20" t="str">
        <f>IF(tbl_Clean[[#This Row],[Cars]]&lt;=1,"0-1 Cars","2+ Cars")</f>
        <v>0-1 Cars</v>
      </c>
      <c r="S699" s="20">
        <f>_xlfn.XMATCH(tbl_Clean[[#This Row],[Commute Distance]],{"0-1 Miles","1-2 Miles","2-5 Miles","5-10 Miles","10+ Miles"})</f>
        <v>1</v>
      </c>
      <c r="T699" s="20">
        <f>_xlfn.XMATCH(tbl_Clean[[#This Row],[Education]],{"Partial High School","High School","Partial College","Bachelors","Graduate Degree"})</f>
        <v>5</v>
      </c>
      <c r="U699" s="20">
        <f>IF(tbl_Clean[[#This Row],[Purchased Bike]]="Yes",1,0)</f>
        <v>1</v>
      </c>
    </row>
    <row r="700" spans="1:21" x14ac:dyDescent="0.25">
      <c r="A700" s="20">
        <v>18390</v>
      </c>
      <c r="B700" s="3" t="s">
        <v>111</v>
      </c>
      <c r="C700" s="3" t="s">
        <v>113</v>
      </c>
      <c r="D700" s="19">
        <v>80000</v>
      </c>
      <c r="E700" s="20">
        <v>5</v>
      </c>
      <c r="F700" s="3" t="s">
        <v>21</v>
      </c>
      <c r="G700" s="3" t="s">
        <v>23</v>
      </c>
      <c r="H700" s="3" t="s">
        <v>17</v>
      </c>
      <c r="I700" s="20">
        <v>2</v>
      </c>
      <c r="J700" s="3" t="s">
        <v>18</v>
      </c>
      <c r="K700" s="3" t="s">
        <v>35</v>
      </c>
      <c r="L700" s="20">
        <v>44</v>
      </c>
      <c r="M700" s="3" t="s">
        <v>20</v>
      </c>
      <c r="N700" s="20" t="str" cm="1">
        <f t="array" ref="N700">_xlfn.IFS(tbl_Clean[[#This Row],[Age]]&lt;=30,"25-30",tbl_Clean[[#This Row],[Age]]&lt;=40,"31-40",tbl_Clean[[#This Row],[Age]]&lt;=50,"41-50",tbl_Clean[[#This Row],[Age]]&lt;=60,"51-60",TRUE,"61+")</f>
        <v>41-50</v>
      </c>
      <c r="O700" s="20">
        <f>_xlfn.XMATCH(tbl_Clean[[#This Row],[Age Band]],{"25-30","31-40","41-50","51-60","61+"})</f>
        <v>3</v>
      </c>
      <c r="P700" s="20" t="str" cm="1">
        <f t="array" ref="P700">_xlfn.IFS(tbl_Clean[[#This Row],[Income]]&lt;=30000,"$10k-30k",tbl_Clean[[#This Row],[Income]]&lt;=60000,"$40k-60k",tbl_Clean[[#This Row],[Income]]&lt;=90000,"$70k-90k",TRUE,"$100k+")</f>
        <v>$70k-90k</v>
      </c>
      <c r="Q700" s="20">
        <f>_xlfn.XMATCH(tbl_Clean[[#This Row],[Income Band]],{"$10k-30k","$40k-60k","$70k-90k","$100k+"})</f>
        <v>3</v>
      </c>
      <c r="R700" s="20" t="str">
        <f>IF(tbl_Clean[[#This Row],[Cars]]&lt;=1,"0-1 Cars","2+ Cars")</f>
        <v>2+ Cars</v>
      </c>
      <c r="S700" s="20">
        <f>_xlfn.XMATCH(tbl_Clean[[#This Row],[Commute Distance]],{"0-1 Miles","1-2 Miles","2-5 Miles","5-10 Miles","10+ Miles"})</f>
        <v>1</v>
      </c>
      <c r="T700" s="20">
        <f>_xlfn.XMATCH(tbl_Clean[[#This Row],[Education]],{"Partial High School","High School","Partial College","Bachelors","Graduate Degree"})</f>
        <v>3</v>
      </c>
      <c r="U700" s="20">
        <f>IF(tbl_Clean[[#This Row],[Purchased Bike]]="Yes",1,0)</f>
        <v>0</v>
      </c>
    </row>
    <row r="701" spans="1:21" x14ac:dyDescent="0.25">
      <c r="A701" s="20">
        <v>29112</v>
      </c>
      <c r="B701" s="3" t="s">
        <v>114</v>
      </c>
      <c r="C701" s="3" t="s">
        <v>113</v>
      </c>
      <c r="D701" s="19">
        <v>60000</v>
      </c>
      <c r="E701" s="20">
        <v>0</v>
      </c>
      <c r="F701" s="3" t="s">
        <v>21</v>
      </c>
      <c r="G701" s="3" t="s">
        <v>23</v>
      </c>
      <c r="H701" s="3" t="s">
        <v>20</v>
      </c>
      <c r="I701" s="20">
        <v>2</v>
      </c>
      <c r="J701" s="3" t="s">
        <v>29</v>
      </c>
      <c r="K701" s="3" t="s">
        <v>35</v>
      </c>
      <c r="L701" s="20">
        <v>30</v>
      </c>
      <c r="M701" s="3" t="s">
        <v>20</v>
      </c>
      <c r="N701" s="20" t="str" cm="1">
        <f t="array" ref="N701">_xlfn.IFS(tbl_Clean[[#This Row],[Age]]&lt;=30,"25-30",tbl_Clean[[#This Row],[Age]]&lt;=40,"31-40",tbl_Clean[[#This Row],[Age]]&lt;=50,"41-50",tbl_Clean[[#This Row],[Age]]&lt;=60,"51-60",TRUE,"61+")</f>
        <v>25-30</v>
      </c>
      <c r="O701" s="20">
        <f>_xlfn.XMATCH(tbl_Clean[[#This Row],[Age Band]],{"25-30","31-40","41-50","51-60","61+"})</f>
        <v>1</v>
      </c>
      <c r="P701" s="20" t="str" cm="1">
        <f t="array" ref="P701">_xlfn.IFS(tbl_Clean[[#This Row],[Income]]&lt;=30000,"$10k-30k",tbl_Clean[[#This Row],[Income]]&lt;=60000,"$40k-60k",tbl_Clean[[#This Row],[Income]]&lt;=90000,"$70k-90k",TRUE,"$100k+")</f>
        <v>$40k-60k</v>
      </c>
      <c r="Q701" s="20">
        <f>_xlfn.XMATCH(tbl_Clean[[#This Row],[Income Band]],{"$10k-30k","$40k-60k","$70k-90k","$100k+"})</f>
        <v>2</v>
      </c>
      <c r="R701" s="20" t="str">
        <f>IF(tbl_Clean[[#This Row],[Cars]]&lt;=1,"0-1 Cars","2+ Cars")</f>
        <v>2+ Cars</v>
      </c>
      <c r="S701" s="20">
        <f>_xlfn.XMATCH(tbl_Clean[[#This Row],[Commute Distance]],{"0-1 Miles","1-2 Miles","2-5 Miles","5-10 Miles","10+ Miles"})</f>
        <v>2</v>
      </c>
      <c r="T701" s="20">
        <f>_xlfn.XMATCH(tbl_Clean[[#This Row],[Education]],{"Partial High School","High School","Partial College","Bachelors","Graduate Degree"})</f>
        <v>3</v>
      </c>
      <c r="U701" s="20">
        <f>IF(tbl_Clean[[#This Row],[Purchased Bike]]="Yes",1,0)</f>
        <v>0</v>
      </c>
    </row>
    <row r="702" spans="1:21" x14ac:dyDescent="0.25">
      <c r="A702" s="20">
        <v>14090</v>
      </c>
      <c r="B702" s="3" t="s">
        <v>111</v>
      </c>
      <c r="C702" s="3" t="s">
        <v>112</v>
      </c>
      <c r="D702" s="19">
        <v>30000</v>
      </c>
      <c r="E702" s="20">
        <v>0</v>
      </c>
      <c r="F702" s="3" t="s">
        <v>32</v>
      </c>
      <c r="G702" s="3" t="s">
        <v>22</v>
      </c>
      <c r="H702" s="3" t="s">
        <v>20</v>
      </c>
      <c r="I702" s="20">
        <v>2</v>
      </c>
      <c r="J702" s="3" t="s">
        <v>18</v>
      </c>
      <c r="K702" s="3" t="s">
        <v>35</v>
      </c>
      <c r="L702" s="20">
        <v>28</v>
      </c>
      <c r="M702" s="3" t="s">
        <v>20</v>
      </c>
      <c r="N702" s="20" t="str" cm="1">
        <f t="array" ref="N702">_xlfn.IFS(tbl_Clean[[#This Row],[Age]]&lt;=30,"25-30",tbl_Clean[[#This Row],[Age]]&lt;=40,"31-40",tbl_Clean[[#This Row],[Age]]&lt;=50,"41-50",tbl_Clean[[#This Row],[Age]]&lt;=60,"51-60",TRUE,"61+")</f>
        <v>25-30</v>
      </c>
      <c r="O702" s="20">
        <f>_xlfn.XMATCH(tbl_Clean[[#This Row],[Age Band]],{"25-30","31-40","41-50","51-60","61+"})</f>
        <v>1</v>
      </c>
      <c r="P702" s="20" t="str" cm="1">
        <f t="array" ref="P702">_xlfn.IFS(tbl_Clean[[#This Row],[Income]]&lt;=30000,"$10k-30k",tbl_Clean[[#This Row],[Income]]&lt;=60000,"$40k-60k",tbl_Clean[[#This Row],[Income]]&lt;=90000,"$70k-90k",TRUE,"$100k+")</f>
        <v>$10k-30k</v>
      </c>
      <c r="Q702" s="20">
        <f>_xlfn.XMATCH(tbl_Clean[[#This Row],[Income Band]],{"$10k-30k","$40k-60k","$70k-90k","$100k+"})</f>
        <v>1</v>
      </c>
      <c r="R702" s="20" t="str">
        <f>IF(tbl_Clean[[#This Row],[Cars]]&lt;=1,"0-1 Cars","2+ Cars")</f>
        <v>2+ Cars</v>
      </c>
      <c r="S702" s="20">
        <f>_xlfn.XMATCH(tbl_Clean[[#This Row],[Commute Distance]],{"0-1 Miles","1-2 Miles","2-5 Miles","5-10 Miles","10+ Miles"})</f>
        <v>1</v>
      </c>
      <c r="T702" s="20">
        <f>_xlfn.XMATCH(tbl_Clean[[#This Row],[Education]],{"Partial High School","High School","Partial College","Bachelors","Graduate Degree"})</f>
        <v>1</v>
      </c>
      <c r="U702" s="20">
        <f>IF(tbl_Clean[[#This Row],[Purchased Bike]]="Yes",1,0)</f>
        <v>0</v>
      </c>
    </row>
    <row r="703" spans="1:21" x14ac:dyDescent="0.25">
      <c r="A703" s="20">
        <v>27040</v>
      </c>
      <c r="B703" s="3" t="s">
        <v>111</v>
      </c>
      <c r="C703" s="3" t="s">
        <v>113</v>
      </c>
      <c r="D703" s="19">
        <v>20000</v>
      </c>
      <c r="E703" s="20">
        <v>2</v>
      </c>
      <c r="F703" s="3" t="s">
        <v>32</v>
      </c>
      <c r="G703" s="3" t="s">
        <v>22</v>
      </c>
      <c r="H703" s="3" t="s">
        <v>17</v>
      </c>
      <c r="I703" s="20">
        <v>2</v>
      </c>
      <c r="J703" s="3" t="s">
        <v>29</v>
      </c>
      <c r="K703" s="3" t="s">
        <v>35</v>
      </c>
      <c r="L703" s="20">
        <v>49</v>
      </c>
      <c r="M703" s="3" t="s">
        <v>20</v>
      </c>
      <c r="N703" s="20" t="str" cm="1">
        <f t="array" ref="N703">_xlfn.IFS(tbl_Clean[[#This Row],[Age]]&lt;=30,"25-30",tbl_Clean[[#This Row],[Age]]&lt;=40,"31-40",tbl_Clean[[#This Row],[Age]]&lt;=50,"41-50",tbl_Clean[[#This Row],[Age]]&lt;=60,"51-60",TRUE,"61+")</f>
        <v>41-50</v>
      </c>
      <c r="O703" s="20">
        <f>_xlfn.XMATCH(tbl_Clean[[#This Row],[Age Band]],{"25-30","31-40","41-50","51-60","61+"})</f>
        <v>3</v>
      </c>
      <c r="P703" s="20" t="str" cm="1">
        <f t="array" ref="P703">_xlfn.IFS(tbl_Clean[[#This Row],[Income]]&lt;=30000,"$10k-30k",tbl_Clean[[#This Row],[Income]]&lt;=60000,"$40k-60k",tbl_Clean[[#This Row],[Income]]&lt;=90000,"$70k-90k",TRUE,"$100k+")</f>
        <v>$10k-30k</v>
      </c>
      <c r="Q703" s="20">
        <f>_xlfn.XMATCH(tbl_Clean[[#This Row],[Income Band]],{"$10k-30k","$40k-60k","$70k-90k","$100k+"})</f>
        <v>1</v>
      </c>
      <c r="R703" s="20" t="str">
        <f>IF(tbl_Clean[[#This Row],[Cars]]&lt;=1,"0-1 Cars","2+ Cars")</f>
        <v>2+ Cars</v>
      </c>
      <c r="S703" s="20">
        <f>_xlfn.XMATCH(tbl_Clean[[#This Row],[Commute Distance]],{"0-1 Miles","1-2 Miles","2-5 Miles","5-10 Miles","10+ Miles"})</f>
        <v>2</v>
      </c>
      <c r="T703" s="20">
        <f>_xlfn.XMATCH(tbl_Clean[[#This Row],[Education]],{"Partial High School","High School","Partial College","Bachelors","Graduate Degree"})</f>
        <v>1</v>
      </c>
      <c r="U703" s="20">
        <f>IF(tbl_Clean[[#This Row],[Purchased Bike]]="Yes",1,0)</f>
        <v>0</v>
      </c>
    </row>
    <row r="704" spans="1:21" x14ac:dyDescent="0.25">
      <c r="A704" s="20">
        <v>23479</v>
      </c>
      <c r="B704" s="3" t="s">
        <v>114</v>
      </c>
      <c r="C704" s="3" t="s">
        <v>113</v>
      </c>
      <c r="D704" s="19">
        <v>90000</v>
      </c>
      <c r="E704" s="20">
        <v>0</v>
      </c>
      <c r="F704" s="3" t="s">
        <v>21</v>
      </c>
      <c r="G704" s="3" t="s">
        <v>23</v>
      </c>
      <c r="H704" s="3" t="s">
        <v>20</v>
      </c>
      <c r="I704" s="20">
        <v>2</v>
      </c>
      <c r="J704" s="3" t="s">
        <v>18</v>
      </c>
      <c r="K704" s="3" t="s">
        <v>35</v>
      </c>
      <c r="L704" s="20">
        <v>43</v>
      </c>
      <c r="M704" s="3" t="s">
        <v>17</v>
      </c>
      <c r="N704" s="20" t="str" cm="1">
        <f t="array" ref="N704">_xlfn.IFS(tbl_Clean[[#This Row],[Age]]&lt;=30,"25-30",tbl_Clean[[#This Row],[Age]]&lt;=40,"31-40",tbl_Clean[[#This Row],[Age]]&lt;=50,"41-50",tbl_Clean[[#This Row],[Age]]&lt;=60,"51-60",TRUE,"61+")</f>
        <v>41-50</v>
      </c>
      <c r="O704" s="20">
        <f>_xlfn.XMATCH(tbl_Clean[[#This Row],[Age Band]],{"25-30","31-40","41-50","51-60","61+"})</f>
        <v>3</v>
      </c>
      <c r="P704" s="20" t="str" cm="1">
        <f t="array" ref="P704">_xlfn.IFS(tbl_Clean[[#This Row],[Income]]&lt;=30000,"$10k-30k",tbl_Clean[[#This Row],[Income]]&lt;=60000,"$40k-60k",tbl_Clean[[#This Row],[Income]]&lt;=90000,"$70k-90k",TRUE,"$100k+")</f>
        <v>$70k-90k</v>
      </c>
      <c r="Q704" s="20">
        <f>_xlfn.XMATCH(tbl_Clean[[#This Row],[Income Band]],{"$10k-30k","$40k-60k","$70k-90k","$100k+"})</f>
        <v>3</v>
      </c>
      <c r="R704" s="20" t="str">
        <f>IF(tbl_Clean[[#This Row],[Cars]]&lt;=1,"0-1 Cars","2+ Cars")</f>
        <v>2+ Cars</v>
      </c>
      <c r="S704" s="20">
        <f>_xlfn.XMATCH(tbl_Clean[[#This Row],[Commute Distance]],{"0-1 Miles","1-2 Miles","2-5 Miles","5-10 Miles","10+ Miles"})</f>
        <v>1</v>
      </c>
      <c r="T704" s="20">
        <f>_xlfn.XMATCH(tbl_Clean[[#This Row],[Education]],{"Partial High School","High School","Partial College","Bachelors","Graduate Degree"})</f>
        <v>3</v>
      </c>
      <c r="U704" s="20">
        <f>IF(tbl_Clean[[#This Row],[Purchased Bike]]="Yes",1,0)</f>
        <v>1</v>
      </c>
    </row>
    <row r="705" spans="1:21" x14ac:dyDescent="0.25">
      <c r="A705" s="20">
        <v>16795</v>
      </c>
      <c r="B705" s="3" t="s">
        <v>111</v>
      </c>
      <c r="C705" s="3" t="s">
        <v>112</v>
      </c>
      <c r="D705" s="19">
        <v>70000</v>
      </c>
      <c r="E705" s="20">
        <v>4</v>
      </c>
      <c r="F705" s="3" t="s">
        <v>15</v>
      </c>
      <c r="G705" s="3" t="s">
        <v>31</v>
      </c>
      <c r="H705" s="3" t="s">
        <v>17</v>
      </c>
      <c r="I705" s="20">
        <v>1</v>
      </c>
      <c r="J705" s="3" t="s">
        <v>29</v>
      </c>
      <c r="K705" s="3" t="s">
        <v>35</v>
      </c>
      <c r="L705" s="20">
        <v>59</v>
      </c>
      <c r="M705" s="3" t="s">
        <v>20</v>
      </c>
      <c r="N705" s="20" t="str" cm="1">
        <f t="array" ref="N705">_xlfn.IFS(tbl_Clean[[#This Row],[Age]]&lt;=30,"25-30",tbl_Clean[[#This Row],[Age]]&lt;=40,"31-40",tbl_Clean[[#This Row],[Age]]&lt;=50,"41-50",tbl_Clean[[#This Row],[Age]]&lt;=60,"51-60",TRUE,"61+")</f>
        <v>51-60</v>
      </c>
      <c r="O705" s="20">
        <f>_xlfn.XMATCH(tbl_Clean[[#This Row],[Age Band]],{"25-30","31-40","41-50","51-60","61+"})</f>
        <v>4</v>
      </c>
      <c r="P705" s="20" t="str" cm="1">
        <f t="array" ref="P705">_xlfn.IFS(tbl_Clean[[#This Row],[Income]]&lt;=30000,"$10k-30k",tbl_Clean[[#This Row],[Income]]&lt;=60000,"$40k-60k",tbl_Clean[[#This Row],[Income]]&lt;=90000,"$70k-90k",TRUE,"$100k+")</f>
        <v>$70k-90k</v>
      </c>
      <c r="Q705" s="20">
        <f>_xlfn.XMATCH(tbl_Clean[[#This Row],[Income Band]],{"$10k-30k","$40k-60k","$70k-90k","$100k+"})</f>
        <v>3</v>
      </c>
      <c r="R705" s="20" t="str">
        <f>IF(tbl_Clean[[#This Row],[Cars]]&lt;=1,"0-1 Cars","2+ Cars")</f>
        <v>0-1 Cars</v>
      </c>
      <c r="S705" s="20">
        <f>_xlfn.XMATCH(tbl_Clean[[#This Row],[Commute Distance]],{"0-1 Miles","1-2 Miles","2-5 Miles","5-10 Miles","10+ Miles"})</f>
        <v>2</v>
      </c>
      <c r="T705" s="20">
        <f>_xlfn.XMATCH(tbl_Clean[[#This Row],[Education]],{"Partial High School","High School","Partial College","Bachelors","Graduate Degree"})</f>
        <v>4</v>
      </c>
      <c r="U705" s="20">
        <f>IF(tbl_Clean[[#This Row],[Purchased Bike]]="Yes",1,0)</f>
        <v>0</v>
      </c>
    </row>
    <row r="706" spans="1:21" x14ac:dyDescent="0.25">
      <c r="A706" s="20">
        <v>22014</v>
      </c>
      <c r="B706" s="3" t="s">
        <v>114</v>
      </c>
      <c r="C706" s="3" t="s">
        <v>113</v>
      </c>
      <c r="D706" s="19">
        <v>30000</v>
      </c>
      <c r="E706" s="20">
        <v>0</v>
      </c>
      <c r="F706" s="3" t="s">
        <v>30</v>
      </c>
      <c r="G706" s="3" t="s">
        <v>16</v>
      </c>
      <c r="H706" s="3" t="s">
        <v>17</v>
      </c>
      <c r="I706" s="20">
        <v>2</v>
      </c>
      <c r="J706" s="3" t="s">
        <v>26</v>
      </c>
      <c r="K706" s="3" t="s">
        <v>35</v>
      </c>
      <c r="L706" s="20">
        <v>26</v>
      </c>
      <c r="M706" s="3" t="s">
        <v>20</v>
      </c>
      <c r="N706" s="20" t="str" cm="1">
        <f t="array" ref="N706">_xlfn.IFS(tbl_Clean[[#This Row],[Age]]&lt;=30,"25-30",tbl_Clean[[#This Row],[Age]]&lt;=40,"31-40",tbl_Clean[[#This Row],[Age]]&lt;=50,"41-50",tbl_Clean[[#This Row],[Age]]&lt;=60,"51-60",TRUE,"61+")</f>
        <v>25-30</v>
      </c>
      <c r="O706" s="20">
        <f>_xlfn.XMATCH(tbl_Clean[[#This Row],[Age Band]],{"25-30","31-40","41-50","51-60","61+"})</f>
        <v>1</v>
      </c>
      <c r="P706" s="20" t="str" cm="1">
        <f t="array" ref="P706">_xlfn.IFS(tbl_Clean[[#This Row],[Income]]&lt;=30000,"$10k-30k",tbl_Clean[[#This Row],[Income]]&lt;=60000,"$40k-60k",tbl_Clean[[#This Row],[Income]]&lt;=90000,"$70k-90k",TRUE,"$100k+")</f>
        <v>$10k-30k</v>
      </c>
      <c r="Q706" s="20">
        <f>_xlfn.XMATCH(tbl_Clean[[#This Row],[Income Band]],{"$10k-30k","$40k-60k","$70k-90k","$100k+"})</f>
        <v>1</v>
      </c>
      <c r="R706" s="20" t="str">
        <f>IF(tbl_Clean[[#This Row],[Cars]]&lt;=1,"0-1 Cars","2+ Cars")</f>
        <v>2+ Cars</v>
      </c>
      <c r="S706" s="20">
        <f>_xlfn.XMATCH(tbl_Clean[[#This Row],[Commute Distance]],{"0-1 Miles","1-2 Miles","2-5 Miles","5-10 Miles","10+ Miles"})</f>
        <v>4</v>
      </c>
      <c r="T706" s="20">
        <f>_xlfn.XMATCH(tbl_Clean[[#This Row],[Education]],{"Partial High School","High School","Partial College","Bachelors","Graduate Degree"})</f>
        <v>2</v>
      </c>
      <c r="U706" s="20">
        <f>IF(tbl_Clean[[#This Row],[Purchased Bike]]="Yes",1,0)</f>
        <v>0</v>
      </c>
    </row>
    <row r="707" spans="1:21" x14ac:dyDescent="0.25">
      <c r="A707" s="20">
        <v>13314</v>
      </c>
      <c r="B707" s="3" t="s">
        <v>111</v>
      </c>
      <c r="C707" s="3" t="s">
        <v>113</v>
      </c>
      <c r="D707" s="19">
        <v>120000</v>
      </c>
      <c r="E707" s="20">
        <v>1</v>
      </c>
      <c r="F707" s="3" t="s">
        <v>30</v>
      </c>
      <c r="G707" s="3" t="s">
        <v>23</v>
      </c>
      <c r="H707" s="3" t="s">
        <v>17</v>
      </c>
      <c r="I707" s="20">
        <v>4</v>
      </c>
      <c r="J707" s="3" t="s">
        <v>26</v>
      </c>
      <c r="K707" s="3" t="s">
        <v>35</v>
      </c>
      <c r="L707" s="20">
        <v>46</v>
      </c>
      <c r="M707" s="3" t="s">
        <v>17</v>
      </c>
      <c r="N707" s="20" t="str" cm="1">
        <f t="array" ref="N707">_xlfn.IFS(tbl_Clean[[#This Row],[Age]]&lt;=30,"25-30",tbl_Clean[[#This Row],[Age]]&lt;=40,"31-40",tbl_Clean[[#This Row],[Age]]&lt;=50,"41-50",tbl_Clean[[#This Row],[Age]]&lt;=60,"51-60",TRUE,"61+")</f>
        <v>41-50</v>
      </c>
      <c r="O707" s="20">
        <f>_xlfn.XMATCH(tbl_Clean[[#This Row],[Age Band]],{"25-30","31-40","41-50","51-60","61+"})</f>
        <v>3</v>
      </c>
      <c r="P707" s="20" t="str" cm="1">
        <f t="array" ref="P707">_xlfn.IFS(tbl_Clean[[#This Row],[Income]]&lt;=30000,"$10k-30k",tbl_Clean[[#This Row],[Income]]&lt;=60000,"$40k-60k",tbl_Clean[[#This Row],[Income]]&lt;=90000,"$70k-90k",TRUE,"$100k+")</f>
        <v>$100k+</v>
      </c>
      <c r="Q707" s="20">
        <f>_xlfn.XMATCH(tbl_Clean[[#This Row],[Income Band]],{"$10k-30k","$40k-60k","$70k-90k","$100k+"})</f>
        <v>4</v>
      </c>
      <c r="R707" s="20" t="str">
        <f>IF(tbl_Clean[[#This Row],[Cars]]&lt;=1,"0-1 Cars","2+ Cars")</f>
        <v>2+ Cars</v>
      </c>
      <c r="S707" s="20">
        <f>_xlfn.XMATCH(tbl_Clean[[#This Row],[Commute Distance]],{"0-1 Miles","1-2 Miles","2-5 Miles","5-10 Miles","10+ Miles"})</f>
        <v>4</v>
      </c>
      <c r="T707" s="20">
        <f>_xlfn.XMATCH(tbl_Clean[[#This Row],[Education]],{"Partial High School","High School","Partial College","Bachelors","Graduate Degree"})</f>
        <v>2</v>
      </c>
      <c r="U707" s="20">
        <f>IF(tbl_Clean[[#This Row],[Purchased Bike]]="Yes",1,0)</f>
        <v>1</v>
      </c>
    </row>
    <row r="708" spans="1:21" x14ac:dyDescent="0.25">
      <c r="A708" s="20">
        <v>11619</v>
      </c>
      <c r="B708" s="3" t="s">
        <v>114</v>
      </c>
      <c r="C708" s="3" t="s">
        <v>112</v>
      </c>
      <c r="D708" s="19">
        <v>50000</v>
      </c>
      <c r="E708" s="20">
        <v>0</v>
      </c>
      <c r="F708" s="3" t="s">
        <v>34</v>
      </c>
      <c r="G708" s="3" t="s">
        <v>16</v>
      </c>
      <c r="H708" s="3" t="s">
        <v>17</v>
      </c>
      <c r="I708" s="20">
        <v>0</v>
      </c>
      <c r="J708" s="3" t="s">
        <v>29</v>
      </c>
      <c r="K708" s="3" t="s">
        <v>35</v>
      </c>
      <c r="L708" s="20">
        <v>33</v>
      </c>
      <c r="M708" s="3" t="s">
        <v>20</v>
      </c>
      <c r="N708" s="20" t="str" cm="1">
        <f t="array" ref="N708">_xlfn.IFS(tbl_Clean[[#This Row],[Age]]&lt;=30,"25-30",tbl_Clean[[#This Row],[Age]]&lt;=40,"31-40",tbl_Clean[[#This Row],[Age]]&lt;=50,"41-50",tbl_Clean[[#This Row],[Age]]&lt;=60,"51-60",TRUE,"61+")</f>
        <v>31-40</v>
      </c>
      <c r="O708" s="20">
        <f>_xlfn.XMATCH(tbl_Clean[[#This Row],[Age Band]],{"25-30","31-40","41-50","51-60","61+"})</f>
        <v>2</v>
      </c>
      <c r="P708" s="20" t="str" cm="1">
        <f t="array" ref="P708">_xlfn.IFS(tbl_Clean[[#This Row],[Income]]&lt;=30000,"$10k-30k",tbl_Clean[[#This Row],[Income]]&lt;=60000,"$40k-60k",tbl_Clean[[#This Row],[Income]]&lt;=90000,"$70k-90k",TRUE,"$100k+")</f>
        <v>$40k-60k</v>
      </c>
      <c r="Q708" s="20">
        <f>_xlfn.XMATCH(tbl_Clean[[#This Row],[Income Band]],{"$10k-30k","$40k-60k","$70k-90k","$100k+"})</f>
        <v>2</v>
      </c>
      <c r="R708" s="20" t="str">
        <f>IF(tbl_Clean[[#This Row],[Cars]]&lt;=1,"0-1 Cars","2+ Cars")</f>
        <v>0-1 Cars</v>
      </c>
      <c r="S708" s="20">
        <f>_xlfn.XMATCH(tbl_Clean[[#This Row],[Commute Distance]],{"0-1 Miles","1-2 Miles","2-5 Miles","5-10 Miles","10+ Miles"})</f>
        <v>2</v>
      </c>
      <c r="T708" s="20">
        <f>_xlfn.XMATCH(tbl_Clean[[#This Row],[Education]],{"Partial High School","High School","Partial College","Bachelors","Graduate Degree"})</f>
        <v>5</v>
      </c>
      <c r="U708" s="20">
        <f>IF(tbl_Clean[[#This Row],[Purchased Bike]]="Yes",1,0)</f>
        <v>0</v>
      </c>
    </row>
    <row r="709" spans="1:21" x14ac:dyDescent="0.25">
      <c r="A709" s="20">
        <v>29132</v>
      </c>
      <c r="B709" s="3" t="s">
        <v>114</v>
      </c>
      <c r="C709" s="3" t="s">
        <v>112</v>
      </c>
      <c r="D709" s="19">
        <v>40000</v>
      </c>
      <c r="E709" s="20">
        <v>0</v>
      </c>
      <c r="F709" s="3" t="s">
        <v>15</v>
      </c>
      <c r="G709" s="3" t="s">
        <v>23</v>
      </c>
      <c r="H709" s="3" t="s">
        <v>17</v>
      </c>
      <c r="I709" s="20">
        <v>1</v>
      </c>
      <c r="J709" s="3" t="s">
        <v>24</v>
      </c>
      <c r="K709" s="3" t="s">
        <v>35</v>
      </c>
      <c r="L709" s="20">
        <v>42</v>
      </c>
      <c r="M709" s="3" t="s">
        <v>17</v>
      </c>
      <c r="N709" s="20" t="str" cm="1">
        <f t="array" ref="N709">_xlfn.IFS(tbl_Clean[[#This Row],[Age]]&lt;=30,"25-30",tbl_Clean[[#This Row],[Age]]&lt;=40,"31-40",tbl_Clean[[#This Row],[Age]]&lt;=50,"41-50",tbl_Clean[[#This Row],[Age]]&lt;=60,"51-60",TRUE,"61+")</f>
        <v>41-50</v>
      </c>
      <c r="O709" s="20">
        <f>_xlfn.XMATCH(tbl_Clean[[#This Row],[Age Band]],{"25-30","31-40","41-50","51-60","61+"})</f>
        <v>3</v>
      </c>
      <c r="P709" s="20" t="str" cm="1">
        <f t="array" ref="P709">_xlfn.IFS(tbl_Clean[[#This Row],[Income]]&lt;=30000,"$10k-30k",tbl_Clean[[#This Row],[Income]]&lt;=60000,"$40k-60k",tbl_Clean[[#This Row],[Income]]&lt;=90000,"$70k-90k",TRUE,"$100k+")</f>
        <v>$40k-60k</v>
      </c>
      <c r="Q709" s="20">
        <f>_xlfn.XMATCH(tbl_Clean[[#This Row],[Income Band]],{"$10k-30k","$40k-60k","$70k-90k","$100k+"})</f>
        <v>2</v>
      </c>
      <c r="R709" s="20" t="str">
        <f>IF(tbl_Clean[[#This Row],[Cars]]&lt;=1,"0-1 Cars","2+ Cars")</f>
        <v>0-1 Cars</v>
      </c>
      <c r="S709" s="20">
        <f>_xlfn.XMATCH(tbl_Clean[[#This Row],[Commute Distance]],{"0-1 Miles","1-2 Miles","2-5 Miles","5-10 Miles","10+ Miles"})</f>
        <v>3</v>
      </c>
      <c r="T709" s="20">
        <f>_xlfn.XMATCH(tbl_Clean[[#This Row],[Education]],{"Partial High School","High School","Partial College","Bachelors","Graduate Degree"})</f>
        <v>4</v>
      </c>
      <c r="U709" s="20">
        <f>IF(tbl_Clean[[#This Row],[Purchased Bike]]="Yes",1,0)</f>
        <v>1</v>
      </c>
    </row>
    <row r="710" spans="1:21" x14ac:dyDescent="0.25">
      <c r="A710" s="20">
        <v>11199</v>
      </c>
      <c r="B710" s="3" t="s">
        <v>111</v>
      </c>
      <c r="C710" s="3" t="s">
        <v>112</v>
      </c>
      <c r="D710" s="19">
        <v>70000</v>
      </c>
      <c r="E710" s="20">
        <v>4</v>
      </c>
      <c r="F710" s="3" t="s">
        <v>15</v>
      </c>
      <c r="G710" s="3" t="s">
        <v>31</v>
      </c>
      <c r="H710" s="3" t="s">
        <v>17</v>
      </c>
      <c r="I710" s="20">
        <v>1</v>
      </c>
      <c r="J710" s="3" t="s">
        <v>33</v>
      </c>
      <c r="K710" s="3" t="s">
        <v>35</v>
      </c>
      <c r="L710" s="20">
        <v>59</v>
      </c>
      <c r="M710" s="3" t="s">
        <v>20</v>
      </c>
      <c r="N710" s="20" t="str" cm="1">
        <f t="array" ref="N710">_xlfn.IFS(tbl_Clean[[#This Row],[Age]]&lt;=30,"25-30",tbl_Clean[[#This Row],[Age]]&lt;=40,"31-40",tbl_Clean[[#This Row],[Age]]&lt;=50,"41-50",tbl_Clean[[#This Row],[Age]]&lt;=60,"51-60",TRUE,"61+")</f>
        <v>51-60</v>
      </c>
      <c r="O710" s="20">
        <f>_xlfn.XMATCH(tbl_Clean[[#This Row],[Age Band]],{"25-30","31-40","41-50","51-60","61+"})</f>
        <v>4</v>
      </c>
      <c r="P710" s="20" t="str" cm="1">
        <f t="array" ref="P710">_xlfn.IFS(tbl_Clean[[#This Row],[Income]]&lt;=30000,"$10k-30k",tbl_Clean[[#This Row],[Income]]&lt;=60000,"$40k-60k",tbl_Clean[[#This Row],[Income]]&lt;=90000,"$70k-90k",TRUE,"$100k+")</f>
        <v>$70k-90k</v>
      </c>
      <c r="Q710" s="20">
        <f>_xlfn.XMATCH(tbl_Clean[[#This Row],[Income Band]],{"$10k-30k","$40k-60k","$70k-90k","$100k+"})</f>
        <v>3</v>
      </c>
      <c r="R710" s="20" t="str">
        <f>IF(tbl_Clean[[#This Row],[Cars]]&lt;=1,"0-1 Cars","2+ Cars")</f>
        <v>0-1 Cars</v>
      </c>
      <c r="S710" s="20">
        <f>_xlfn.XMATCH(tbl_Clean[[#This Row],[Commute Distance]],{"0-1 Miles","1-2 Miles","2-5 Miles","5-10 Miles","10+ Miles"})</f>
        <v>5</v>
      </c>
      <c r="T710" s="20">
        <f>_xlfn.XMATCH(tbl_Clean[[#This Row],[Education]],{"Partial High School","High School","Partial College","Bachelors","Graduate Degree"})</f>
        <v>4</v>
      </c>
      <c r="U710" s="20">
        <f>IF(tbl_Clean[[#This Row],[Purchased Bike]]="Yes",1,0)</f>
        <v>0</v>
      </c>
    </row>
    <row r="711" spans="1:21" x14ac:dyDescent="0.25">
      <c r="A711" s="20">
        <v>20296</v>
      </c>
      <c r="B711" s="3" t="s">
        <v>114</v>
      </c>
      <c r="C711" s="3" t="s">
        <v>112</v>
      </c>
      <c r="D711" s="19">
        <v>60000</v>
      </c>
      <c r="E711" s="20">
        <v>0</v>
      </c>
      <c r="F711" s="3" t="s">
        <v>21</v>
      </c>
      <c r="G711" s="3" t="s">
        <v>16</v>
      </c>
      <c r="H711" s="3" t="s">
        <v>20</v>
      </c>
      <c r="I711" s="20">
        <v>1</v>
      </c>
      <c r="J711" s="3" t="s">
        <v>29</v>
      </c>
      <c r="K711" s="3" t="s">
        <v>35</v>
      </c>
      <c r="L711" s="20">
        <v>33</v>
      </c>
      <c r="M711" s="3" t="s">
        <v>17</v>
      </c>
      <c r="N711" s="20" t="str" cm="1">
        <f t="array" ref="N711">_xlfn.IFS(tbl_Clean[[#This Row],[Age]]&lt;=30,"25-30",tbl_Clean[[#This Row],[Age]]&lt;=40,"31-40",tbl_Clean[[#This Row],[Age]]&lt;=50,"41-50",tbl_Clean[[#This Row],[Age]]&lt;=60,"51-60",TRUE,"61+")</f>
        <v>31-40</v>
      </c>
      <c r="O711" s="20">
        <f>_xlfn.XMATCH(tbl_Clean[[#This Row],[Age Band]],{"25-30","31-40","41-50","51-60","61+"})</f>
        <v>2</v>
      </c>
      <c r="P711" s="20" t="str" cm="1">
        <f t="array" ref="P711">_xlfn.IFS(tbl_Clean[[#This Row],[Income]]&lt;=30000,"$10k-30k",tbl_Clean[[#This Row],[Income]]&lt;=60000,"$40k-60k",tbl_Clean[[#This Row],[Income]]&lt;=90000,"$70k-90k",TRUE,"$100k+")</f>
        <v>$40k-60k</v>
      </c>
      <c r="Q711" s="20">
        <f>_xlfn.XMATCH(tbl_Clean[[#This Row],[Income Band]],{"$10k-30k","$40k-60k","$70k-90k","$100k+"})</f>
        <v>2</v>
      </c>
      <c r="R711" s="20" t="str">
        <f>IF(tbl_Clean[[#This Row],[Cars]]&lt;=1,"0-1 Cars","2+ Cars")</f>
        <v>0-1 Cars</v>
      </c>
      <c r="S711" s="20">
        <f>_xlfn.XMATCH(tbl_Clean[[#This Row],[Commute Distance]],{"0-1 Miles","1-2 Miles","2-5 Miles","5-10 Miles","10+ Miles"})</f>
        <v>2</v>
      </c>
      <c r="T711" s="20">
        <f>_xlfn.XMATCH(tbl_Clean[[#This Row],[Education]],{"Partial High School","High School","Partial College","Bachelors","Graduate Degree"})</f>
        <v>3</v>
      </c>
      <c r="U711" s="20">
        <f>IF(tbl_Clean[[#This Row],[Purchased Bike]]="Yes",1,0)</f>
        <v>1</v>
      </c>
    </row>
    <row r="712" spans="1:21" x14ac:dyDescent="0.25">
      <c r="A712" s="20">
        <v>17546</v>
      </c>
      <c r="B712" s="3" t="s">
        <v>111</v>
      </c>
      <c r="C712" s="3" t="s">
        <v>112</v>
      </c>
      <c r="D712" s="19">
        <v>70000</v>
      </c>
      <c r="E712" s="20">
        <v>1</v>
      </c>
      <c r="F712" s="3" t="s">
        <v>21</v>
      </c>
      <c r="G712" s="3" t="s">
        <v>16</v>
      </c>
      <c r="H712" s="3" t="s">
        <v>17</v>
      </c>
      <c r="I712" s="20">
        <v>1</v>
      </c>
      <c r="J712" s="3" t="s">
        <v>18</v>
      </c>
      <c r="K712" s="3" t="s">
        <v>35</v>
      </c>
      <c r="L712" s="20">
        <v>44</v>
      </c>
      <c r="M712" s="3" t="s">
        <v>17</v>
      </c>
      <c r="N712" s="20" t="str" cm="1">
        <f t="array" ref="N712">_xlfn.IFS(tbl_Clean[[#This Row],[Age]]&lt;=30,"25-30",tbl_Clean[[#This Row],[Age]]&lt;=40,"31-40",tbl_Clean[[#This Row],[Age]]&lt;=50,"41-50",tbl_Clean[[#This Row],[Age]]&lt;=60,"51-60",TRUE,"61+")</f>
        <v>41-50</v>
      </c>
      <c r="O712" s="20">
        <f>_xlfn.XMATCH(tbl_Clean[[#This Row],[Age Band]],{"25-30","31-40","41-50","51-60","61+"})</f>
        <v>3</v>
      </c>
      <c r="P712" s="20" t="str" cm="1">
        <f t="array" ref="P712">_xlfn.IFS(tbl_Clean[[#This Row],[Income]]&lt;=30000,"$10k-30k",tbl_Clean[[#This Row],[Income]]&lt;=60000,"$40k-60k",tbl_Clean[[#This Row],[Income]]&lt;=90000,"$70k-90k",TRUE,"$100k+")</f>
        <v>$70k-90k</v>
      </c>
      <c r="Q712" s="20">
        <f>_xlfn.XMATCH(tbl_Clean[[#This Row],[Income Band]],{"$10k-30k","$40k-60k","$70k-90k","$100k+"})</f>
        <v>3</v>
      </c>
      <c r="R712" s="20" t="str">
        <f>IF(tbl_Clean[[#This Row],[Cars]]&lt;=1,"0-1 Cars","2+ Cars")</f>
        <v>0-1 Cars</v>
      </c>
      <c r="S712" s="20">
        <f>_xlfn.XMATCH(tbl_Clean[[#This Row],[Commute Distance]],{"0-1 Miles","1-2 Miles","2-5 Miles","5-10 Miles","10+ Miles"})</f>
        <v>1</v>
      </c>
      <c r="T712" s="20">
        <f>_xlfn.XMATCH(tbl_Clean[[#This Row],[Education]],{"Partial High School","High School","Partial College","Bachelors","Graduate Degree"})</f>
        <v>3</v>
      </c>
      <c r="U712" s="20">
        <f>IF(tbl_Clean[[#This Row],[Purchased Bike]]="Yes",1,0)</f>
        <v>1</v>
      </c>
    </row>
    <row r="713" spans="1:21" x14ac:dyDescent="0.25">
      <c r="A713" s="20">
        <v>18069</v>
      </c>
      <c r="B713" s="3" t="s">
        <v>111</v>
      </c>
      <c r="C713" s="3" t="s">
        <v>113</v>
      </c>
      <c r="D713" s="19">
        <v>70000</v>
      </c>
      <c r="E713" s="20">
        <v>5</v>
      </c>
      <c r="F713" s="3" t="s">
        <v>15</v>
      </c>
      <c r="G713" s="3" t="s">
        <v>31</v>
      </c>
      <c r="H713" s="3" t="s">
        <v>17</v>
      </c>
      <c r="I713" s="20">
        <v>4</v>
      </c>
      <c r="J713" s="3" t="s">
        <v>33</v>
      </c>
      <c r="K713" s="3" t="s">
        <v>35</v>
      </c>
      <c r="L713" s="20">
        <v>60</v>
      </c>
      <c r="M713" s="3" t="s">
        <v>20</v>
      </c>
      <c r="N713" s="20" t="str" cm="1">
        <f t="array" ref="N713">_xlfn.IFS(tbl_Clean[[#This Row],[Age]]&lt;=30,"25-30",tbl_Clean[[#This Row],[Age]]&lt;=40,"31-40",tbl_Clean[[#This Row],[Age]]&lt;=50,"41-50",tbl_Clean[[#This Row],[Age]]&lt;=60,"51-60",TRUE,"61+")</f>
        <v>51-60</v>
      </c>
      <c r="O713" s="20">
        <f>_xlfn.XMATCH(tbl_Clean[[#This Row],[Age Band]],{"25-30","31-40","41-50","51-60","61+"})</f>
        <v>4</v>
      </c>
      <c r="P713" s="20" t="str" cm="1">
        <f t="array" ref="P713">_xlfn.IFS(tbl_Clean[[#This Row],[Income]]&lt;=30000,"$10k-30k",tbl_Clean[[#This Row],[Income]]&lt;=60000,"$40k-60k",tbl_Clean[[#This Row],[Income]]&lt;=90000,"$70k-90k",TRUE,"$100k+")</f>
        <v>$70k-90k</v>
      </c>
      <c r="Q713" s="20">
        <f>_xlfn.XMATCH(tbl_Clean[[#This Row],[Income Band]],{"$10k-30k","$40k-60k","$70k-90k","$100k+"})</f>
        <v>3</v>
      </c>
      <c r="R713" s="20" t="str">
        <f>IF(tbl_Clean[[#This Row],[Cars]]&lt;=1,"0-1 Cars","2+ Cars")</f>
        <v>2+ Cars</v>
      </c>
      <c r="S713" s="20">
        <f>_xlfn.XMATCH(tbl_Clean[[#This Row],[Commute Distance]],{"0-1 Miles","1-2 Miles","2-5 Miles","5-10 Miles","10+ Miles"})</f>
        <v>5</v>
      </c>
      <c r="T713" s="20">
        <f>_xlfn.XMATCH(tbl_Clean[[#This Row],[Education]],{"Partial High School","High School","Partial College","Bachelors","Graduate Degree"})</f>
        <v>4</v>
      </c>
      <c r="U713" s="20">
        <f>IF(tbl_Clean[[#This Row],[Purchased Bike]]="Yes",1,0)</f>
        <v>0</v>
      </c>
    </row>
    <row r="714" spans="1:21" x14ac:dyDescent="0.25">
      <c r="A714" s="20">
        <v>23712</v>
      </c>
      <c r="B714" s="3" t="s">
        <v>114</v>
      </c>
      <c r="C714" s="3" t="s">
        <v>112</v>
      </c>
      <c r="D714" s="19">
        <v>70000</v>
      </c>
      <c r="E714" s="20">
        <v>2</v>
      </c>
      <c r="F714" s="3" t="s">
        <v>15</v>
      </c>
      <c r="G714" s="3" t="s">
        <v>31</v>
      </c>
      <c r="H714" s="3" t="s">
        <v>17</v>
      </c>
      <c r="I714" s="20">
        <v>1</v>
      </c>
      <c r="J714" s="3" t="s">
        <v>33</v>
      </c>
      <c r="K714" s="3" t="s">
        <v>35</v>
      </c>
      <c r="L714" s="20">
        <v>59</v>
      </c>
      <c r="M714" s="3" t="s">
        <v>20</v>
      </c>
      <c r="N714" s="20" t="str" cm="1">
        <f t="array" ref="N714">_xlfn.IFS(tbl_Clean[[#This Row],[Age]]&lt;=30,"25-30",tbl_Clean[[#This Row],[Age]]&lt;=40,"31-40",tbl_Clean[[#This Row],[Age]]&lt;=50,"41-50",tbl_Clean[[#This Row],[Age]]&lt;=60,"51-60",TRUE,"61+")</f>
        <v>51-60</v>
      </c>
      <c r="O714" s="20">
        <f>_xlfn.XMATCH(tbl_Clean[[#This Row],[Age Band]],{"25-30","31-40","41-50","51-60","61+"})</f>
        <v>4</v>
      </c>
      <c r="P714" s="20" t="str" cm="1">
        <f t="array" ref="P714">_xlfn.IFS(tbl_Clean[[#This Row],[Income]]&lt;=30000,"$10k-30k",tbl_Clean[[#This Row],[Income]]&lt;=60000,"$40k-60k",tbl_Clean[[#This Row],[Income]]&lt;=90000,"$70k-90k",TRUE,"$100k+")</f>
        <v>$70k-90k</v>
      </c>
      <c r="Q714" s="20">
        <f>_xlfn.XMATCH(tbl_Clean[[#This Row],[Income Band]],{"$10k-30k","$40k-60k","$70k-90k","$100k+"})</f>
        <v>3</v>
      </c>
      <c r="R714" s="20" t="str">
        <f>IF(tbl_Clean[[#This Row],[Cars]]&lt;=1,"0-1 Cars","2+ Cars")</f>
        <v>0-1 Cars</v>
      </c>
      <c r="S714" s="20">
        <f>_xlfn.XMATCH(tbl_Clean[[#This Row],[Commute Distance]],{"0-1 Miles","1-2 Miles","2-5 Miles","5-10 Miles","10+ Miles"})</f>
        <v>5</v>
      </c>
      <c r="T714" s="20">
        <f>_xlfn.XMATCH(tbl_Clean[[#This Row],[Education]],{"Partial High School","High School","Partial College","Bachelors","Graduate Degree"})</f>
        <v>4</v>
      </c>
      <c r="U714" s="20">
        <f>IF(tbl_Clean[[#This Row],[Purchased Bike]]="Yes",1,0)</f>
        <v>0</v>
      </c>
    </row>
    <row r="715" spans="1:21" x14ac:dyDescent="0.25">
      <c r="A715" s="20">
        <v>23358</v>
      </c>
      <c r="B715" s="3" t="s">
        <v>111</v>
      </c>
      <c r="C715" s="3" t="s">
        <v>113</v>
      </c>
      <c r="D715" s="19">
        <v>60000</v>
      </c>
      <c r="E715" s="20">
        <v>0</v>
      </c>
      <c r="F715" s="3" t="s">
        <v>30</v>
      </c>
      <c r="G715" s="3" t="s">
        <v>23</v>
      </c>
      <c r="H715" s="3" t="s">
        <v>17</v>
      </c>
      <c r="I715" s="20">
        <v>2</v>
      </c>
      <c r="J715" s="3" t="s">
        <v>26</v>
      </c>
      <c r="K715" s="3" t="s">
        <v>35</v>
      </c>
      <c r="L715" s="20">
        <v>32</v>
      </c>
      <c r="M715" s="3" t="s">
        <v>17</v>
      </c>
      <c r="N715" s="20" t="str" cm="1">
        <f t="array" ref="N715">_xlfn.IFS(tbl_Clean[[#This Row],[Age]]&lt;=30,"25-30",tbl_Clean[[#This Row],[Age]]&lt;=40,"31-40",tbl_Clean[[#This Row],[Age]]&lt;=50,"41-50",tbl_Clean[[#This Row],[Age]]&lt;=60,"51-60",TRUE,"61+")</f>
        <v>31-40</v>
      </c>
      <c r="O715" s="20">
        <f>_xlfn.XMATCH(tbl_Clean[[#This Row],[Age Band]],{"25-30","31-40","41-50","51-60","61+"})</f>
        <v>2</v>
      </c>
      <c r="P715" s="20" t="str" cm="1">
        <f t="array" ref="P715">_xlfn.IFS(tbl_Clean[[#This Row],[Income]]&lt;=30000,"$10k-30k",tbl_Clean[[#This Row],[Income]]&lt;=60000,"$40k-60k",tbl_Clean[[#This Row],[Income]]&lt;=90000,"$70k-90k",TRUE,"$100k+")</f>
        <v>$40k-60k</v>
      </c>
      <c r="Q715" s="20">
        <f>_xlfn.XMATCH(tbl_Clean[[#This Row],[Income Band]],{"$10k-30k","$40k-60k","$70k-90k","$100k+"})</f>
        <v>2</v>
      </c>
      <c r="R715" s="20" t="str">
        <f>IF(tbl_Clean[[#This Row],[Cars]]&lt;=1,"0-1 Cars","2+ Cars")</f>
        <v>2+ Cars</v>
      </c>
      <c r="S715" s="20">
        <f>_xlfn.XMATCH(tbl_Clean[[#This Row],[Commute Distance]],{"0-1 Miles","1-2 Miles","2-5 Miles","5-10 Miles","10+ Miles"})</f>
        <v>4</v>
      </c>
      <c r="T715" s="20">
        <f>_xlfn.XMATCH(tbl_Clean[[#This Row],[Education]],{"Partial High School","High School","Partial College","Bachelors","Graduate Degree"})</f>
        <v>2</v>
      </c>
      <c r="U715" s="20">
        <f>IF(tbl_Clean[[#This Row],[Purchased Bike]]="Yes",1,0)</f>
        <v>1</v>
      </c>
    </row>
    <row r="716" spans="1:21" x14ac:dyDescent="0.25">
      <c r="A716" s="20">
        <v>20518</v>
      </c>
      <c r="B716" s="3" t="s">
        <v>111</v>
      </c>
      <c r="C716" s="3" t="s">
        <v>112</v>
      </c>
      <c r="D716" s="19">
        <v>70000</v>
      </c>
      <c r="E716" s="20">
        <v>2</v>
      </c>
      <c r="F716" s="3" t="s">
        <v>21</v>
      </c>
      <c r="G716" s="3" t="s">
        <v>23</v>
      </c>
      <c r="H716" s="3" t="s">
        <v>17</v>
      </c>
      <c r="I716" s="20">
        <v>1</v>
      </c>
      <c r="J716" s="3" t="s">
        <v>33</v>
      </c>
      <c r="K716" s="3" t="s">
        <v>35</v>
      </c>
      <c r="L716" s="20">
        <v>58</v>
      </c>
      <c r="M716" s="3" t="s">
        <v>20</v>
      </c>
      <c r="N716" s="20" t="str" cm="1">
        <f t="array" ref="N716">_xlfn.IFS(tbl_Clean[[#This Row],[Age]]&lt;=30,"25-30",tbl_Clean[[#This Row],[Age]]&lt;=40,"31-40",tbl_Clean[[#This Row],[Age]]&lt;=50,"41-50",tbl_Clean[[#This Row],[Age]]&lt;=60,"51-60",TRUE,"61+")</f>
        <v>51-60</v>
      </c>
      <c r="O716" s="20">
        <f>_xlfn.XMATCH(tbl_Clean[[#This Row],[Age Band]],{"25-30","31-40","41-50","51-60","61+"})</f>
        <v>4</v>
      </c>
      <c r="P716" s="20" t="str" cm="1">
        <f t="array" ref="P716">_xlfn.IFS(tbl_Clean[[#This Row],[Income]]&lt;=30000,"$10k-30k",tbl_Clean[[#This Row],[Income]]&lt;=60000,"$40k-60k",tbl_Clean[[#This Row],[Income]]&lt;=90000,"$70k-90k",TRUE,"$100k+")</f>
        <v>$70k-90k</v>
      </c>
      <c r="Q716" s="20">
        <f>_xlfn.XMATCH(tbl_Clean[[#This Row],[Income Band]],{"$10k-30k","$40k-60k","$70k-90k","$100k+"})</f>
        <v>3</v>
      </c>
      <c r="R716" s="20" t="str">
        <f>IF(tbl_Clean[[#This Row],[Cars]]&lt;=1,"0-1 Cars","2+ Cars")</f>
        <v>0-1 Cars</v>
      </c>
      <c r="S716" s="20">
        <f>_xlfn.XMATCH(tbl_Clean[[#This Row],[Commute Distance]],{"0-1 Miles","1-2 Miles","2-5 Miles","5-10 Miles","10+ Miles"})</f>
        <v>5</v>
      </c>
      <c r="T716" s="20">
        <f>_xlfn.XMATCH(tbl_Clean[[#This Row],[Education]],{"Partial High School","High School","Partial College","Bachelors","Graduate Degree"})</f>
        <v>3</v>
      </c>
      <c r="U716" s="20">
        <f>IF(tbl_Clean[[#This Row],[Purchased Bike]]="Yes",1,0)</f>
        <v>0</v>
      </c>
    </row>
    <row r="717" spans="1:21" x14ac:dyDescent="0.25">
      <c r="A717" s="20">
        <v>28026</v>
      </c>
      <c r="B717" s="3" t="s">
        <v>111</v>
      </c>
      <c r="C717" s="3" t="s">
        <v>112</v>
      </c>
      <c r="D717" s="19">
        <v>40000</v>
      </c>
      <c r="E717" s="20">
        <v>2</v>
      </c>
      <c r="F717" s="3" t="s">
        <v>30</v>
      </c>
      <c r="G717" s="3" t="s">
        <v>23</v>
      </c>
      <c r="H717" s="3" t="s">
        <v>20</v>
      </c>
      <c r="I717" s="20">
        <v>2</v>
      </c>
      <c r="J717" s="3" t="s">
        <v>24</v>
      </c>
      <c r="K717" s="3" t="s">
        <v>35</v>
      </c>
      <c r="L717" s="20">
        <v>59</v>
      </c>
      <c r="M717" s="3" t="s">
        <v>20</v>
      </c>
      <c r="N717" s="20" t="str" cm="1">
        <f t="array" ref="N717">_xlfn.IFS(tbl_Clean[[#This Row],[Age]]&lt;=30,"25-30",tbl_Clean[[#This Row],[Age]]&lt;=40,"31-40",tbl_Clean[[#This Row],[Age]]&lt;=50,"41-50",tbl_Clean[[#This Row],[Age]]&lt;=60,"51-60",TRUE,"61+")</f>
        <v>51-60</v>
      </c>
      <c r="O717" s="20">
        <f>_xlfn.XMATCH(tbl_Clean[[#This Row],[Age Band]],{"25-30","31-40","41-50","51-60","61+"})</f>
        <v>4</v>
      </c>
      <c r="P717" s="20" t="str" cm="1">
        <f t="array" ref="P717">_xlfn.IFS(tbl_Clean[[#This Row],[Income]]&lt;=30000,"$10k-30k",tbl_Clean[[#This Row],[Income]]&lt;=60000,"$40k-60k",tbl_Clean[[#This Row],[Income]]&lt;=90000,"$70k-90k",TRUE,"$100k+")</f>
        <v>$40k-60k</v>
      </c>
      <c r="Q717" s="20">
        <f>_xlfn.XMATCH(tbl_Clean[[#This Row],[Income Band]],{"$10k-30k","$40k-60k","$70k-90k","$100k+"})</f>
        <v>2</v>
      </c>
      <c r="R717" s="20" t="str">
        <f>IF(tbl_Clean[[#This Row],[Cars]]&lt;=1,"0-1 Cars","2+ Cars")</f>
        <v>2+ Cars</v>
      </c>
      <c r="S717" s="20">
        <f>_xlfn.XMATCH(tbl_Clean[[#This Row],[Commute Distance]],{"0-1 Miles","1-2 Miles","2-5 Miles","5-10 Miles","10+ Miles"})</f>
        <v>3</v>
      </c>
      <c r="T717" s="20">
        <f>_xlfn.XMATCH(tbl_Clean[[#This Row],[Education]],{"Partial High School","High School","Partial College","Bachelors","Graduate Degree"})</f>
        <v>2</v>
      </c>
      <c r="U717" s="20">
        <f>IF(tbl_Clean[[#This Row],[Purchased Bike]]="Yes",1,0)</f>
        <v>0</v>
      </c>
    </row>
    <row r="718" spans="1:21" x14ac:dyDescent="0.25">
      <c r="A718" s="20">
        <v>11669</v>
      </c>
      <c r="B718" s="3" t="s">
        <v>114</v>
      </c>
      <c r="C718" s="3" t="s">
        <v>112</v>
      </c>
      <c r="D718" s="19">
        <v>70000</v>
      </c>
      <c r="E718" s="20">
        <v>2</v>
      </c>
      <c r="F718" s="3" t="s">
        <v>15</v>
      </c>
      <c r="G718" s="3" t="s">
        <v>16</v>
      </c>
      <c r="H718" s="3" t="s">
        <v>17</v>
      </c>
      <c r="I718" s="20">
        <v>1</v>
      </c>
      <c r="J718" s="3" t="s">
        <v>24</v>
      </c>
      <c r="K718" s="3" t="s">
        <v>35</v>
      </c>
      <c r="L718" s="20">
        <v>38</v>
      </c>
      <c r="M718" s="3" t="s">
        <v>20</v>
      </c>
      <c r="N718" s="20" t="str" cm="1">
        <f t="array" ref="N718">_xlfn.IFS(tbl_Clean[[#This Row],[Age]]&lt;=30,"25-30",tbl_Clean[[#This Row],[Age]]&lt;=40,"31-40",tbl_Clean[[#This Row],[Age]]&lt;=50,"41-50",tbl_Clean[[#This Row],[Age]]&lt;=60,"51-60",TRUE,"61+")</f>
        <v>31-40</v>
      </c>
      <c r="O718" s="20">
        <f>_xlfn.XMATCH(tbl_Clean[[#This Row],[Age Band]],{"25-30","31-40","41-50","51-60","61+"})</f>
        <v>2</v>
      </c>
      <c r="P718" s="20" t="str" cm="1">
        <f t="array" ref="P718">_xlfn.IFS(tbl_Clean[[#This Row],[Income]]&lt;=30000,"$10k-30k",tbl_Clean[[#This Row],[Income]]&lt;=60000,"$40k-60k",tbl_Clean[[#This Row],[Income]]&lt;=90000,"$70k-90k",TRUE,"$100k+")</f>
        <v>$70k-90k</v>
      </c>
      <c r="Q718" s="20">
        <f>_xlfn.XMATCH(tbl_Clean[[#This Row],[Income Band]],{"$10k-30k","$40k-60k","$70k-90k","$100k+"})</f>
        <v>3</v>
      </c>
      <c r="R718" s="20" t="str">
        <f>IF(tbl_Clean[[#This Row],[Cars]]&lt;=1,"0-1 Cars","2+ Cars")</f>
        <v>0-1 Cars</v>
      </c>
      <c r="S718" s="20">
        <f>_xlfn.XMATCH(tbl_Clean[[#This Row],[Commute Distance]],{"0-1 Miles","1-2 Miles","2-5 Miles","5-10 Miles","10+ Miles"})</f>
        <v>3</v>
      </c>
      <c r="T718" s="20">
        <f>_xlfn.XMATCH(tbl_Clean[[#This Row],[Education]],{"Partial High School","High School","Partial College","Bachelors","Graduate Degree"})</f>
        <v>4</v>
      </c>
      <c r="U718" s="20">
        <f>IF(tbl_Clean[[#This Row],[Purchased Bike]]="Yes",1,0)</f>
        <v>0</v>
      </c>
    </row>
    <row r="719" spans="1:21" x14ac:dyDescent="0.25">
      <c r="A719" s="20">
        <v>16020</v>
      </c>
      <c r="B719" s="3" t="s">
        <v>111</v>
      </c>
      <c r="C719" s="3" t="s">
        <v>113</v>
      </c>
      <c r="D719" s="19">
        <v>40000</v>
      </c>
      <c r="E719" s="20">
        <v>0</v>
      </c>
      <c r="F719" s="3" t="s">
        <v>30</v>
      </c>
      <c r="G719" s="3" t="s">
        <v>16</v>
      </c>
      <c r="H719" s="3" t="s">
        <v>17</v>
      </c>
      <c r="I719" s="20">
        <v>2</v>
      </c>
      <c r="J719" s="3" t="s">
        <v>26</v>
      </c>
      <c r="K719" s="3" t="s">
        <v>35</v>
      </c>
      <c r="L719" s="20">
        <v>28</v>
      </c>
      <c r="M719" s="3" t="s">
        <v>17</v>
      </c>
      <c r="N719" s="20" t="str" cm="1">
        <f t="array" ref="N719">_xlfn.IFS(tbl_Clean[[#This Row],[Age]]&lt;=30,"25-30",tbl_Clean[[#This Row],[Age]]&lt;=40,"31-40",tbl_Clean[[#This Row],[Age]]&lt;=50,"41-50",tbl_Clean[[#This Row],[Age]]&lt;=60,"51-60",TRUE,"61+")</f>
        <v>25-30</v>
      </c>
      <c r="O719" s="20">
        <f>_xlfn.XMATCH(tbl_Clean[[#This Row],[Age Band]],{"25-30","31-40","41-50","51-60","61+"})</f>
        <v>1</v>
      </c>
      <c r="P719" s="20" t="str" cm="1">
        <f t="array" ref="P719">_xlfn.IFS(tbl_Clean[[#This Row],[Income]]&lt;=30000,"$10k-30k",tbl_Clean[[#This Row],[Income]]&lt;=60000,"$40k-60k",tbl_Clean[[#This Row],[Income]]&lt;=90000,"$70k-90k",TRUE,"$100k+")</f>
        <v>$40k-60k</v>
      </c>
      <c r="Q719" s="20">
        <f>_xlfn.XMATCH(tbl_Clean[[#This Row],[Income Band]],{"$10k-30k","$40k-60k","$70k-90k","$100k+"})</f>
        <v>2</v>
      </c>
      <c r="R719" s="20" t="str">
        <f>IF(tbl_Clean[[#This Row],[Cars]]&lt;=1,"0-1 Cars","2+ Cars")</f>
        <v>2+ Cars</v>
      </c>
      <c r="S719" s="20">
        <f>_xlfn.XMATCH(tbl_Clean[[#This Row],[Commute Distance]],{"0-1 Miles","1-2 Miles","2-5 Miles","5-10 Miles","10+ Miles"})</f>
        <v>4</v>
      </c>
      <c r="T719" s="20">
        <f>_xlfn.XMATCH(tbl_Clean[[#This Row],[Education]],{"Partial High School","High School","Partial College","Bachelors","Graduate Degree"})</f>
        <v>2</v>
      </c>
      <c r="U719" s="20">
        <f>IF(tbl_Clean[[#This Row],[Purchased Bike]]="Yes",1,0)</f>
        <v>1</v>
      </c>
    </row>
    <row r="720" spans="1:21" x14ac:dyDescent="0.25">
      <c r="A720" s="20">
        <v>27090</v>
      </c>
      <c r="B720" s="3" t="s">
        <v>111</v>
      </c>
      <c r="C720" s="3" t="s">
        <v>112</v>
      </c>
      <c r="D720" s="19">
        <v>60000</v>
      </c>
      <c r="E720" s="20">
        <v>1</v>
      </c>
      <c r="F720" s="3" t="s">
        <v>34</v>
      </c>
      <c r="G720" s="3" t="s">
        <v>23</v>
      </c>
      <c r="H720" s="3" t="s">
        <v>17</v>
      </c>
      <c r="I720" s="20">
        <v>0</v>
      </c>
      <c r="J720" s="3" t="s">
        <v>24</v>
      </c>
      <c r="K720" s="3" t="s">
        <v>35</v>
      </c>
      <c r="L720" s="20">
        <v>37</v>
      </c>
      <c r="M720" s="3" t="s">
        <v>17</v>
      </c>
      <c r="N720" s="20" t="str" cm="1">
        <f t="array" ref="N720">_xlfn.IFS(tbl_Clean[[#This Row],[Age]]&lt;=30,"25-30",tbl_Clean[[#This Row],[Age]]&lt;=40,"31-40",tbl_Clean[[#This Row],[Age]]&lt;=50,"41-50",tbl_Clean[[#This Row],[Age]]&lt;=60,"51-60",TRUE,"61+")</f>
        <v>31-40</v>
      </c>
      <c r="O720" s="20">
        <f>_xlfn.XMATCH(tbl_Clean[[#This Row],[Age Band]],{"25-30","31-40","41-50","51-60","61+"})</f>
        <v>2</v>
      </c>
      <c r="P720" s="20" t="str" cm="1">
        <f t="array" ref="P720">_xlfn.IFS(tbl_Clean[[#This Row],[Income]]&lt;=30000,"$10k-30k",tbl_Clean[[#This Row],[Income]]&lt;=60000,"$40k-60k",tbl_Clean[[#This Row],[Income]]&lt;=90000,"$70k-90k",TRUE,"$100k+")</f>
        <v>$40k-60k</v>
      </c>
      <c r="Q720" s="20">
        <f>_xlfn.XMATCH(tbl_Clean[[#This Row],[Income Band]],{"$10k-30k","$40k-60k","$70k-90k","$100k+"})</f>
        <v>2</v>
      </c>
      <c r="R720" s="20" t="str">
        <f>IF(tbl_Clean[[#This Row],[Cars]]&lt;=1,"0-1 Cars","2+ Cars")</f>
        <v>0-1 Cars</v>
      </c>
      <c r="S720" s="20">
        <f>_xlfn.XMATCH(tbl_Clean[[#This Row],[Commute Distance]],{"0-1 Miles","1-2 Miles","2-5 Miles","5-10 Miles","10+ Miles"})</f>
        <v>3</v>
      </c>
      <c r="T720" s="20">
        <f>_xlfn.XMATCH(tbl_Clean[[#This Row],[Education]],{"Partial High School","High School","Partial College","Bachelors","Graduate Degree"})</f>
        <v>5</v>
      </c>
      <c r="U720" s="20">
        <f>IF(tbl_Clean[[#This Row],[Purchased Bike]]="Yes",1,0)</f>
        <v>1</v>
      </c>
    </row>
    <row r="721" spans="1:21" x14ac:dyDescent="0.25">
      <c r="A721" s="20">
        <v>27198</v>
      </c>
      <c r="B721" s="3" t="s">
        <v>114</v>
      </c>
      <c r="C721" s="3" t="s">
        <v>112</v>
      </c>
      <c r="D721" s="19">
        <v>80000</v>
      </c>
      <c r="E721" s="20">
        <v>0</v>
      </c>
      <c r="F721" s="3" t="s">
        <v>34</v>
      </c>
      <c r="G721" s="3" t="s">
        <v>16</v>
      </c>
      <c r="H721" s="3" t="s">
        <v>20</v>
      </c>
      <c r="I721" s="20">
        <v>0</v>
      </c>
      <c r="J721" s="3" t="s">
        <v>18</v>
      </c>
      <c r="K721" s="3" t="s">
        <v>35</v>
      </c>
      <c r="L721" s="20">
        <v>40</v>
      </c>
      <c r="M721" s="3" t="s">
        <v>20</v>
      </c>
      <c r="N721" s="20" t="str" cm="1">
        <f t="array" ref="N721">_xlfn.IFS(tbl_Clean[[#This Row],[Age]]&lt;=30,"25-30",tbl_Clean[[#This Row],[Age]]&lt;=40,"31-40",tbl_Clean[[#This Row],[Age]]&lt;=50,"41-50",tbl_Clean[[#This Row],[Age]]&lt;=60,"51-60",TRUE,"61+")</f>
        <v>31-40</v>
      </c>
      <c r="O721" s="20">
        <f>_xlfn.XMATCH(tbl_Clean[[#This Row],[Age Band]],{"25-30","31-40","41-50","51-60","61+"})</f>
        <v>2</v>
      </c>
      <c r="P721" s="20" t="str" cm="1">
        <f t="array" ref="P721">_xlfn.IFS(tbl_Clean[[#This Row],[Income]]&lt;=30000,"$10k-30k",tbl_Clean[[#This Row],[Income]]&lt;=60000,"$40k-60k",tbl_Clean[[#This Row],[Income]]&lt;=90000,"$70k-90k",TRUE,"$100k+")</f>
        <v>$70k-90k</v>
      </c>
      <c r="Q721" s="20">
        <f>_xlfn.XMATCH(tbl_Clean[[#This Row],[Income Band]],{"$10k-30k","$40k-60k","$70k-90k","$100k+"})</f>
        <v>3</v>
      </c>
      <c r="R721" s="20" t="str">
        <f>IF(tbl_Clean[[#This Row],[Cars]]&lt;=1,"0-1 Cars","2+ Cars")</f>
        <v>0-1 Cars</v>
      </c>
      <c r="S721" s="20">
        <f>_xlfn.XMATCH(tbl_Clean[[#This Row],[Commute Distance]],{"0-1 Miles","1-2 Miles","2-5 Miles","5-10 Miles","10+ Miles"})</f>
        <v>1</v>
      </c>
      <c r="T721" s="20">
        <f>_xlfn.XMATCH(tbl_Clean[[#This Row],[Education]],{"Partial High School","High School","Partial College","Bachelors","Graduate Degree"})</f>
        <v>5</v>
      </c>
      <c r="U721" s="20">
        <f>IF(tbl_Clean[[#This Row],[Purchased Bike]]="Yes",1,0)</f>
        <v>0</v>
      </c>
    </row>
    <row r="722" spans="1:21" x14ac:dyDescent="0.25">
      <c r="A722" s="20">
        <v>19661</v>
      </c>
      <c r="B722" s="3" t="s">
        <v>114</v>
      </c>
      <c r="C722" s="3" t="s">
        <v>113</v>
      </c>
      <c r="D722" s="19">
        <v>90000</v>
      </c>
      <c r="E722" s="20">
        <v>4</v>
      </c>
      <c r="F722" s="3" t="s">
        <v>15</v>
      </c>
      <c r="G722" s="3" t="s">
        <v>31</v>
      </c>
      <c r="H722" s="3" t="s">
        <v>17</v>
      </c>
      <c r="I722" s="20">
        <v>1</v>
      </c>
      <c r="J722" s="3" t="s">
        <v>29</v>
      </c>
      <c r="K722" s="3" t="s">
        <v>35</v>
      </c>
      <c r="L722" s="20">
        <v>38</v>
      </c>
      <c r="M722" s="3" t="s">
        <v>17</v>
      </c>
      <c r="N722" s="20" t="str" cm="1">
        <f t="array" ref="N722">_xlfn.IFS(tbl_Clean[[#This Row],[Age]]&lt;=30,"25-30",tbl_Clean[[#This Row],[Age]]&lt;=40,"31-40",tbl_Clean[[#This Row],[Age]]&lt;=50,"41-50",tbl_Clean[[#This Row],[Age]]&lt;=60,"51-60",TRUE,"61+")</f>
        <v>31-40</v>
      </c>
      <c r="O722" s="20">
        <f>_xlfn.XMATCH(tbl_Clean[[#This Row],[Age Band]],{"25-30","31-40","41-50","51-60","61+"})</f>
        <v>2</v>
      </c>
      <c r="P722" s="20" t="str" cm="1">
        <f t="array" ref="P722">_xlfn.IFS(tbl_Clean[[#This Row],[Income]]&lt;=30000,"$10k-30k",tbl_Clean[[#This Row],[Income]]&lt;=60000,"$40k-60k",tbl_Clean[[#This Row],[Income]]&lt;=90000,"$70k-90k",TRUE,"$100k+")</f>
        <v>$70k-90k</v>
      </c>
      <c r="Q722" s="20">
        <f>_xlfn.XMATCH(tbl_Clean[[#This Row],[Income Band]],{"$10k-30k","$40k-60k","$70k-90k","$100k+"})</f>
        <v>3</v>
      </c>
      <c r="R722" s="20" t="str">
        <f>IF(tbl_Clean[[#This Row],[Cars]]&lt;=1,"0-1 Cars","2+ Cars")</f>
        <v>0-1 Cars</v>
      </c>
      <c r="S722" s="20">
        <f>_xlfn.XMATCH(tbl_Clean[[#This Row],[Commute Distance]],{"0-1 Miles","1-2 Miles","2-5 Miles","5-10 Miles","10+ Miles"})</f>
        <v>2</v>
      </c>
      <c r="T722" s="20">
        <f>_xlfn.XMATCH(tbl_Clean[[#This Row],[Education]],{"Partial High School","High School","Partial College","Bachelors","Graduate Degree"})</f>
        <v>4</v>
      </c>
      <c r="U722" s="20">
        <f>IF(tbl_Clean[[#This Row],[Purchased Bike]]="Yes",1,0)</f>
        <v>1</v>
      </c>
    </row>
    <row r="723" spans="1:21" x14ac:dyDescent="0.25">
      <c r="A723" s="20">
        <v>26327</v>
      </c>
      <c r="B723" s="3" t="s">
        <v>111</v>
      </c>
      <c r="C723" s="3" t="s">
        <v>113</v>
      </c>
      <c r="D723" s="19">
        <v>70000</v>
      </c>
      <c r="E723" s="20">
        <v>4</v>
      </c>
      <c r="F723" s="3" t="s">
        <v>34</v>
      </c>
      <c r="G723" s="3" t="s">
        <v>23</v>
      </c>
      <c r="H723" s="3" t="s">
        <v>17</v>
      </c>
      <c r="I723" s="20">
        <v>0</v>
      </c>
      <c r="J723" s="3" t="s">
        <v>24</v>
      </c>
      <c r="K723" s="3" t="s">
        <v>35</v>
      </c>
      <c r="L723" s="20">
        <v>36</v>
      </c>
      <c r="M723" s="3" t="s">
        <v>17</v>
      </c>
      <c r="N723" s="20" t="str" cm="1">
        <f t="array" ref="N723">_xlfn.IFS(tbl_Clean[[#This Row],[Age]]&lt;=30,"25-30",tbl_Clean[[#This Row],[Age]]&lt;=40,"31-40",tbl_Clean[[#This Row],[Age]]&lt;=50,"41-50",tbl_Clean[[#This Row],[Age]]&lt;=60,"51-60",TRUE,"61+")</f>
        <v>31-40</v>
      </c>
      <c r="O723" s="20">
        <f>_xlfn.XMATCH(tbl_Clean[[#This Row],[Age Band]],{"25-30","31-40","41-50","51-60","61+"})</f>
        <v>2</v>
      </c>
      <c r="P723" s="20" t="str" cm="1">
        <f t="array" ref="P723">_xlfn.IFS(tbl_Clean[[#This Row],[Income]]&lt;=30000,"$10k-30k",tbl_Clean[[#This Row],[Income]]&lt;=60000,"$40k-60k",tbl_Clean[[#This Row],[Income]]&lt;=90000,"$70k-90k",TRUE,"$100k+")</f>
        <v>$70k-90k</v>
      </c>
      <c r="Q723" s="20">
        <f>_xlfn.XMATCH(tbl_Clean[[#This Row],[Income Band]],{"$10k-30k","$40k-60k","$70k-90k","$100k+"})</f>
        <v>3</v>
      </c>
      <c r="R723" s="20" t="str">
        <f>IF(tbl_Clean[[#This Row],[Cars]]&lt;=1,"0-1 Cars","2+ Cars")</f>
        <v>0-1 Cars</v>
      </c>
      <c r="S723" s="20">
        <f>_xlfn.XMATCH(tbl_Clean[[#This Row],[Commute Distance]],{"0-1 Miles","1-2 Miles","2-5 Miles","5-10 Miles","10+ Miles"})</f>
        <v>3</v>
      </c>
      <c r="T723" s="20">
        <f>_xlfn.XMATCH(tbl_Clean[[#This Row],[Education]],{"Partial High School","High School","Partial College","Bachelors","Graduate Degree"})</f>
        <v>5</v>
      </c>
      <c r="U723" s="20">
        <f>IF(tbl_Clean[[#This Row],[Purchased Bike]]="Yes",1,0)</f>
        <v>1</v>
      </c>
    </row>
    <row r="724" spans="1:21" x14ac:dyDescent="0.25">
      <c r="A724" s="20">
        <v>26341</v>
      </c>
      <c r="B724" s="3" t="s">
        <v>111</v>
      </c>
      <c r="C724" s="3" t="s">
        <v>112</v>
      </c>
      <c r="D724" s="19">
        <v>70000</v>
      </c>
      <c r="E724" s="20">
        <v>5</v>
      </c>
      <c r="F724" s="3" t="s">
        <v>34</v>
      </c>
      <c r="G724" s="3" t="s">
        <v>23</v>
      </c>
      <c r="H724" s="3" t="s">
        <v>17</v>
      </c>
      <c r="I724" s="20">
        <v>2</v>
      </c>
      <c r="J724" s="3" t="s">
        <v>18</v>
      </c>
      <c r="K724" s="3" t="s">
        <v>35</v>
      </c>
      <c r="L724" s="20">
        <v>37</v>
      </c>
      <c r="M724" s="3" t="s">
        <v>20</v>
      </c>
      <c r="N724" s="20" t="str" cm="1">
        <f t="array" ref="N724">_xlfn.IFS(tbl_Clean[[#This Row],[Age]]&lt;=30,"25-30",tbl_Clean[[#This Row],[Age]]&lt;=40,"31-40",tbl_Clean[[#This Row],[Age]]&lt;=50,"41-50",tbl_Clean[[#This Row],[Age]]&lt;=60,"51-60",TRUE,"61+")</f>
        <v>31-40</v>
      </c>
      <c r="O724" s="20">
        <f>_xlfn.XMATCH(tbl_Clean[[#This Row],[Age Band]],{"25-30","31-40","41-50","51-60","61+"})</f>
        <v>2</v>
      </c>
      <c r="P724" s="20" t="str" cm="1">
        <f t="array" ref="P724">_xlfn.IFS(tbl_Clean[[#This Row],[Income]]&lt;=30000,"$10k-30k",tbl_Clean[[#This Row],[Income]]&lt;=60000,"$40k-60k",tbl_Clean[[#This Row],[Income]]&lt;=90000,"$70k-90k",TRUE,"$100k+")</f>
        <v>$70k-90k</v>
      </c>
      <c r="Q724" s="20">
        <f>_xlfn.XMATCH(tbl_Clean[[#This Row],[Income Band]],{"$10k-30k","$40k-60k","$70k-90k","$100k+"})</f>
        <v>3</v>
      </c>
      <c r="R724" s="20" t="str">
        <f>IF(tbl_Clean[[#This Row],[Cars]]&lt;=1,"0-1 Cars","2+ Cars")</f>
        <v>2+ Cars</v>
      </c>
      <c r="S724" s="20">
        <f>_xlfn.XMATCH(tbl_Clean[[#This Row],[Commute Distance]],{"0-1 Miles","1-2 Miles","2-5 Miles","5-10 Miles","10+ Miles"})</f>
        <v>1</v>
      </c>
      <c r="T724" s="20">
        <f>_xlfn.XMATCH(tbl_Clean[[#This Row],[Education]],{"Partial High School","High School","Partial College","Bachelors","Graduate Degree"})</f>
        <v>5</v>
      </c>
      <c r="U724" s="20">
        <f>IF(tbl_Clean[[#This Row],[Purchased Bike]]="Yes",1,0)</f>
        <v>0</v>
      </c>
    </row>
    <row r="725" spans="1:21" x14ac:dyDescent="0.25">
      <c r="A725" s="20">
        <v>24958</v>
      </c>
      <c r="B725" s="3" t="s">
        <v>114</v>
      </c>
      <c r="C725" s="3" t="s">
        <v>112</v>
      </c>
      <c r="D725" s="19">
        <v>40000</v>
      </c>
      <c r="E725" s="20">
        <v>5</v>
      </c>
      <c r="F725" s="3" t="s">
        <v>30</v>
      </c>
      <c r="G725" s="3" t="s">
        <v>23</v>
      </c>
      <c r="H725" s="3" t="s">
        <v>20</v>
      </c>
      <c r="I725" s="20">
        <v>3</v>
      </c>
      <c r="J725" s="3" t="s">
        <v>24</v>
      </c>
      <c r="K725" s="3" t="s">
        <v>35</v>
      </c>
      <c r="L725" s="20">
        <v>60</v>
      </c>
      <c r="M725" s="3" t="s">
        <v>17</v>
      </c>
      <c r="N725" s="20" t="str" cm="1">
        <f t="array" ref="N725">_xlfn.IFS(tbl_Clean[[#This Row],[Age]]&lt;=30,"25-30",tbl_Clean[[#This Row],[Age]]&lt;=40,"31-40",tbl_Clean[[#This Row],[Age]]&lt;=50,"41-50",tbl_Clean[[#This Row],[Age]]&lt;=60,"51-60",TRUE,"61+")</f>
        <v>51-60</v>
      </c>
      <c r="O725" s="20">
        <f>_xlfn.XMATCH(tbl_Clean[[#This Row],[Age Band]],{"25-30","31-40","41-50","51-60","61+"})</f>
        <v>4</v>
      </c>
      <c r="P725" s="20" t="str" cm="1">
        <f t="array" ref="P725">_xlfn.IFS(tbl_Clean[[#This Row],[Income]]&lt;=30000,"$10k-30k",tbl_Clean[[#This Row],[Income]]&lt;=60000,"$40k-60k",tbl_Clean[[#This Row],[Income]]&lt;=90000,"$70k-90k",TRUE,"$100k+")</f>
        <v>$40k-60k</v>
      </c>
      <c r="Q725" s="20">
        <f>_xlfn.XMATCH(tbl_Clean[[#This Row],[Income Band]],{"$10k-30k","$40k-60k","$70k-90k","$100k+"})</f>
        <v>2</v>
      </c>
      <c r="R725" s="20" t="str">
        <f>IF(tbl_Clean[[#This Row],[Cars]]&lt;=1,"0-1 Cars","2+ Cars")</f>
        <v>2+ Cars</v>
      </c>
      <c r="S725" s="20">
        <f>_xlfn.XMATCH(tbl_Clean[[#This Row],[Commute Distance]],{"0-1 Miles","1-2 Miles","2-5 Miles","5-10 Miles","10+ Miles"})</f>
        <v>3</v>
      </c>
      <c r="T725" s="20">
        <f>_xlfn.XMATCH(tbl_Clean[[#This Row],[Education]],{"Partial High School","High School","Partial College","Bachelors","Graduate Degree"})</f>
        <v>2</v>
      </c>
      <c r="U725" s="20">
        <f>IF(tbl_Clean[[#This Row],[Purchased Bike]]="Yes",1,0)</f>
        <v>1</v>
      </c>
    </row>
    <row r="726" spans="1:21" x14ac:dyDescent="0.25">
      <c r="A726" s="20">
        <v>13287</v>
      </c>
      <c r="B726" s="3" t="s">
        <v>114</v>
      </c>
      <c r="C726" s="3" t="s">
        <v>113</v>
      </c>
      <c r="D726" s="19">
        <v>110000</v>
      </c>
      <c r="E726" s="20">
        <v>4</v>
      </c>
      <c r="F726" s="3" t="s">
        <v>15</v>
      </c>
      <c r="G726" s="3" t="s">
        <v>31</v>
      </c>
      <c r="H726" s="3" t="s">
        <v>17</v>
      </c>
      <c r="I726" s="20">
        <v>4</v>
      </c>
      <c r="J726" s="3" t="s">
        <v>26</v>
      </c>
      <c r="K726" s="3" t="s">
        <v>35</v>
      </c>
      <c r="L726" s="20">
        <v>42</v>
      </c>
      <c r="M726" s="3" t="s">
        <v>17</v>
      </c>
      <c r="N726" s="20" t="str" cm="1">
        <f t="array" ref="N726">_xlfn.IFS(tbl_Clean[[#This Row],[Age]]&lt;=30,"25-30",tbl_Clean[[#This Row],[Age]]&lt;=40,"31-40",tbl_Clean[[#This Row],[Age]]&lt;=50,"41-50",tbl_Clean[[#This Row],[Age]]&lt;=60,"51-60",TRUE,"61+")</f>
        <v>41-50</v>
      </c>
      <c r="O726" s="20">
        <f>_xlfn.XMATCH(tbl_Clean[[#This Row],[Age Band]],{"25-30","31-40","41-50","51-60","61+"})</f>
        <v>3</v>
      </c>
      <c r="P726" s="20" t="str" cm="1">
        <f t="array" ref="P726">_xlfn.IFS(tbl_Clean[[#This Row],[Income]]&lt;=30000,"$10k-30k",tbl_Clean[[#This Row],[Income]]&lt;=60000,"$40k-60k",tbl_Clean[[#This Row],[Income]]&lt;=90000,"$70k-90k",TRUE,"$100k+")</f>
        <v>$100k+</v>
      </c>
      <c r="Q726" s="20">
        <f>_xlfn.XMATCH(tbl_Clean[[#This Row],[Income Band]],{"$10k-30k","$40k-60k","$70k-90k","$100k+"})</f>
        <v>4</v>
      </c>
      <c r="R726" s="20" t="str">
        <f>IF(tbl_Clean[[#This Row],[Cars]]&lt;=1,"0-1 Cars","2+ Cars")</f>
        <v>2+ Cars</v>
      </c>
      <c r="S726" s="20">
        <f>_xlfn.XMATCH(tbl_Clean[[#This Row],[Commute Distance]],{"0-1 Miles","1-2 Miles","2-5 Miles","5-10 Miles","10+ Miles"})</f>
        <v>4</v>
      </c>
      <c r="T726" s="20">
        <f>_xlfn.XMATCH(tbl_Clean[[#This Row],[Education]],{"Partial High School","High School","Partial College","Bachelors","Graduate Degree"})</f>
        <v>4</v>
      </c>
      <c r="U726" s="20">
        <f>IF(tbl_Clean[[#This Row],[Purchased Bike]]="Yes",1,0)</f>
        <v>1</v>
      </c>
    </row>
    <row r="727" spans="1:21" x14ac:dyDescent="0.25">
      <c r="A727" s="20">
        <v>14493</v>
      </c>
      <c r="B727" s="3" t="s">
        <v>114</v>
      </c>
      <c r="C727" s="3" t="s">
        <v>112</v>
      </c>
      <c r="D727" s="19">
        <v>70000</v>
      </c>
      <c r="E727" s="20">
        <v>3</v>
      </c>
      <c r="F727" s="3" t="s">
        <v>34</v>
      </c>
      <c r="G727" s="3" t="s">
        <v>31</v>
      </c>
      <c r="H727" s="3" t="s">
        <v>20</v>
      </c>
      <c r="I727" s="20">
        <v>2</v>
      </c>
      <c r="J727" s="3" t="s">
        <v>29</v>
      </c>
      <c r="K727" s="3" t="s">
        <v>35</v>
      </c>
      <c r="L727" s="20">
        <v>53</v>
      </c>
      <c r="M727" s="3" t="s">
        <v>20</v>
      </c>
      <c r="N727" s="20" t="str" cm="1">
        <f t="array" ref="N727">_xlfn.IFS(tbl_Clean[[#This Row],[Age]]&lt;=30,"25-30",tbl_Clean[[#This Row],[Age]]&lt;=40,"31-40",tbl_Clean[[#This Row],[Age]]&lt;=50,"41-50",tbl_Clean[[#This Row],[Age]]&lt;=60,"51-60",TRUE,"61+")</f>
        <v>51-60</v>
      </c>
      <c r="O727" s="20">
        <f>_xlfn.XMATCH(tbl_Clean[[#This Row],[Age Band]],{"25-30","31-40","41-50","51-60","61+"})</f>
        <v>4</v>
      </c>
      <c r="P727" s="20" t="str" cm="1">
        <f t="array" ref="P727">_xlfn.IFS(tbl_Clean[[#This Row],[Income]]&lt;=30000,"$10k-30k",tbl_Clean[[#This Row],[Income]]&lt;=60000,"$40k-60k",tbl_Clean[[#This Row],[Income]]&lt;=90000,"$70k-90k",TRUE,"$100k+")</f>
        <v>$70k-90k</v>
      </c>
      <c r="Q727" s="20">
        <f>_xlfn.XMATCH(tbl_Clean[[#This Row],[Income Band]],{"$10k-30k","$40k-60k","$70k-90k","$100k+"})</f>
        <v>3</v>
      </c>
      <c r="R727" s="20" t="str">
        <f>IF(tbl_Clean[[#This Row],[Cars]]&lt;=1,"0-1 Cars","2+ Cars")</f>
        <v>2+ Cars</v>
      </c>
      <c r="S727" s="20">
        <f>_xlfn.XMATCH(tbl_Clean[[#This Row],[Commute Distance]],{"0-1 Miles","1-2 Miles","2-5 Miles","5-10 Miles","10+ Miles"})</f>
        <v>2</v>
      </c>
      <c r="T727" s="20">
        <f>_xlfn.XMATCH(tbl_Clean[[#This Row],[Education]],{"Partial High School","High School","Partial College","Bachelors","Graduate Degree"})</f>
        <v>5</v>
      </c>
      <c r="U727" s="20">
        <f>IF(tbl_Clean[[#This Row],[Purchased Bike]]="Yes",1,0)</f>
        <v>0</v>
      </c>
    </row>
    <row r="728" spans="1:21" x14ac:dyDescent="0.25">
      <c r="A728" s="20">
        <v>26678</v>
      </c>
      <c r="B728" s="3" t="s">
        <v>114</v>
      </c>
      <c r="C728" s="3" t="s">
        <v>112</v>
      </c>
      <c r="D728" s="19">
        <v>80000</v>
      </c>
      <c r="E728" s="20">
        <v>2</v>
      </c>
      <c r="F728" s="3" t="s">
        <v>32</v>
      </c>
      <c r="G728" s="3" t="s">
        <v>16</v>
      </c>
      <c r="H728" s="3" t="s">
        <v>17</v>
      </c>
      <c r="I728" s="20">
        <v>2</v>
      </c>
      <c r="J728" s="3" t="s">
        <v>26</v>
      </c>
      <c r="K728" s="3" t="s">
        <v>35</v>
      </c>
      <c r="L728" s="20">
        <v>49</v>
      </c>
      <c r="M728" s="3" t="s">
        <v>20</v>
      </c>
      <c r="N728" s="20" t="str" cm="1">
        <f t="array" ref="N728">_xlfn.IFS(tbl_Clean[[#This Row],[Age]]&lt;=30,"25-30",tbl_Clean[[#This Row],[Age]]&lt;=40,"31-40",tbl_Clean[[#This Row],[Age]]&lt;=50,"41-50",tbl_Clean[[#This Row],[Age]]&lt;=60,"51-60",TRUE,"61+")</f>
        <v>41-50</v>
      </c>
      <c r="O728" s="20">
        <f>_xlfn.XMATCH(tbl_Clean[[#This Row],[Age Band]],{"25-30","31-40","41-50","51-60","61+"})</f>
        <v>3</v>
      </c>
      <c r="P728" s="20" t="str" cm="1">
        <f t="array" ref="P728">_xlfn.IFS(tbl_Clean[[#This Row],[Income]]&lt;=30000,"$10k-30k",tbl_Clean[[#This Row],[Income]]&lt;=60000,"$40k-60k",tbl_Clean[[#This Row],[Income]]&lt;=90000,"$70k-90k",TRUE,"$100k+")</f>
        <v>$70k-90k</v>
      </c>
      <c r="Q728" s="20">
        <f>_xlfn.XMATCH(tbl_Clean[[#This Row],[Income Band]],{"$10k-30k","$40k-60k","$70k-90k","$100k+"})</f>
        <v>3</v>
      </c>
      <c r="R728" s="20" t="str">
        <f>IF(tbl_Clean[[#This Row],[Cars]]&lt;=1,"0-1 Cars","2+ Cars")</f>
        <v>2+ Cars</v>
      </c>
      <c r="S728" s="20">
        <f>_xlfn.XMATCH(tbl_Clean[[#This Row],[Commute Distance]],{"0-1 Miles","1-2 Miles","2-5 Miles","5-10 Miles","10+ Miles"})</f>
        <v>4</v>
      </c>
      <c r="T728" s="20">
        <f>_xlfn.XMATCH(tbl_Clean[[#This Row],[Education]],{"Partial High School","High School","Partial College","Bachelors","Graduate Degree"})</f>
        <v>1</v>
      </c>
      <c r="U728" s="20">
        <f>IF(tbl_Clean[[#This Row],[Purchased Bike]]="Yes",1,0)</f>
        <v>0</v>
      </c>
    </row>
    <row r="729" spans="1:21" x14ac:dyDescent="0.25">
      <c r="A729" s="20">
        <v>23275</v>
      </c>
      <c r="B729" s="3" t="s">
        <v>111</v>
      </c>
      <c r="C729" s="3" t="s">
        <v>113</v>
      </c>
      <c r="D729" s="19">
        <v>30000</v>
      </c>
      <c r="E729" s="20">
        <v>2</v>
      </c>
      <c r="F729" s="3" t="s">
        <v>30</v>
      </c>
      <c r="G729" s="3" t="s">
        <v>16</v>
      </c>
      <c r="H729" s="3" t="s">
        <v>17</v>
      </c>
      <c r="I729" s="20">
        <v>2</v>
      </c>
      <c r="J729" s="3" t="s">
        <v>29</v>
      </c>
      <c r="K729" s="3" t="s">
        <v>35</v>
      </c>
      <c r="L729" s="20">
        <v>49</v>
      </c>
      <c r="M729" s="3" t="s">
        <v>20</v>
      </c>
      <c r="N729" s="20" t="str" cm="1">
        <f t="array" ref="N729">_xlfn.IFS(tbl_Clean[[#This Row],[Age]]&lt;=30,"25-30",tbl_Clean[[#This Row],[Age]]&lt;=40,"31-40",tbl_Clean[[#This Row],[Age]]&lt;=50,"41-50",tbl_Clean[[#This Row],[Age]]&lt;=60,"51-60",TRUE,"61+")</f>
        <v>41-50</v>
      </c>
      <c r="O729" s="20">
        <f>_xlfn.XMATCH(tbl_Clean[[#This Row],[Age Band]],{"25-30","31-40","41-50","51-60","61+"})</f>
        <v>3</v>
      </c>
      <c r="P729" s="20" t="str" cm="1">
        <f t="array" ref="P729">_xlfn.IFS(tbl_Clean[[#This Row],[Income]]&lt;=30000,"$10k-30k",tbl_Clean[[#This Row],[Income]]&lt;=60000,"$40k-60k",tbl_Clean[[#This Row],[Income]]&lt;=90000,"$70k-90k",TRUE,"$100k+")</f>
        <v>$10k-30k</v>
      </c>
      <c r="Q729" s="20">
        <f>_xlfn.XMATCH(tbl_Clean[[#This Row],[Income Band]],{"$10k-30k","$40k-60k","$70k-90k","$100k+"})</f>
        <v>1</v>
      </c>
      <c r="R729" s="20" t="str">
        <f>IF(tbl_Clean[[#This Row],[Cars]]&lt;=1,"0-1 Cars","2+ Cars")</f>
        <v>2+ Cars</v>
      </c>
      <c r="S729" s="20">
        <f>_xlfn.XMATCH(tbl_Clean[[#This Row],[Commute Distance]],{"0-1 Miles","1-2 Miles","2-5 Miles","5-10 Miles","10+ Miles"})</f>
        <v>2</v>
      </c>
      <c r="T729" s="20">
        <f>_xlfn.XMATCH(tbl_Clean[[#This Row],[Education]],{"Partial High School","High School","Partial College","Bachelors","Graduate Degree"})</f>
        <v>2</v>
      </c>
      <c r="U729" s="20">
        <f>IF(tbl_Clean[[#This Row],[Purchased Bike]]="Yes",1,0)</f>
        <v>0</v>
      </c>
    </row>
    <row r="730" spans="1:21" x14ac:dyDescent="0.25">
      <c r="A730" s="20">
        <v>11270</v>
      </c>
      <c r="B730" s="3" t="s">
        <v>111</v>
      </c>
      <c r="C730" s="3" t="s">
        <v>113</v>
      </c>
      <c r="D730" s="19">
        <v>130000</v>
      </c>
      <c r="E730" s="20">
        <v>2</v>
      </c>
      <c r="F730" s="3" t="s">
        <v>34</v>
      </c>
      <c r="G730" s="3" t="s">
        <v>31</v>
      </c>
      <c r="H730" s="3" t="s">
        <v>17</v>
      </c>
      <c r="I730" s="20">
        <v>3</v>
      </c>
      <c r="J730" s="3" t="s">
        <v>18</v>
      </c>
      <c r="K730" s="3" t="s">
        <v>35</v>
      </c>
      <c r="L730" s="20">
        <v>42</v>
      </c>
      <c r="M730" s="3" t="s">
        <v>17</v>
      </c>
      <c r="N730" s="20" t="str" cm="1">
        <f t="array" ref="N730">_xlfn.IFS(tbl_Clean[[#This Row],[Age]]&lt;=30,"25-30",tbl_Clean[[#This Row],[Age]]&lt;=40,"31-40",tbl_Clean[[#This Row],[Age]]&lt;=50,"41-50",tbl_Clean[[#This Row],[Age]]&lt;=60,"51-60",TRUE,"61+")</f>
        <v>41-50</v>
      </c>
      <c r="O730" s="20">
        <f>_xlfn.XMATCH(tbl_Clean[[#This Row],[Age Band]],{"25-30","31-40","41-50","51-60","61+"})</f>
        <v>3</v>
      </c>
      <c r="P730" s="20" t="str" cm="1">
        <f t="array" ref="P730">_xlfn.IFS(tbl_Clean[[#This Row],[Income]]&lt;=30000,"$10k-30k",tbl_Clean[[#This Row],[Income]]&lt;=60000,"$40k-60k",tbl_Clean[[#This Row],[Income]]&lt;=90000,"$70k-90k",TRUE,"$100k+")</f>
        <v>$100k+</v>
      </c>
      <c r="Q730" s="20">
        <f>_xlfn.XMATCH(tbl_Clean[[#This Row],[Income Band]],{"$10k-30k","$40k-60k","$70k-90k","$100k+"})</f>
        <v>4</v>
      </c>
      <c r="R730" s="20" t="str">
        <f>IF(tbl_Clean[[#This Row],[Cars]]&lt;=1,"0-1 Cars","2+ Cars")</f>
        <v>2+ Cars</v>
      </c>
      <c r="S730" s="20">
        <f>_xlfn.XMATCH(tbl_Clean[[#This Row],[Commute Distance]],{"0-1 Miles","1-2 Miles","2-5 Miles","5-10 Miles","10+ Miles"})</f>
        <v>1</v>
      </c>
      <c r="T730" s="20">
        <f>_xlfn.XMATCH(tbl_Clean[[#This Row],[Education]],{"Partial High School","High School","Partial College","Bachelors","Graduate Degree"})</f>
        <v>5</v>
      </c>
      <c r="U730" s="20">
        <f>IF(tbl_Clean[[#This Row],[Purchased Bike]]="Yes",1,0)</f>
        <v>1</v>
      </c>
    </row>
    <row r="731" spans="1:21" x14ac:dyDescent="0.25">
      <c r="A731" s="20">
        <v>20084</v>
      </c>
      <c r="B731" s="3" t="s">
        <v>111</v>
      </c>
      <c r="C731" s="3" t="s">
        <v>113</v>
      </c>
      <c r="D731" s="19">
        <v>20000</v>
      </c>
      <c r="E731" s="20">
        <v>2</v>
      </c>
      <c r="F731" s="3" t="s">
        <v>30</v>
      </c>
      <c r="G731" s="3" t="s">
        <v>28</v>
      </c>
      <c r="H731" s="3" t="s">
        <v>20</v>
      </c>
      <c r="I731" s="20">
        <v>2</v>
      </c>
      <c r="J731" s="3" t="s">
        <v>18</v>
      </c>
      <c r="K731" s="3" t="s">
        <v>35</v>
      </c>
      <c r="L731" s="20">
        <v>53</v>
      </c>
      <c r="M731" s="3" t="s">
        <v>20</v>
      </c>
      <c r="N731" s="20" t="str" cm="1">
        <f t="array" ref="N731">_xlfn.IFS(tbl_Clean[[#This Row],[Age]]&lt;=30,"25-30",tbl_Clean[[#This Row],[Age]]&lt;=40,"31-40",tbl_Clean[[#This Row],[Age]]&lt;=50,"41-50",tbl_Clean[[#This Row],[Age]]&lt;=60,"51-60",TRUE,"61+")</f>
        <v>51-60</v>
      </c>
      <c r="O731" s="20">
        <f>_xlfn.XMATCH(tbl_Clean[[#This Row],[Age Band]],{"25-30","31-40","41-50","51-60","61+"})</f>
        <v>4</v>
      </c>
      <c r="P731" s="20" t="str" cm="1">
        <f t="array" ref="P731">_xlfn.IFS(tbl_Clean[[#This Row],[Income]]&lt;=30000,"$10k-30k",tbl_Clean[[#This Row],[Income]]&lt;=60000,"$40k-60k",tbl_Clean[[#This Row],[Income]]&lt;=90000,"$70k-90k",TRUE,"$100k+")</f>
        <v>$10k-30k</v>
      </c>
      <c r="Q731" s="20">
        <f>_xlfn.XMATCH(tbl_Clean[[#This Row],[Income Band]],{"$10k-30k","$40k-60k","$70k-90k","$100k+"})</f>
        <v>1</v>
      </c>
      <c r="R731" s="20" t="str">
        <f>IF(tbl_Clean[[#This Row],[Cars]]&lt;=1,"0-1 Cars","2+ Cars")</f>
        <v>2+ Cars</v>
      </c>
      <c r="S731" s="20">
        <f>_xlfn.XMATCH(tbl_Clean[[#This Row],[Commute Distance]],{"0-1 Miles","1-2 Miles","2-5 Miles","5-10 Miles","10+ Miles"})</f>
        <v>1</v>
      </c>
      <c r="T731" s="20">
        <f>_xlfn.XMATCH(tbl_Clean[[#This Row],[Education]],{"Partial High School","High School","Partial College","Bachelors","Graduate Degree"})</f>
        <v>2</v>
      </c>
      <c r="U731" s="20">
        <f>IF(tbl_Clean[[#This Row],[Purchased Bike]]="Yes",1,0)</f>
        <v>0</v>
      </c>
    </row>
    <row r="732" spans="1:21" x14ac:dyDescent="0.25">
      <c r="A732" s="20">
        <v>16144</v>
      </c>
      <c r="B732" s="3" t="s">
        <v>111</v>
      </c>
      <c r="C732" s="3" t="s">
        <v>113</v>
      </c>
      <c r="D732" s="19">
        <v>70000</v>
      </c>
      <c r="E732" s="20">
        <v>1</v>
      </c>
      <c r="F732" s="3" t="s">
        <v>34</v>
      </c>
      <c r="G732" s="3" t="s">
        <v>23</v>
      </c>
      <c r="H732" s="3" t="s">
        <v>17</v>
      </c>
      <c r="I732" s="20">
        <v>1</v>
      </c>
      <c r="J732" s="3" t="s">
        <v>18</v>
      </c>
      <c r="K732" s="3" t="s">
        <v>35</v>
      </c>
      <c r="L732" s="20">
        <v>46</v>
      </c>
      <c r="M732" s="3" t="s">
        <v>17</v>
      </c>
      <c r="N732" s="20" t="str" cm="1">
        <f t="array" ref="N732">_xlfn.IFS(tbl_Clean[[#This Row],[Age]]&lt;=30,"25-30",tbl_Clean[[#This Row],[Age]]&lt;=40,"31-40",tbl_Clean[[#This Row],[Age]]&lt;=50,"41-50",tbl_Clean[[#This Row],[Age]]&lt;=60,"51-60",TRUE,"61+")</f>
        <v>41-50</v>
      </c>
      <c r="O732" s="20">
        <f>_xlfn.XMATCH(tbl_Clean[[#This Row],[Age Band]],{"25-30","31-40","41-50","51-60","61+"})</f>
        <v>3</v>
      </c>
      <c r="P732" s="20" t="str" cm="1">
        <f t="array" ref="P732">_xlfn.IFS(tbl_Clean[[#This Row],[Income]]&lt;=30000,"$10k-30k",tbl_Clean[[#This Row],[Income]]&lt;=60000,"$40k-60k",tbl_Clean[[#This Row],[Income]]&lt;=90000,"$70k-90k",TRUE,"$100k+")</f>
        <v>$70k-90k</v>
      </c>
      <c r="Q732" s="20">
        <f>_xlfn.XMATCH(tbl_Clean[[#This Row],[Income Band]],{"$10k-30k","$40k-60k","$70k-90k","$100k+"})</f>
        <v>3</v>
      </c>
      <c r="R732" s="20" t="str">
        <f>IF(tbl_Clean[[#This Row],[Cars]]&lt;=1,"0-1 Cars","2+ Cars")</f>
        <v>0-1 Cars</v>
      </c>
      <c r="S732" s="20">
        <f>_xlfn.XMATCH(tbl_Clean[[#This Row],[Commute Distance]],{"0-1 Miles","1-2 Miles","2-5 Miles","5-10 Miles","10+ Miles"})</f>
        <v>1</v>
      </c>
      <c r="T732" s="20">
        <f>_xlfn.XMATCH(tbl_Clean[[#This Row],[Education]],{"Partial High School","High School","Partial College","Bachelors","Graduate Degree"})</f>
        <v>5</v>
      </c>
      <c r="U732" s="20">
        <f>IF(tbl_Clean[[#This Row],[Purchased Bike]]="Yes",1,0)</f>
        <v>1</v>
      </c>
    </row>
    <row r="733" spans="1:21" x14ac:dyDescent="0.25">
      <c r="A733" s="20">
        <v>27731</v>
      </c>
      <c r="B733" s="3" t="s">
        <v>111</v>
      </c>
      <c r="C733" s="3" t="s">
        <v>113</v>
      </c>
      <c r="D733" s="19">
        <v>40000</v>
      </c>
      <c r="E733" s="20">
        <v>0</v>
      </c>
      <c r="F733" s="3" t="s">
        <v>30</v>
      </c>
      <c r="G733" s="3" t="s">
        <v>16</v>
      </c>
      <c r="H733" s="3" t="s">
        <v>17</v>
      </c>
      <c r="I733" s="20">
        <v>2</v>
      </c>
      <c r="J733" s="3" t="s">
        <v>26</v>
      </c>
      <c r="K733" s="3" t="s">
        <v>35</v>
      </c>
      <c r="L733" s="20">
        <v>27</v>
      </c>
      <c r="M733" s="3" t="s">
        <v>20</v>
      </c>
      <c r="N733" s="20" t="str" cm="1">
        <f t="array" ref="N733">_xlfn.IFS(tbl_Clean[[#This Row],[Age]]&lt;=30,"25-30",tbl_Clean[[#This Row],[Age]]&lt;=40,"31-40",tbl_Clean[[#This Row],[Age]]&lt;=50,"41-50",tbl_Clean[[#This Row],[Age]]&lt;=60,"51-60",TRUE,"61+")</f>
        <v>25-30</v>
      </c>
      <c r="O733" s="20">
        <f>_xlfn.XMATCH(tbl_Clean[[#This Row],[Age Band]],{"25-30","31-40","41-50","51-60","61+"})</f>
        <v>1</v>
      </c>
      <c r="P733" s="20" t="str" cm="1">
        <f t="array" ref="P733">_xlfn.IFS(tbl_Clean[[#This Row],[Income]]&lt;=30000,"$10k-30k",tbl_Clean[[#This Row],[Income]]&lt;=60000,"$40k-60k",tbl_Clean[[#This Row],[Income]]&lt;=90000,"$70k-90k",TRUE,"$100k+")</f>
        <v>$40k-60k</v>
      </c>
      <c r="Q733" s="20">
        <f>_xlfn.XMATCH(tbl_Clean[[#This Row],[Income Band]],{"$10k-30k","$40k-60k","$70k-90k","$100k+"})</f>
        <v>2</v>
      </c>
      <c r="R733" s="20" t="str">
        <f>IF(tbl_Clean[[#This Row],[Cars]]&lt;=1,"0-1 Cars","2+ Cars")</f>
        <v>2+ Cars</v>
      </c>
      <c r="S733" s="20">
        <f>_xlfn.XMATCH(tbl_Clean[[#This Row],[Commute Distance]],{"0-1 Miles","1-2 Miles","2-5 Miles","5-10 Miles","10+ Miles"})</f>
        <v>4</v>
      </c>
      <c r="T733" s="20">
        <f>_xlfn.XMATCH(tbl_Clean[[#This Row],[Education]],{"Partial High School","High School","Partial College","Bachelors","Graduate Degree"})</f>
        <v>2</v>
      </c>
      <c r="U733" s="20">
        <f>IF(tbl_Clean[[#This Row],[Purchased Bike]]="Yes",1,0)</f>
        <v>0</v>
      </c>
    </row>
    <row r="734" spans="1:21" x14ac:dyDescent="0.25">
      <c r="A734" s="20">
        <v>11886</v>
      </c>
      <c r="B734" s="3" t="s">
        <v>111</v>
      </c>
      <c r="C734" s="3" t="s">
        <v>112</v>
      </c>
      <c r="D734" s="19">
        <v>60000</v>
      </c>
      <c r="E734" s="20">
        <v>3</v>
      </c>
      <c r="F734" s="3" t="s">
        <v>15</v>
      </c>
      <c r="G734" s="3" t="s">
        <v>23</v>
      </c>
      <c r="H734" s="3" t="s">
        <v>17</v>
      </c>
      <c r="I734" s="20">
        <v>1</v>
      </c>
      <c r="J734" s="3" t="s">
        <v>18</v>
      </c>
      <c r="K734" s="3" t="s">
        <v>35</v>
      </c>
      <c r="L734" s="20">
        <v>48</v>
      </c>
      <c r="M734" s="3" t="s">
        <v>17</v>
      </c>
      <c r="N734" s="20" t="str" cm="1">
        <f t="array" ref="N734">_xlfn.IFS(tbl_Clean[[#This Row],[Age]]&lt;=30,"25-30",tbl_Clean[[#This Row],[Age]]&lt;=40,"31-40",tbl_Clean[[#This Row],[Age]]&lt;=50,"41-50",tbl_Clean[[#This Row],[Age]]&lt;=60,"51-60",TRUE,"61+")</f>
        <v>41-50</v>
      </c>
      <c r="O734" s="20">
        <f>_xlfn.XMATCH(tbl_Clean[[#This Row],[Age Band]],{"25-30","31-40","41-50","51-60","61+"})</f>
        <v>3</v>
      </c>
      <c r="P734" s="20" t="str" cm="1">
        <f t="array" ref="P734">_xlfn.IFS(tbl_Clean[[#This Row],[Income]]&lt;=30000,"$10k-30k",tbl_Clean[[#This Row],[Income]]&lt;=60000,"$40k-60k",tbl_Clean[[#This Row],[Income]]&lt;=90000,"$70k-90k",TRUE,"$100k+")</f>
        <v>$40k-60k</v>
      </c>
      <c r="Q734" s="20">
        <f>_xlfn.XMATCH(tbl_Clean[[#This Row],[Income Band]],{"$10k-30k","$40k-60k","$70k-90k","$100k+"})</f>
        <v>2</v>
      </c>
      <c r="R734" s="20" t="str">
        <f>IF(tbl_Clean[[#This Row],[Cars]]&lt;=1,"0-1 Cars","2+ Cars")</f>
        <v>0-1 Cars</v>
      </c>
      <c r="S734" s="20">
        <f>_xlfn.XMATCH(tbl_Clean[[#This Row],[Commute Distance]],{"0-1 Miles","1-2 Miles","2-5 Miles","5-10 Miles","10+ Miles"})</f>
        <v>1</v>
      </c>
      <c r="T734" s="20">
        <f>_xlfn.XMATCH(tbl_Clean[[#This Row],[Education]],{"Partial High School","High School","Partial College","Bachelors","Graduate Degree"})</f>
        <v>4</v>
      </c>
      <c r="U734" s="20">
        <f>IF(tbl_Clean[[#This Row],[Purchased Bike]]="Yes",1,0)</f>
        <v>1</v>
      </c>
    </row>
    <row r="735" spans="1:21" x14ac:dyDescent="0.25">
      <c r="A735" s="20">
        <v>24324</v>
      </c>
      <c r="B735" s="3" t="s">
        <v>114</v>
      </c>
      <c r="C735" s="3" t="s">
        <v>112</v>
      </c>
      <c r="D735" s="19">
        <v>60000</v>
      </c>
      <c r="E735" s="20">
        <v>4</v>
      </c>
      <c r="F735" s="3" t="s">
        <v>15</v>
      </c>
      <c r="G735" s="3" t="s">
        <v>16</v>
      </c>
      <c r="H735" s="3" t="s">
        <v>17</v>
      </c>
      <c r="I735" s="20">
        <v>2</v>
      </c>
      <c r="J735" s="3" t="s">
        <v>24</v>
      </c>
      <c r="K735" s="3" t="s">
        <v>35</v>
      </c>
      <c r="L735" s="20">
        <v>41</v>
      </c>
      <c r="M735" s="3" t="s">
        <v>17</v>
      </c>
      <c r="N735" s="20" t="str" cm="1">
        <f t="array" ref="N735">_xlfn.IFS(tbl_Clean[[#This Row],[Age]]&lt;=30,"25-30",tbl_Clean[[#This Row],[Age]]&lt;=40,"31-40",tbl_Clean[[#This Row],[Age]]&lt;=50,"41-50",tbl_Clean[[#This Row],[Age]]&lt;=60,"51-60",TRUE,"61+")</f>
        <v>41-50</v>
      </c>
      <c r="O735" s="20">
        <f>_xlfn.XMATCH(tbl_Clean[[#This Row],[Age Band]],{"25-30","31-40","41-50","51-60","61+"})</f>
        <v>3</v>
      </c>
      <c r="P735" s="20" t="str" cm="1">
        <f t="array" ref="P735">_xlfn.IFS(tbl_Clean[[#This Row],[Income]]&lt;=30000,"$10k-30k",tbl_Clean[[#This Row],[Income]]&lt;=60000,"$40k-60k",tbl_Clean[[#This Row],[Income]]&lt;=90000,"$70k-90k",TRUE,"$100k+")</f>
        <v>$40k-60k</v>
      </c>
      <c r="Q735" s="20">
        <f>_xlfn.XMATCH(tbl_Clean[[#This Row],[Income Band]],{"$10k-30k","$40k-60k","$70k-90k","$100k+"})</f>
        <v>2</v>
      </c>
      <c r="R735" s="20" t="str">
        <f>IF(tbl_Clean[[#This Row],[Cars]]&lt;=1,"0-1 Cars","2+ Cars")</f>
        <v>2+ Cars</v>
      </c>
      <c r="S735" s="20">
        <f>_xlfn.XMATCH(tbl_Clean[[#This Row],[Commute Distance]],{"0-1 Miles","1-2 Miles","2-5 Miles","5-10 Miles","10+ Miles"})</f>
        <v>3</v>
      </c>
      <c r="T735" s="20">
        <f>_xlfn.XMATCH(tbl_Clean[[#This Row],[Education]],{"Partial High School","High School","Partial College","Bachelors","Graduate Degree"})</f>
        <v>4</v>
      </c>
      <c r="U735" s="20">
        <f>IF(tbl_Clean[[#This Row],[Purchased Bike]]="Yes",1,0)</f>
        <v>1</v>
      </c>
    </row>
    <row r="736" spans="1:21" x14ac:dyDescent="0.25">
      <c r="A736" s="20">
        <v>22220</v>
      </c>
      <c r="B736" s="3" t="s">
        <v>111</v>
      </c>
      <c r="C736" s="3" t="s">
        <v>113</v>
      </c>
      <c r="D736" s="19">
        <v>60000</v>
      </c>
      <c r="E736" s="20">
        <v>2</v>
      </c>
      <c r="F736" s="3" t="s">
        <v>30</v>
      </c>
      <c r="G736" s="3" t="s">
        <v>23</v>
      </c>
      <c r="H736" s="3" t="s">
        <v>20</v>
      </c>
      <c r="I736" s="20">
        <v>2</v>
      </c>
      <c r="J736" s="3" t="s">
        <v>29</v>
      </c>
      <c r="K736" s="3" t="s">
        <v>35</v>
      </c>
      <c r="L736" s="20">
        <v>49</v>
      </c>
      <c r="M736" s="3" t="s">
        <v>17</v>
      </c>
      <c r="N736" s="20" t="str" cm="1">
        <f t="array" ref="N736">_xlfn.IFS(tbl_Clean[[#This Row],[Age]]&lt;=30,"25-30",tbl_Clean[[#This Row],[Age]]&lt;=40,"31-40",tbl_Clean[[#This Row],[Age]]&lt;=50,"41-50",tbl_Clean[[#This Row],[Age]]&lt;=60,"51-60",TRUE,"61+")</f>
        <v>41-50</v>
      </c>
      <c r="O736" s="20">
        <f>_xlfn.XMATCH(tbl_Clean[[#This Row],[Age Band]],{"25-30","31-40","41-50","51-60","61+"})</f>
        <v>3</v>
      </c>
      <c r="P736" s="20" t="str" cm="1">
        <f t="array" ref="P736">_xlfn.IFS(tbl_Clean[[#This Row],[Income]]&lt;=30000,"$10k-30k",tbl_Clean[[#This Row],[Income]]&lt;=60000,"$40k-60k",tbl_Clean[[#This Row],[Income]]&lt;=90000,"$70k-90k",TRUE,"$100k+")</f>
        <v>$40k-60k</v>
      </c>
      <c r="Q736" s="20">
        <f>_xlfn.XMATCH(tbl_Clean[[#This Row],[Income Band]],{"$10k-30k","$40k-60k","$70k-90k","$100k+"})</f>
        <v>2</v>
      </c>
      <c r="R736" s="20" t="str">
        <f>IF(tbl_Clean[[#This Row],[Cars]]&lt;=1,"0-1 Cars","2+ Cars")</f>
        <v>2+ Cars</v>
      </c>
      <c r="S736" s="20">
        <f>_xlfn.XMATCH(tbl_Clean[[#This Row],[Commute Distance]],{"0-1 Miles","1-2 Miles","2-5 Miles","5-10 Miles","10+ Miles"})</f>
        <v>2</v>
      </c>
      <c r="T736" s="20">
        <f>_xlfn.XMATCH(tbl_Clean[[#This Row],[Education]],{"Partial High School","High School","Partial College","Bachelors","Graduate Degree"})</f>
        <v>2</v>
      </c>
      <c r="U736" s="20">
        <f>IF(tbl_Clean[[#This Row],[Purchased Bike]]="Yes",1,0)</f>
        <v>1</v>
      </c>
    </row>
    <row r="737" spans="1:21" x14ac:dyDescent="0.25">
      <c r="A737" s="20">
        <v>26625</v>
      </c>
      <c r="B737" s="3" t="s">
        <v>114</v>
      </c>
      <c r="C737" s="3" t="s">
        <v>112</v>
      </c>
      <c r="D737" s="19">
        <v>60000</v>
      </c>
      <c r="E737" s="20">
        <v>0</v>
      </c>
      <c r="F737" s="3" t="s">
        <v>34</v>
      </c>
      <c r="G737" s="3" t="s">
        <v>23</v>
      </c>
      <c r="H737" s="3" t="s">
        <v>17</v>
      </c>
      <c r="I737" s="20">
        <v>1</v>
      </c>
      <c r="J737" s="3" t="s">
        <v>24</v>
      </c>
      <c r="K737" s="3" t="s">
        <v>35</v>
      </c>
      <c r="L737" s="20">
        <v>38</v>
      </c>
      <c r="M737" s="3" t="s">
        <v>17</v>
      </c>
      <c r="N737" s="20" t="str" cm="1">
        <f t="array" ref="N737">_xlfn.IFS(tbl_Clean[[#This Row],[Age]]&lt;=30,"25-30",tbl_Clean[[#This Row],[Age]]&lt;=40,"31-40",tbl_Clean[[#This Row],[Age]]&lt;=50,"41-50",tbl_Clean[[#This Row],[Age]]&lt;=60,"51-60",TRUE,"61+")</f>
        <v>31-40</v>
      </c>
      <c r="O737" s="20">
        <f>_xlfn.XMATCH(tbl_Clean[[#This Row],[Age Band]],{"25-30","31-40","41-50","51-60","61+"})</f>
        <v>2</v>
      </c>
      <c r="P737" s="20" t="str" cm="1">
        <f t="array" ref="P737">_xlfn.IFS(tbl_Clean[[#This Row],[Income]]&lt;=30000,"$10k-30k",tbl_Clean[[#This Row],[Income]]&lt;=60000,"$40k-60k",tbl_Clean[[#This Row],[Income]]&lt;=90000,"$70k-90k",TRUE,"$100k+")</f>
        <v>$40k-60k</v>
      </c>
      <c r="Q737" s="20">
        <f>_xlfn.XMATCH(tbl_Clean[[#This Row],[Income Band]],{"$10k-30k","$40k-60k","$70k-90k","$100k+"})</f>
        <v>2</v>
      </c>
      <c r="R737" s="20" t="str">
        <f>IF(tbl_Clean[[#This Row],[Cars]]&lt;=1,"0-1 Cars","2+ Cars")</f>
        <v>0-1 Cars</v>
      </c>
      <c r="S737" s="20">
        <f>_xlfn.XMATCH(tbl_Clean[[#This Row],[Commute Distance]],{"0-1 Miles","1-2 Miles","2-5 Miles","5-10 Miles","10+ Miles"})</f>
        <v>3</v>
      </c>
      <c r="T737" s="20">
        <f>_xlfn.XMATCH(tbl_Clean[[#This Row],[Education]],{"Partial High School","High School","Partial College","Bachelors","Graduate Degree"})</f>
        <v>5</v>
      </c>
      <c r="U737" s="20">
        <f>IF(tbl_Clean[[#This Row],[Purchased Bike]]="Yes",1,0)</f>
        <v>1</v>
      </c>
    </row>
    <row r="738" spans="1:21" x14ac:dyDescent="0.25">
      <c r="A738" s="20">
        <v>23027</v>
      </c>
      <c r="B738" s="3" t="s">
        <v>114</v>
      </c>
      <c r="C738" s="3" t="s">
        <v>113</v>
      </c>
      <c r="D738" s="19">
        <v>130000</v>
      </c>
      <c r="E738" s="20">
        <v>1</v>
      </c>
      <c r="F738" s="3" t="s">
        <v>15</v>
      </c>
      <c r="G738" s="3" t="s">
        <v>31</v>
      </c>
      <c r="H738" s="3" t="s">
        <v>20</v>
      </c>
      <c r="I738" s="20">
        <v>4</v>
      </c>
      <c r="J738" s="3" t="s">
        <v>18</v>
      </c>
      <c r="K738" s="3" t="s">
        <v>35</v>
      </c>
      <c r="L738" s="20">
        <v>44</v>
      </c>
      <c r="M738" s="3" t="s">
        <v>20</v>
      </c>
      <c r="N738" s="20" t="str" cm="1">
        <f t="array" ref="N738">_xlfn.IFS(tbl_Clean[[#This Row],[Age]]&lt;=30,"25-30",tbl_Clean[[#This Row],[Age]]&lt;=40,"31-40",tbl_Clean[[#This Row],[Age]]&lt;=50,"41-50",tbl_Clean[[#This Row],[Age]]&lt;=60,"51-60",TRUE,"61+")</f>
        <v>41-50</v>
      </c>
      <c r="O738" s="20">
        <f>_xlfn.XMATCH(tbl_Clean[[#This Row],[Age Band]],{"25-30","31-40","41-50","51-60","61+"})</f>
        <v>3</v>
      </c>
      <c r="P738" s="20" t="str" cm="1">
        <f t="array" ref="P738">_xlfn.IFS(tbl_Clean[[#This Row],[Income]]&lt;=30000,"$10k-30k",tbl_Clean[[#This Row],[Income]]&lt;=60000,"$40k-60k",tbl_Clean[[#This Row],[Income]]&lt;=90000,"$70k-90k",TRUE,"$100k+")</f>
        <v>$100k+</v>
      </c>
      <c r="Q738" s="20">
        <f>_xlfn.XMATCH(tbl_Clean[[#This Row],[Income Band]],{"$10k-30k","$40k-60k","$70k-90k","$100k+"})</f>
        <v>4</v>
      </c>
      <c r="R738" s="20" t="str">
        <f>IF(tbl_Clean[[#This Row],[Cars]]&lt;=1,"0-1 Cars","2+ Cars")</f>
        <v>2+ Cars</v>
      </c>
      <c r="S738" s="20">
        <f>_xlfn.XMATCH(tbl_Clean[[#This Row],[Commute Distance]],{"0-1 Miles","1-2 Miles","2-5 Miles","5-10 Miles","10+ Miles"})</f>
        <v>1</v>
      </c>
      <c r="T738" s="20">
        <f>_xlfn.XMATCH(tbl_Clean[[#This Row],[Education]],{"Partial High School","High School","Partial College","Bachelors","Graduate Degree"})</f>
        <v>4</v>
      </c>
      <c r="U738" s="20">
        <f>IF(tbl_Clean[[#This Row],[Purchased Bike]]="Yes",1,0)</f>
        <v>0</v>
      </c>
    </row>
    <row r="739" spans="1:21" x14ac:dyDescent="0.25">
      <c r="A739" s="20">
        <v>16867</v>
      </c>
      <c r="B739" s="3" t="s">
        <v>114</v>
      </c>
      <c r="C739" s="3" t="s">
        <v>112</v>
      </c>
      <c r="D739" s="19">
        <v>130000</v>
      </c>
      <c r="E739" s="20">
        <v>1</v>
      </c>
      <c r="F739" s="3" t="s">
        <v>15</v>
      </c>
      <c r="G739" s="3" t="s">
        <v>31</v>
      </c>
      <c r="H739" s="3" t="s">
        <v>20</v>
      </c>
      <c r="I739" s="20">
        <v>3</v>
      </c>
      <c r="J739" s="3" t="s">
        <v>18</v>
      </c>
      <c r="K739" s="3" t="s">
        <v>35</v>
      </c>
      <c r="L739" s="20">
        <v>45</v>
      </c>
      <c r="M739" s="3" t="s">
        <v>17</v>
      </c>
      <c r="N739" s="20" t="str" cm="1">
        <f t="array" ref="N739">_xlfn.IFS(tbl_Clean[[#This Row],[Age]]&lt;=30,"25-30",tbl_Clean[[#This Row],[Age]]&lt;=40,"31-40",tbl_Clean[[#This Row],[Age]]&lt;=50,"41-50",tbl_Clean[[#This Row],[Age]]&lt;=60,"51-60",TRUE,"61+")</f>
        <v>41-50</v>
      </c>
      <c r="O739" s="20">
        <f>_xlfn.XMATCH(tbl_Clean[[#This Row],[Age Band]],{"25-30","31-40","41-50","51-60","61+"})</f>
        <v>3</v>
      </c>
      <c r="P739" s="20" t="str" cm="1">
        <f t="array" ref="P739">_xlfn.IFS(tbl_Clean[[#This Row],[Income]]&lt;=30000,"$10k-30k",tbl_Clean[[#This Row],[Income]]&lt;=60000,"$40k-60k",tbl_Clean[[#This Row],[Income]]&lt;=90000,"$70k-90k",TRUE,"$100k+")</f>
        <v>$100k+</v>
      </c>
      <c r="Q739" s="20">
        <f>_xlfn.XMATCH(tbl_Clean[[#This Row],[Income Band]],{"$10k-30k","$40k-60k","$70k-90k","$100k+"})</f>
        <v>4</v>
      </c>
      <c r="R739" s="20" t="str">
        <f>IF(tbl_Clean[[#This Row],[Cars]]&lt;=1,"0-1 Cars","2+ Cars")</f>
        <v>2+ Cars</v>
      </c>
      <c r="S739" s="20">
        <f>_xlfn.XMATCH(tbl_Clean[[#This Row],[Commute Distance]],{"0-1 Miles","1-2 Miles","2-5 Miles","5-10 Miles","10+ Miles"})</f>
        <v>1</v>
      </c>
      <c r="T739" s="20">
        <f>_xlfn.XMATCH(tbl_Clean[[#This Row],[Education]],{"Partial High School","High School","Partial College","Bachelors","Graduate Degree"})</f>
        <v>4</v>
      </c>
      <c r="U739" s="20">
        <f>IF(tbl_Clean[[#This Row],[Purchased Bike]]="Yes",1,0)</f>
        <v>1</v>
      </c>
    </row>
    <row r="740" spans="1:21" x14ac:dyDescent="0.25">
      <c r="A740" s="20">
        <v>14514</v>
      </c>
      <c r="B740" s="3" t="s">
        <v>114</v>
      </c>
      <c r="C740" s="3" t="s">
        <v>112</v>
      </c>
      <c r="D740" s="19">
        <v>30000</v>
      </c>
      <c r="E740" s="20">
        <v>0</v>
      </c>
      <c r="F740" s="3" t="s">
        <v>21</v>
      </c>
      <c r="G740" s="3" t="s">
        <v>16</v>
      </c>
      <c r="H740" s="3" t="s">
        <v>17</v>
      </c>
      <c r="I740" s="20">
        <v>1</v>
      </c>
      <c r="J740" s="3" t="s">
        <v>26</v>
      </c>
      <c r="K740" s="3" t="s">
        <v>35</v>
      </c>
      <c r="L740" s="20">
        <v>26</v>
      </c>
      <c r="M740" s="3" t="s">
        <v>20</v>
      </c>
      <c r="N740" s="20" t="str" cm="1">
        <f t="array" ref="N740">_xlfn.IFS(tbl_Clean[[#This Row],[Age]]&lt;=30,"25-30",tbl_Clean[[#This Row],[Age]]&lt;=40,"31-40",tbl_Clean[[#This Row],[Age]]&lt;=50,"41-50",tbl_Clean[[#This Row],[Age]]&lt;=60,"51-60",TRUE,"61+")</f>
        <v>25-30</v>
      </c>
      <c r="O740" s="20">
        <f>_xlfn.XMATCH(tbl_Clean[[#This Row],[Age Band]],{"25-30","31-40","41-50","51-60","61+"})</f>
        <v>1</v>
      </c>
      <c r="P740" s="20" t="str" cm="1">
        <f t="array" ref="P740">_xlfn.IFS(tbl_Clean[[#This Row],[Income]]&lt;=30000,"$10k-30k",tbl_Clean[[#This Row],[Income]]&lt;=60000,"$40k-60k",tbl_Clean[[#This Row],[Income]]&lt;=90000,"$70k-90k",TRUE,"$100k+")</f>
        <v>$10k-30k</v>
      </c>
      <c r="Q740" s="20">
        <f>_xlfn.XMATCH(tbl_Clean[[#This Row],[Income Band]],{"$10k-30k","$40k-60k","$70k-90k","$100k+"})</f>
        <v>1</v>
      </c>
      <c r="R740" s="20" t="str">
        <f>IF(tbl_Clean[[#This Row],[Cars]]&lt;=1,"0-1 Cars","2+ Cars")</f>
        <v>0-1 Cars</v>
      </c>
      <c r="S740" s="20">
        <f>_xlfn.XMATCH(tbl_Clean[[#This Row],[Commute Distance]],{"0-1 Miles","1-2 Miles","2-5 Miles","5-10 Miles","10+ Miles"})</f>
        <v>4</v>
      </c>
      <c r="T740" s="20">
        <f>_xlfn.XMATCH(tbl_Clean[[#This Row],[Education]],{"Partial High School","High School","Partial College","Bachelors","Graduate Degree"})</f>
        <v>3</v>
      </c>
      <c r="U740" s="20">
        <f>IF(tbl_Clean[[#This Row],[Purchased Bike]]="Yes",1,0)</f>
        <v>0</v>
      </c>
    </row>
    <row r="741" spans="1:21" x14ac:dyDescent="0.25">
      <c r="A741" s="20">
        <v>19634</v>
      </c>
      <c r="B741" s="3" t="s">
        <v>111</v>
      </c>
      <c r="C741" s="3" t="s">
        <v>113</v>
      </c>
      <c r="D741" s="19">
        <v>40000</v>
      </c>
      <c r="E741" s="20">
        <v>0</v>
      </c>
      <c r="F741" s="3" t="s">
        <v>30</v>
      </c>
      <c r="G741" s="3" t="s">
        <v>16</v>
      </c>
      <c r="H741" s="3" t="s">
        <v>17</v>
      </c>
      <c r="I741" s="20">
        <v>1</v>
      </c>
      <c r="J741" s="3" t="s">
        <v>26</v>
      </c>
      <c r="K741" s="3" t="s">
        <v>35</v>
      </c>
      <c r="L741" s="20">
        <v>31</v>
      </c>
      <c r="M741" s="3" t="s">
        <v>20</v>
      </c>
      <c r="N741" s="20" t="str" cm="1">
        <f t="array" ref="N741">_xlfn.IFS(tbl_Clean[[#This Row],[Age]]&lt;=30,"25-30",tbl_Clean[[#This Row],[Age]]&lt;=40,"31-40",tbl_Clean[[#This Row],[Age]]&lt;=50,"41-50",tbl_Clean[[#This Row],[Age]]&lt;=60,"51-60",TRUE,"61+")</f>
        <v>31-40</v>
      </c>
      <c r="O741" s="20">
        <f>_xlfn.XMATCH(tbl_Clean[[#This Row],[Age Band]],{"25-30","31-40","41-50","51-60","61+"})</f>
        <v>2</v>
      </c>
      <c r="P741" s="20" t="str" cm="1">
        <f t="array" ref="P741">_xlfn.IFS(tbl_Clean[[#This Row],[Income]]&lt;=30000,"$10k-30k",tbl_Clean[[#This Row],[Income]]&lt;=60000,"$40k-60k",tbl_Clean[[#This Row],[Income]]&lt;=90000,"$70k-90k",TRUE,"$100k+")</f>
        <v>$40k-60k</v>
      </c>
      <c r="Q741" s="20">
        <f>_xlfn.XMATCH(tbl_Clean[[#This Row],[Income Band]],{"$10k-30k","$40k-60k","$70k-90k","$100k+"})</f>
        <v>2</v>
      </c>
      <c r="R741" s="20" t="str">
        <f>IF(tbl_Clean[[#This Row],[Cars]]&lt;=1,"0-1 Cars","2+ Cars")</f>
        <v>0-1 Cars</v>
      </c>
      <c r="S741" s="20">
        <f>_xlfn.XMATCH(tbl_Clean[[#This Row],[Commute Distance]],{"0-1 Miles","1-2 Miles","2-5 Miles","5-10 Miles","10+ Miles"})</f>
        <v>4</v>
      </c>
      <c r="T741" s="20">
        <f>_xlfn.XMATCH(tbl_Clean[[#This Row],[Education]],{"Partial High School","High School","Partial College","Bachelors","Graduate Degree"})</f>
        <v>2</v>
      </c>
      <c r="U741" s="20">
        <f>IF(tbl_Clean[[#This Row],[Purchased Bike]]="Yes",1,0)</f>
        <v>0</v>
      </c>
    </row>
    <row r="742" spans="1:21" x14ac:dyDescent="0.25">
      <c r="A742" s="20">
        <v>18504</v>
      </c>
      <c r="B742" s="3" t="s">
        <v>111</v>
      </c>
      <c r="C742" s="3" t="s">
        <v>113</v>
      </c>
      <c r="D742" s="19">
        <v>70000</v>
      </c>
      <c r="E742" s="20">
        <v>2</v>
      </c>
      <c r="F742" s="3" t="s">
        <v>32</v>
      </c>
      <c r="G742" s="3" t="s">
        <v>16</v>
      </c>
      <c r="H742" s="3" t="s">
        <v>20</v>
      </c>
      <c r="I742" s="20">
        <v>2</v>
      </c>
      <c r="J742" s="3" t="s">
        <v>29</v>
      </c>
      <c r="K742" s="3" t="s">
        <v>35</v>
      </c>
      <c r="L742" s="20">
        <v>49</v>
      </c>
      <c r="M742" s="3" t="s">
        <v>20</v>
      </c>
      <c r="N742" s="20" t="str" cm="1">
        <f t="array" ref="N742">_xlfn.IFS(tbl_Clean[[#This Row],[Age]]&lt;=30,"25-30",tbl_Clean[[#This Row],[Age]]&lt;=40,"31-40",tbl_Clean[[#This Row],[Age]]&lt;=50,"41-50",tbl_Clean[[#This Row],[Age]]&lt;=60,"51-60",TRUE,"61+")</f>
        <v>41-50</v>
      </c>
      <c r="O742" s="20">
        <f>_xlfn.XMATCH(tbl_Clean[[#This Row],[Age Band]],{"25-30","31-40","41-50","51-60","61+"})</f>
        <v>3</v>
      </c>
      <c r="P742" s="20" t="str" cm="1">
        <f t="array" ref="P742">_xlfn.IFS(tbl_Clean[[#This Row],[Income]]&lt;=30000,"$10k-30k",tbl_Clean[[#This Row],[Income]]&lt;=60000,"$40k-60k",tbl_Clean[[#This Row],[Income]]&lt;=90000,"$70k-90k",TRUE,"$100k+")</f>
        <v>$70k-90k</v>
      </c>
      <c r="Q742" s="20">
        <f>_xlfn.XMATCH(tbl_Clean[[#This Row],[Income Band]],{"$10k-30k","$40k-60k","$70k-90k","$100k+"})</f>
        <v>3</v>
      </c>
      <c r="R742" s="20" t="str">
        <f>IF(tbl_Clean[[#This Row],[Cars]]&lt;=1,"0-1 Cars","2+ Cars")</f>
        <v>2+ Cars</v>
      </c>
      <c r="S742" s="20">
        <f>_xlfn.XMATCH(tbl_Clean[[#This Row],[Commute Distance]],{"0-1 Miles","1-2 Miles","2-5 Miles","5-10 Miles","10+ Miles"})</f>
        <v>2</v>
      </c>
      <c r="T742" s="20">
        <f>_xlfn.XMATCH(tbl_Clean[[#This Row],[Education]],{"Partial High School","High School","Partial College","Bachelors","Graduate Degree"})</f>
        <v>1</v>
      </c>
      <c r="U742" s="20">
        <f>IF(tbl_Clean[[#This Row],[Purchased Bike]]="Yes",1,0)</f>
        <v>0</v>
      </c>
    </row>
    <row r="743" spans="1:21" x14ac:dyDescent="0.25">
      <c r="A743" s="20">
        <v>28799</v>
      </c>
      <c r="B743" s="3" t="s">
        <v>114</v>
      </c>
      <c r="C743" s="3" t="s">
        <v>112</v>
      </c>
      <c r="D743" s="19">
        <v>40000</v>
      </c>
      <c r="E743" s="20">
        <v>2</v>
      </c>
      <c r="F743" s="3" t="s">
        <v>21</v>
      </c>
      <c r="G743" s="3" t="s">
        <v>22</v>
      </c>
      <c r="H743" s="3" t="s">
        <v>20</v>
      </c>
      <c r="I743" s="20">
        <v>1</v>
      </c>
      <c r="J743" s="3" t="s">
        <v>29</v>
      </c>
      <c r="K743" s="3" t="s">
        <v>35</v>
      </c>
      <c r="L743" s="20">
        <v>47</v>
      </c>
      <c r="M743" s="3" t="s">
        <v>17</v>
      </c>
      <c r="N743" s="20" t="str" cm="1">
        <f t="array" ref="N743">_xlfn.IFS(tbl_Clean[[#This Row],[Age]]&lt;=30,"25-30",tbl_Clean[[#This Row],[Age]]&lt;=40,"31-40",tbl_Clean[[#This Row],[Age]]&lt;=50,"41-50",tbl_Clean[[#This Row],[Age]]&lt;=60,"51-60",TRUE,"61+")</f>
        <v>41-50</v>
      </c>
      <c r="O743" s="20">
        <f>_xlfn.XMATCH(tbl_Clean[[#This Row],[Age Band]],{"25-30","31-40","41-50","51-60","61+"})</f>
        <v>3</v>
      </c>
      <c r="P743" s="20" t="str" cm="1">
        <f t="array" ref="P743">_xlfn.IFS(tbl_Clean[[#This Row],[Income]]&lt;=30000,"$10k-30k",tbl_Clean[[#This Row],[Income]]&lt;=60000,"$40k-60k",tbl_Clean[[#This Row],[Income]]&lt;=90000,"$70k-90k",TRUE,"$100k+")</f>
        <v>$40k-60k</v>
      </c>
      <c r="Q743" s="20">
        <f>_xlfn.XMATCH(tbl_Clean[[#This Row],[Income Band]],{"$10k-30k","$40k-60k","$70k-90k","$100k+"})</f>
        <v>2</v>
      </c>
      <c r="R743" s="20" t="str">
        <f>IF(tbl_Clean[[#This Row],[Cars]]&lt;=1,"0-1 Cars","2+ Cars")</f>
        <v>0-1 Cars</v>
      </c>
      <c r="S743" s="20">
        <f>_xlfn.XMATCH(tbl_Clean[[#This Row],[Commute Distance]],{"0-1 Miles","1-2 Miles","2-5 Miles","5-10 Miles","10+ Miles"})</f>
        <v>2</v>
      </c>
      <c r="T743" s="20">
        <f>_xlfn.XMATCH(tbl_Clean[[#This Row],[Education]],{"Partial High School","High School","Partial College","Bachelors","Graduate Degree"})</f>
        <v>3</v>
      </c>
      <c r="U743" s="20">
        <f>IF(tbl_Clean[[#This Row],[Purchased Bike]]="Yes",1,0)</f>
        <v>1</v>
      </c>
    </row>
    <row r="744" spans="1:21" x14ac:dyDescent="0.25">
      <c r="A744" s="20">
        <v>11225</v>
      </c>
      <c r="B744" s="3" t="s">
        <v>111</v>
      </c>
      <c r="C744" s="3" t="s">
        <v>112</v>
      </c>
      <c r="D744" s="19">
        <v>60000</v>
      </c>
      <c r="E744" s="20">
        <v>2</v>
      </c>
      <c r="F744" s="3" t="s">
        <v>21</v>
      </c>
      <c r="G744" s="3" t="s">
        <v>23</v>
      </c>
      <c r="H744" s="3" t="s">
        <v>17</v>
      </c>
      <c r="I744" s="20">
        <v>1</v>
      </c>
      <c r="J744" s="3" t="s">
        <v>33</v>
      </c>
      <c r="K744" s="3" t="s">
        <v>35</v>
      </c>
      <c r="L744" s="20">
        <v>55</v>
      </c>
      <c r="M744" s="3" t="s">
        <v>20</v>
      </c>
      <c r="N744" s="20" t="str" cm="1">
        <f t="array" ref="N744">_xlfn.IFS(tbl_Clean[[#This Row],[Age]]&lt;=30,"25-30",tbl_Clean[[#This Row],[Age]]&lt;=40,"31-40",tbl_Clean[[#This Row],[Age]]&lt;=50,"41-50",tbl_Clean[[#This Row],[Age]]&lt;=60,"51-60",TRUE,"61+")</f>
        <v>51-60</v>
      </c>
      <c r="O744" s="20">
        <f>_xlfn.XMATCH(tbl_Clean[[#This Row],[Age Band]],{"25-30","31-40","41-50","51-60","61+"})</f>
        <v>4</v>
      </c>
      <c r="P744" s="20" t="str" cm="1">
        <f t="array" ref="P744">_xlfn.IFS(tbl_Clean[[#This Row],[Income]]&lt;=30000,"$10k-30k",tbl_Clean[[#This Row],[Income]]&lt;=60000,"$40k-60k",tbl_Clean[[#This Row],[Income]]&lt;=90000,"$70k-90k",TRUE,"$100k+")</f>
        <v>$40k-60k</v>
      </c>
      <c r="Q744" s="20">
        <f>_xlfn.XMATCH(tbl_Clean[[#This Row],[Income Band]],{"$10k-30k","$40k-60k","$70k-90k","$100k+"})</f>
        <v>2</v>
      </c>
      <c r="R744" s="20" t="str">
        <f>IF(tbl_Clean[[#This Row],[Cars]]&lt;=1,"0-1 Cars","2+ Cars")</f>
        <v>0-1 Cars</v>
      </c>
      <c r="S744" s="20">
        <f>_xlfn.XMATCH(tbl_Clean[[#This Row],[Commute Distance]],{"0-1 Miles","1-2 Miles","2-5 Miles","5-10 Miles","10+ Miles"})</f>
        <v>5</v>
      </c>
      <c r="T744" s="20">
        <f>_xlfn.XMATCH(tbl_Clean[[#This Row],[Education]],{"Partial High School","High School","Partial College","Bachelors","Graduate Degree"})</f>
        <v>3</v>
      </c>
      <c r="U744" s="20">
        <f>IF(tbl_Clean[[#This Row],[Purchased Bike]]="Yes",1,0)</f>
        <v>0</v>
      </c>
    </row>
    <row r="745" spans="1:21" x14ac:dyDescent="0.25">
      <c r="A745" s="20">
        <v>17657</v>
      </c>
      <c r="B745" s="3" t="s">
        <v>111</v>
      </c>
      <c r="C745" s="3" t="s">
        <v>113</v>
      </c>
      <c r="D745" s="19">
        <v>40000</v>
      </c>
      <c r="E745" s="20">
        <v>4</v>
      </c>
      <c r="F745" s="3" t="s">
        <v>21</v>
      </c>
      <c r="G745" s="3" t="s">
        <v>22</v>
      </c>
      <c r="H745" s="3" t="s">
        <v>20</v>
      </c>
      <c r="I745" s="20">
        <v>0</v>
      </c>
      <c r="J745" s="3" t="s">
        <v>18</v>
      </c>
      <c r="K745" s="3" t="s">
        <v>35</v>
      </c>
      <c r="L745" s="20">
        <v>30</v>
      </c>
      <c r="M745" s="3" t="s">
        <v>20</v>
      </c>
      <c r="N745" s="20" t="str" cm="1">
        <f t="array" ref="N745">_xlfn.IFS(tbl_Clean[[#This Row],[Age]]&lt;=30,"25-30",tbl_Clean[[#This Row],[Age]]&lt;=40,"31-40",tbl_Clean[[#This Row],[Age]]&lt;=50,"41-50",tbl_Clean[[#This Row],[Age]]&lt;=60,"51-60",TRUE,"61+")</f>
        <v>25-30</v>
      </c>
      <c r="O745" s="20">
        <f>_xlfn.XMATCH(tbl_Clean[[#This Row],[Age Band]],{"25-30","31-40","41-50","51-60","61+"})</f>
        <v>1</v>
      </c>
      <c r="P745" s="20" t="str" cm="1">
        <f t="array" ref="P745">_xlfn.IFS(tbl_Clean[[#This Row],[Income]]&lt;=30000,"$10k-30k",tbl_Clean[[#This Row],[Income]]&lt;=60000,"$40k-60k",tbl_Clean[[#This Row],[Income]]&lt;=90000,"$70k-90k",TRUE,"$100k+")</f>
        <v>$40k-60k</v>
      </c>
      <c r="Q745" s="20">
        <f>_xlfn.XMATCH(tbl_Clean[[#This Row],[Income Band]],{"$10k-30k","$40k-60k","$70k-90k","$100k+"})</f>
        <v>2</v>
      </c>
      <c r="R745" s="20" t="str">
        <f>IF(tbl_Clean[[#This Row],[Cars]]&lt;=1,"0-1 Cars","2+ Cars")</f>
        <v>0-1 Cars</v>
      </c>
      <c r="S745" s="20">
        <f>_xlfn.XMATCH(tbl_Clean[[#This Row],[Commute Distance]],{"0-1 Miles","1-2 Miles","2-5 Miles","5-10 Miles","10+ Miles"})</f>
        <v>1</v>
      </c>
      <c r="T745" s="20">
        <f>_xlfn.XMATCH(tbl_Clean[[#This Row],[Education]],{"Partial High School","High School","Partial College","Bachelors","Graduate Degree"})</f>
        <v>3</v>
      </c>
      <c r="U745" s="20">
        <f>IF(tbl_Clean[[#This Row],[Purchased Bike]]="Yes",1,0)</f>
        <v>0</v>
      </c>
    </row>
    <row r="746" spans="1:21" x14ac:dyDescent="0.25">
      <c r="A746" s="20">
        <v>14913</v>
      </c>
      <c r="B746" s="3" t="s">
        <v>111</v>
      </c>
      <c r="C746" s="3" t="s">
        <v>112</v>
      </c>
      <c r="D746" s="19">
        <v>40000</v>
      </c>
      <c r="E746" s="20">
        <v>1</v>
      </c>
      <c r="F746" s="3" t="s">
        <v>21</v>
      </c>
      <c r="G746" s="3" t="s">
        <v>22</v>
      </c>
      <c r="H746" s="3" t="s">
        <v>17</v>
      </c>
      <c r="I746" s="20">
        <v>1</v>
      </c>
      <c r="J746" s="3" t="s">
        <v>29</v>
      </c>
      <c r="K746" s="3" t="s">
        <v>35</v>
      </c>
      <c r="L746" s="20">
        <v>48</v>
      </c>
      <c r="M746" s="3" t="s">
        <v>17</v>
      </c>
      <c r="N746" s="20" t="str" cm="1">
        <f t="array" ref="N746">_xlfn.IFS(tbl_Clean[[#This Row],[Age]]&lt;=30,"25-30",tbl_Clean[[#This Row],[Age]]&lt;=40,"31-40",tbl_Clean[[#This Row],[Age]]&lt;=50,"41-50",tbl_Clean[[#This Row],[Age]]&lt;=60,"51-60",TRUE,"61+")</f>
        <v>41-50</v>
      </c>
      <c r="O746" s="20">
        <f>_xlfn.XMATCH(tbl_Clean[[#This Row],[Age Band]],{"25-30","31-40","41-50","51-60","61+"})</f>
        <v>3</v>
      </c>
      <c r="P746" s="20" t="str" cm="1">
        <f t="array" ref="P746">_xlfn.IFS(tbl_Clean[[#This Row],[Income]]&lt;=30000,"$10k-30k",tbl_Clean[[#This Row],[Income]]&lt;=60000,"$40k-60k",tbl_Clean[[#This Row],[Income]]&lt;=90000,"$70k-90k",TRUE,"$100k+")</f>
        <v>$40k-60k</v>
      </c>
      <c r="Q746" s="20">
        <f>_xlfn.XMATCH(tbl_Clean[[#This Row],[Income Band]],{"$10k-30k","$40k-60k","$70k-90k","$100k+"})</f>
        <v>2</v>
      </c>
      <c r="R746" s="20" t="str">
        <f>IF(tbl_Clean[[#This Row],[Cars]]&lt;=1,"0-1 Cars","2+ Cars")</f>
        <v>0-1 Cars</v>
      </c>
      <c r="S746" s="20">
        <f>_xlfn.XMATCH(tbl_Clean[[#This Row],[Commute Distance]],{"0-1 Miles","1-2 Miles","2-5 Miles","5-10 Miles","10+ Miles"})</f>
        <v>2</v>
      </c>
      <c r="T746" s="20">
        <f>_xlfn.XMATCH(tbl_Clean[[#This Row],[Education]],{"Partial High School","High School","Partial College","Bachelors","Graduate Degree"})</f>
        <v>3</v>
      </c>
      <c r="U746" s="20">
        <f>IF(tbl_Clean[[#This Row],[Purchased Bike]]="Yes",1,0)</f>
        <v>1</v>
      </c>
    </row>
    <row r="747" spans="1:21" x14ac:dyDescent="0.25">
      <c r="A747" s="20">
        <v>14077</v>
      </c>
      <c r="B747" s="3" t="s">
        <v>114</v>
      </c>
      <c r="C747" s="3" t="s">
        <v>113</v>
      </c>
      <c r="D747" s="19">
        <v>30000</v>
      </c>
      <c r="E747" s="20">
        <v>0</v>
      </c>
      <c r="F747" s="3" t="s">
        <v>30</v>
      </c>
      <c r="G747" s="3" t="s">
        <v>16</v>
      </c>
      <c r="H747" s="3" t="s">
        <v>17</v>
      </c>
      <c r="I747" s="20">
        <v>2</v>
      </c>
      <c r="J747" s="3" t="s">
        <v>26</v>
      </c>
      <c r="K747" s="3" t="s">
        <v>35</v>
      </c>
      <c r="L747" s="20">
        <v>30</v>
      </c>
      <c r="M747" s="3" t="s">
        <v>20</v>
      </c>
      <c r="N747" s="20" t="str" cm="1">
        <f t="array" ref="N747">_xlfn.IFS(tbl_Clean[[#This Row],[Age]]&lt;=30,"25-30",tbl_Clean[[#This Row],[Age]]&lt;=40,"31-40",tbl_Clean[[#This Row],[Age]]&lt;=50,"41-50",tbl_Clean[[#This Row],[Age]]&lt;=60,"51-60",TRUE,"61+")</f>
        <v>25-30</v>
      </c>
      <c r="O747" s="20">
        <f>_xlfn.XMATCH(tbl_Clean[[#This Row],[Age Band]],{"25-30","31-40","41-50","51-60","61+"})</f>
        <v>1</v>
      </c>
      <c r="P747" s="20" t="str" cm="1">
        <f t="array" ref="P747">_xlfn.IFS(tbl_Clean[[#This Row],[Income]]&lt;=30000,"$10k-30k",tbl_Clean[[#This Row],[Income]]&lt;=60000,"$40k-60k",tbl_Clean[[#This Row],[Income]]&lt;=90000,"$70k-90k",TRUE,"$100k+")</f>
        <v>$10k-30k</v>
      </c>
      <c r="Q747" s="20">
        <f>_xlfn.XMATCH(tbl_Clean[[#This Row],[Income Band]],{"$10k-30k","$40k-60k","$70k-90k","$100k+"})</f>
        <v>1</v>
      </c>
      <c r="R747" s="20" t="str">
        <f>IF(tbl_Clean[[#This Row],[Cars]]&lt;=1,"0-1 Cars","2+ Cars")</f>
        <v>2+ Cars</v>
      </c>
      <c r="S747" s="20">
        <f>_xlfn.XMATCH(tbl_Clean[[#This Row],[Commute Distance]],{"0-1 Miles","1-2 Miles","2-5 Miles","5-10 Miles","10+ Miles"})</f>
        <v>4</v>
      </c>
      <c r="T747" s="20">
        <f>_xlfn.XMATCH(tbl_Clean[[#This Row],[Education]],{"Partial High School","High School","Partial College","Bachelors","Graduate Degree"})</f>
        <v>2</v>
      </c>
      <c r="U747" s="20">
        <f>IF(tbl_Clean[[#This Row],[Purchased Bike]]="Yes",1,0)</f>
        <v>0</v>
      </c>
    </row>
    <row r="748" spans="1:21" x14ac:dyDescent="0.25">
      <c r="A748" s="20">
        <v>13296</v>
      </c>
      <c r="B748" s="3" t="s">
        <v>111</v>
      </c>
      <c r="C748" s="3" t="s">
        <v>113</v>
      </c>
      <c r="D748" s="19">
        <v>110000</v>
      </c>
      <c r="E748" s="20">
        <v>1</v>
      </c>
      <c r="F748" s="3" t="s">
        <v>15</v>
      </c>
      <c r="G748" s="3" t="s">
        <v>31</v>
      </c>
      <c r="H748" s="3" t="s">
        <v>17</v>
      </c>
      <c r="I748" s="20">
        <v>3</v>
      </c>
      <c r="J748" s="3" t="s">
        <v>26</v>
      </c>
      <c r="K748" s="3" t="s">
        <v>35</v>
      </c>
      <c r="L748" s="20">
        <v>45</v>
      </c>
      <c r="M748" s="3" t="s">
        <v>20</v>
      </c>
      <c r="N748" s="20" t="str" cm="1">
        <f t="array" ref="N748">_xlfn.IFS(tbl_Clean[[#This Row],[Age]]&lt;=30,"25-30",tbl_Clean[[#This Row],[Age]]&lt;=40,"31-40",tbl_Clean[[#This Row],[Age]]&lt;=50,"41-50",tbl_Clean[[#This Row],[Age]]&lt;=60,"51-60",TRUE,"61+")</f>
        <v>41-50</v>
      </c>
      <c r="O748" s="20">
        <f>_xlfn.XMATCH(tbl_Clean[[#This Row],[Age Band]],{"25-30","31-40","41-50","51-60","61+"})</f>
        <v>3</v>
      </c>
      <c r="P748" s="20" t="str" cm="1">
        <f t="array" ref="P748">_xlfn.IFS(tbl_Clean[[#This Row],[Income]]&lt;=30000,"$10k-30k",tbl_Clean[[#This Row],[Income]]&lt;=60000,"$40k-60k",tbl_Clean[[#This Row],[Income]]&lt;=90000,"$70k-90k",TRUE,"$100k+")</f>
        <v>$100k+</v>
      </c>
      <c r="Q748" s="20">
        <f>_xlfn.XMATCH(tbl_Clean[[#This Row],[Income Band]],{"$10k-30k","$40k-60k","$70k-90k","$100k+"})</f>
        <v>4</v>
      </c>
      <c r="R748" s="20" t="str">
        <f>IF(tbl_Clean[[#This Row],[Cars]]&lt;=1,"0-1 Cars","2+ Cars")</f>
        <v>2+ Cars</v>
      </c>
      <c r="S748" s="20">
        <f>_xlfn.XMATCH(tbl_Clean[[#This Row],[Commute Distance]],{"0-1 Miles","1-2 Miles","2-5 Miles","5-10 Miles","10+ Miles"})</f>
        <v>4</v>
      </c>
      <c r="T748" s="20">
        <f>_xlfn.XMATCH(tbl_Clean[[#This Row],[Education]],{"Partial High School","High School","Partial College","Bachelors","Graduate Degree"})</f>
        <v>4</v>
      </c>
      <c r="U748" s="20">
        <f>IF(tbl_Clean[[#This Row],[Purchased Bike]]="Yes",1,0)</f>
        <v>0</v>
      </c>
    </row>
    <row r="749" spans="1:21" x14ac:dyDescent="0.25">
      <c r="A749" s="20">
        <v>20535</v>
      </c>
      <c r="B749" s="3" t="s">
        <v>111</v>
      </c>
      <c r="C749" s="3" t="s">
        <v>112</v>
      </c>
      <c r="D749" s="19">
        <v>70000</v>
      </c>
      <c r="E749" s="20">
        <v>4</v>
      </c>
      <c r="F749" s="3" t="s">
        <v>21</v>
      </c>
      <c r="G749" s="3" t="s">
        <v>23</v>
      </c>
      <c r="H749" s="3" t="s">
        <v>17</v>
      </c>
      <c r="I749" s="20">
        <v>1</v>
      </c>
      <c r="J749" s="3" t="s">
        <v>33</v>
      </c>
      <c r="K749" s="3" t="s">
        <v>35</v>
      </c>
      <c r="L749" s="20">
        <v>56</v>
      </c>
      <c r="M749" s="3" t="s">
        <v>20</v>
      </c>
      <c r="N749" s="20" t="str" cm="1">
        <f t="array" ref="N749">_xlfn.IFS(tbl_Clean[[#This Row],[Age]]&lt;=30,"25-30",tbl_Clean[[#This Row],[Age]]&lt;=40,"31-40",tbl_Clean[[#This Row],[Age]]&lt;=50,"41-50",tbl_Clean[[#This Row],[Age]]&lt;=60,"51-60",TRUE,"61+")</f>
        <v>51-60</v>
      </c>
      <c r="O749" s="20">
        <f>_xlfn.XMATCH(tbl_Clean[[#This Row],[Age Band]],{"25-30","31-40","41-50","51-60","61+"})</f>
        <v>4</v>
      </c>
      <c r="P749" s="20" t="str" cm="1">
        <f t="array" ref="P749">_xlfn.IFS(tbl_Clean[[#This Row],[Income]]&lt;=30000,"$10k-30k",tbl_Clean[[#This Row],[Income]]&lt;=60000,"$40k-60k",tbl_Clean[[#This Row],[Income]]&lt;=90000,"$70k-90k",TRUE,"$100k+")</f>
        <v>$70k-90k</v>
      </c>
      <c r="Q749" s="20">
        <f>_xlfn.XMATCH(tbl_Clean[[#This Row],[Income Band]],{"$10k-30k","$40k-60k","$70k-90k","$100k+"})</f>
        <v>3</v>
      </c>
      <c r="R749" s="20" t="str">
        <f>IF(tbl_Clean[[#This Row],[Cars]]&lt;=1,"0-1 Cars","2+ Cars")</f>
        <v>0-1 Cars</v>
      </c>
      <c r="S749" s="20">
        <f>_xlfn.XMATCH(tbl_Clean[[#This Row],[Commute Distance]],{"0-1 Miles","1-2 Miles","2-5 Miles","5-10 Miles","10+ Miles"})</f>
        <v>5</v>
      </c>
      <c r="T749" s="20">
        <f>_xlfn.XMATCH(tbl_Clean[[#This Row],[Education]],{"Partial High School","High School","Partial College","Bachelors","Graduate Degree"})</f>
        <v>3</v>
      </c>
      <c r="U749" s="20">
        <f>IF(tbl_Clean[[#This Row],[Purchased Bike]]="Yes",1,0)</f>
        <v>0</v>
      </c>
    </row>
    <row r="750" spans="1:21" x14ac:dyDescent="0.25">
      <c r="A750" s="20">
        <v>12452</v>
      </c>
      <c r="B750" s="3" t="s">
        <v>111</v>
      </c>
      <c r="C750" s="3" t="s">
        <v>113</v>
      </c>
      <c r="D750" s="19">
        <v>60000</v>
      </c>
      <c r="E750" s="20">
        <v>4</v>
      </c>
      <c r="F750" s="3" t="s">
        <v>34</v>
      </c>
      <c r="G750" s="3" t="s">
        <v>16</v>
      </c>
      <c r="H750" s="3" t="s">
        <v>17</v>
      </c>
      <c r="I750" s="20">
        <v>0</v>
      </c>
      <c r="J750" s="3" t="s">
        <v>29</v>
      </c>
      <c r="K750" s="3" t="s">
        <v>35</v>
      </c>
      <c r="L750" s="20">
        <v>47</v>
      </c>
      <c r="M750" s="3" t="s">
        <v>17</v>
      </c>
      <c r="N750" s="20" t="str" cm="1">
        <f t="array" ref="N750">_xlfn.IFS(tbl_Clean[[#This Row],[Age]]&lt;=30,"25-30",tbl_Clean[[#This Row],[Age]]&lt;=40,"31-40",tbl_Clean[[#This Row],[Age]]&lt;=50,"41-50",tbl_Clean[[#This Row],[Age]]&lt;=60,"51-60",TRUE,"61+")</f>
        <v>41-50</v>
      </c>
      <c r="O750" s="20">
        <f>_xlfn.XMATCH(tbl_Clean[[#This Row],[Age Band]],{"25-30","31-40","41-50","51-60","61+"})</f>
        <v>3</v>
      </c>
      <c r="P750" s="20" t="str" cm="1">
        <f t="array" ref="P750">_xlfn.IFS(tbl_Clean[[#This Row],[Income]]&lt;=30000,"$10k-30k",tbl_Clean[[#This Row],[Income]]&lt;=60000,"$40k-60k",tbl_Clean[[#This Row],[Income]]&lt;=90000,"$70k-90k",TRUE,"$100k+")</f>
        <v>$40k-60k</v>
      </c>
      <c r="Q750" s="20">
        <f>_xlfn.XMATCH(tbl_Clean[[#This Row],[Income Band]],{"$10k-30k","$40k-60k","$70k-90k","$100k+"})</f>
        <v>2</v>
      </c>
      <c r="R750" s="20" t="str">
        <f>IF(tbl_Clean[[#This Row],[Cars]]&lt;=1,"0-1 Cars","2+ Cars")</f>
        <v>0-1 Cars</v>
      </c>
      <c r="S750" s="20">
        <f>_xlfn.XMATCH(tbl_Clean[[#This Row],[Commute Distance]],{"0-1 Miles","1-2 Miles","2-5 Miles","5-10 Miles","10+ Miles"})</f>
        <v>2</v>
      </c>
      <c r="T750" s="20">
        <f>_xlfn.XMATCH(tbl_Clean[[#This Row],[Education]],{"Partial High School","High School","Partial College","Bachelors","Graduate Degree"})</f>
        <v>5</v>
      </c>
      <c r="U750" s="20">
        <f>IF(tbl_Clean[[#This Row],[Purchased Bike]]="Yes",1,0)</f>
        <v>1</v>
      </c>
    </row>
    <row r="751" spans="1:21" x14ac:dyDescent="0.25">
      <c r="A751" s="20">
        <v>28043</v>
      </c>
      <c r="B751" s="3" t="s">
        <v>111</v>
      </c>
      <c r="C751" s="3" t="s">
        <v>112</v>
      </c>
      <c r="D751" s="19">
        <v>60000</v>
      </c>
      <c r="E751" s="20">
        <v>2</v>
      </c>
      <c r="F751" s="3" t="s">
        <v>15</v>
      </c>
      <c r="G751" s="3" t="s">
        <v>31</v>
      </c>
      <c r="H751" s="3" t="s">
        <v>17</v>
      </c>
      <c r="I751" s="20">
        <v>0</v>
      </c>
      <c r="J751" s="3" t="s">
        <v>33</v>
      </c>
      <c r="K751" s="3" t="s">
        <v>35</v>
      </c>
      <c r="L751" s="20">
        <v>56</v>
      </c>
      <c r="M751" s="3" t="s">
        <v>20</v>
      </c>
      <c r="N751" s="20" t="str" cm="1">
        <f t="array" ref="N751">_xlfn.IFS(tbl_Clean[[#This Row],[Age]]&lt;=30,"25-30",tbl_Clean[[#This Row],[Age]]&lt;=40,"31-40",tbl_Clean[[#This Row],[Age]]&lt;=50,"41-50",tbl_Clean[[#This Row],[Age]]&lt;=60,"51-60",TRUE,"61+")</f>
        <v>51-60</v>
      </c>
      <c r="O751" s="20">
        <f>_xlfn.XMATCH(tbl_Clean[[#This Row],[Age Band]],{"25-30","31-40","41-50","51-60","61+"})</f>
        <v>4</v>
      </c>
      <c r="P751" s="20" t="str" cm="1">
        <f t="array" ref="P751">_xlfn.IFS(tbl_Clean[[#This Row],[Income]]&lt;=30000,"$10k-30k",tbl_Clean[[#This Row],[Income]]&lt;=60000,"$40k-60k",tbl_Clean[[#This Row],[Income]]&lt;=90000,"$70k-90k",TRUE,"$100k+")</f>
        <v>$40k-60k</v>
      </c>
      <c r="Q751" s="20">
        <f>_xlfn.XMATCH(tbl_Clean[[#This Row],[Income Band]],{"$10k-30k","$40k-60k","$70k-90k","$100k+"})</f>
        <v>2</v>
      </c>
      <c r="R751" s="20" t="str">
        <f>IF(tbl_Clean[[#This Row],[Cars]]&lt;=1,"0-1 Cars","2+ Cars")</f>
        <v>0-1 Cars</v>
      </c>
      <c r="S751" s="20">
        <f>_xlfn.XMATCH(tbl_Clean[[#This Row],[Commute Distance]],{"0-1 Miles","1-2 Miles","2-5 Miles","5-10 Miles","10+ Miles"})</f>
        <v>5</v>
      </c>
      <c r="T751" s="20">
        <f>_xlfn.XMATCH(tbl_Clean[[#This Row],[Education]],{"Partial High School","High School","Partial College","Bachelors","Graduate Degree"})</f>
        <v>4</v>
      </c>
      <c r="U751" s="20">
        <f>IF(tbl_Clean[[#This Row],[Purchased Bike]]="Yes",1,0)</f>
        <v>0</v>
      </c>
    </row>
    <row r="752" spans="1:21" x14ac:dyDescent="0.25">
      <c r="A752" s="20">
        <v>12957</v>
      </c>
      <c r="B752" s="3" t="s">
        <v>114</v>
      </c>
      <c r="C752" s="3" t="s">
        <v>112</v>
      </c>
      <c r="D752" s="19">
        <v>70000</v>
      </c>
      <c r="E752" s="20">
        <v>1</v>
      </c>
      <c r="F752" s="3" t="s">
        <v>15</v>
      </c>
      <c r="G752" s="3" t="s">
        <v>23</v>
      </c>
      <c r="H752" s="3" t="s">
        <v>20</v>
      </c>
      <c r="I752" s="20">
        <v>1</v>
      </c>
      <c r="J752" s="3" t="s">
        <v>18</v>
      </c>
      <c r="K752" s="3" t="s">
        <v>35</v>
      </c>
      <c r="L752" s="20">
        <v>44</v>
      </c>
      <c r="M752" s="3" t="s">
        <v>20</v>
      </c>
      <c r="N752" s="20" t="str" cm="1">
        <f t="array" ref="N752">_xlfn.IFS(tbl_Clean[[#This Row],[Age]]&lt;=30,"25-30",tbl_Clean[[#This Row],[Age]]&lt;=40,"31-40",tbl_Clean[[#This Row],[Age]]&lt;=50,"41-50",tbl_Clean[[#This Row],[Age]]&lt;=60,"51-60",TRUE,"61+")</f>
        <v>41-50</v>
      </c>
      <c r="O752" s="20">
        <f>_xlfn.XMATCH(tbl_Clean[[#This Row],[Age Band]],{"25-30","31-40","41-50","51-60","61+"})</f>
        <v>3</v>
      </c>
      <c r="P752" s="20" t="str" cm="1">
        <f t="array" ref="P752">_xlfn.IFS(tbl_Clean[[#This Row],[Income]]&lt;=30000,"$10k-30k",tbl_Clean[[#This Row],[Income]]&lt;=60000,"$40k-60k",tbl_Clean[[#This Row],[Income]]&lt;=90000,"$70k-90k",TRUE,"$100k+")</f>
        <v>$70k-90k</v>
      </c>
      <c r="Q752" s="20">
        <f>_xlfn.XMATCH(tbl_Clean[[#This Row],[Income Band]],{"$10k-30k","$40k-60k","$70k-90k","$100k+"})</f>
        <v>3</v>
      </c>
      <c r="R752" s="20" t="str">
        <f>IF(tbl_Clean[[#This Row],[Cars]]&lt;=1,"0-1 Cars","2+ Cars")</f>
        <v>0-1 Cars</v>
      </c>
      <c r="S752" s="20">
        <f>_xlfn.XMATCH(tbl_Clean[[#This Row],[Commute Distance]],{"0-1 Miles","1-2 Miles","2-5 Miles","5-10 Miles","10+ Miles"})</f>
        <v>1</v>
      </c>
      <c r="T752" s="20">
        <f>_xlfn.XMATCH(tbl_Clean[[#This Row],[Education]],{"Partial High School","High School","Partial College","Bachelors","Graduate Degree"})</f>
        <v>4</v>
      </c>
      <c r="U752" s="20">
        <f>IF(tbl_Clean[[#This Row],[Purchased Bike]]="Yes",1,0)</f>
        <v>0</v>
      </c>
    </row>
    <row r="753" spans="1:21" x14ac:dyDescent="0.25">
      <c r="A753" s="20">
        <v>15412</v>
      </c>
      <c r="B753" s="3" t="s">
        <v>111</v>
      </c>
      <c r="C753" s="3" t="s">
        <v>113</v>
      </c>
      <c r="D753" s="19">
        <v>130000</v>
      </c>
      <c r="E753" s="20">
        <v>2</v>
      </c>
      <c r="F753" s="3" t="s">
        <v>34</v>
      </c>
      <c r="G753" s="3" t="s">
        <v>31</v>
      </c>
      <c r="H753" s="3" t="s">
        <v>17</v>
      </c>
      <c r="I753" s="20">
        <v>3</v>
      </c>
      <c r="J753" s="3" t="s">
        <v>24</v>
      </c>
      <c r="K753" s="3" t="s">
        <v>35</v>
      </c>
      <c r="L753" s="20">
        <v>69</v>
      </c>
      <c r="M753" s="3" t="s">
        <v>20</v>
      </c>
      <c r="N753" s="20" t="str" cm="1">
        <f t="array" ref="N753">_xlfn.IFS(tbl_Clean[[#This Row],[Age]]&lt;=30,"25-30",tbl_Clean[[#This Row],[Age]]&lt;=40,"31-40",tbl_Clean[[#This Row],[Age]]&lt;=50,"41-50",tbl_Clean[[#This Row],[Age]]&lt;=60,"51-60",TRUE,"61+")</f>
        <v>61+</v>
      </c>
      <c r="O753" s="20">
        <f>_xlfn.XMATCH(tbl_Clean[[#This Row],[Age Band]],{"25-30","31-40","41-50","51-60","61+"})</f>
        <v>5</v>
      </c>
      <c r="P753" s="20" t="str" cm="1">
        <f t="array" ref="P753">_xlfn.IFS(tbl_Clean[[#This Row],[Income]]&lt;=30000,"$10k-30k",tbl_Clean[[#This Row],[Income]]&lt;=60000,"$40k-60k",tbl_Clean[[#This Row],[Income]]&lt;=90000,"$70k-90k",TRUE,"$100k+")</f>
        <v>$100k+</v>
      </c>
      <c r="Q753" s="20">
        <f>_xlfn.XMATCH(tbl_Clean[[#This Row],[Income Band]],{"$10k-30k","$40k-60k","$70k-90k","$100k+"})</f>
        <v>4</v>
      </c>
      <c r="R753" s="20" t="str">
        <f>IF(tbl_Clean[[#This Row],[Cars]]&lt;=1,"0-1 Cars","2+ Cars")</f>
        <v>2+ Cars</v>
      </c>
      <c r="S753" s="20">
        <f>_xlfn.XMATCH(tbl_Clean[[#This Row],[Commute Distance]],{"0-1 Miles","1-2 Miles","2-5 Miles","5-10 Miles","10+ Miles"})</f>
        <v>3</v>
      </c>
      <c r="T753" s="20">
        <f>_xlfn.XMATCH(tbl_Clean[[#This Row],[Education]],{"Partial High School","High School","Partial College","Bachelors","Graduate Degree"})</f>
        <v>5</v>
      </c>
      <c r="U753" s="20">
        <f>IF(tbl_Clean[[#This Row],[Purchased Bike]]="Yes",1,0)</f>
        <v>0</v>
      </c>
    </row>
    <row r="754" spans="1:21" x14ac:dyDescent="0.25">
      <c r="A754" s="20">
        <v>20514</v>
      </c>
      <c r="B754" s="3" t="s">
        <v>111</v>
      </c>
      <c r="C754" s="3" t="s">
        <v>112</v>
      </c>
      <c r="D754" s="19">
        <v>70000</v>
      </c>
      <c r="E754" s="20">
        <v>2</v>
      </c>
      <c r="F754" s="3" t="s">
        <v>21</v>
      </c>
      <c r="G754" s="3" t="s">
        <v>23</v>
      </c>
      <c r="H754" s="3" t="s">
        <v>17</v>
      </c>
      <c r="I754" s="20">
        <v>1</v>
      </c>
      <c r="J754" s="3" t="s">
        <v>24</v>
      </c>
      <c r="K754" s="3" t="s">
        <v>35</v>
      </c>
      <c r="L754" s="20">
        <v>59</v>
      </c>
      <c r="M754" s="3" t="s">
        <v>20</v>
      </c>
      <c r="N754" s="20" t="str" cm="1">
        <f t="array" ref="N754">_xlfn.IFS(tbl_Clean[[#This Row],[Age]]&lt;=30,"25-30",tbl_Clean[[#This Row],[Age]]&lt;=40,"31-40",tbl_Clean[[#This Row],[Age]]&lt;=50,"41-50",tbl_Clean[[#This Row],[Age]]&lt;=60,"51-60",TRUE,"61+")</f>
        <v>51-60</v>
      </c>
      <c r="O754" s="20">
        <f>_xlfn.XMATCH(tbl_Clean[[#This Row],[Age Band]],{"25-30","31-40","41-50","51-60","61+"})</f>
        <v>4</v>
      </c>
      <c r="P754" s="20" t="str" cm="1">
        <f t="array" ref="P754">_xlfn.IFS(tbl_Clean[[#This Row],[Income]]&lt;=30000,"$10k-30k",tbl_Clean[[#This Row],[Income]]&lt;=60000,"$40k-60k",tbl_Clean[[#This Row],[Income]]&lt;=90000,"$70k-90k",TRUE,"$100k+")</f>
        <v>$70k-90k</v>
      </c>
      <c r="Q754" s="20">
        <f>_xlfn.XMATCH(tbl_Clean[[#This Row],[Income Band]],{"$10k-30k","$40k-60k","$70k-90k","$100k+"})</f>
        <v>3</v>
      </c>
      <c r="R754" s="20" t="str">
        <f>IF(tbl_Clean[[#This Row],[Cars]]&lt;=1,"0-1 Cars","2+ Cars")</f>
        <v>0-1 Cars</v>
      </c>
      <c r="S754" s="20">
        <f>_xlfn.XMATCH(tbl_Clean[[#This Row],[Commute Distance]],{"0-1 Miles","1-2 Miles","2-5 Miles","5-10 Miles","10+ Miles"})</f>
        <v>3</v>
      </c>
      <c r="T754" s="20">
        <f>_xlfn.XMATCH(tbl_Clean[[#This Row],[Education]],{"Partial High School","High School","Partial College","Bachelors","Graduate Degree"})</f>
        <v>3</v>
      </c>
      <c r="U754" s="20">
        <f>IF(tbl_Clean[[#This Row],[Purchased Bike]]="Yes",1,0)</f>
        <v>0</v>
      </c>
    </row>
    <row r="755" spans="1:21" x14ac:dyDescent="0.25">
      <c r="A755" s="20">
        <v>20758</v>
      </c>
      <c r="B755" s="3" t="s">
        <v>111</v>
      </c>
      <c r="C755" s="3" t="s">
        <v>113</v>
      </c>
      <c r="D755" s="19">
        <v>30000</v>
      </c>
      <c r="E755" s="20">
        <v>2</v>
      </c>
      <c r="F755" s="3" t="s">
        <v>30</v>
      </c>
      <c r="G755" s="3" t="s">
        <v>16</v>
      </c>
      <c r="H755" s="3" t="s">
        <v>17</v>
      </c>
      <c r="I755" s="20">
        <v>2</v>
      </c>
      <c r="J755" s="3" t="s">
        <v>29</v>
      </c>
      <c r="K755" s="3" t="s">
        <v>35</v>
      </c>
      <c r="L755" s="20">
        <v>50</v>
      </c>
      <c r="M755" s="3" t="s">
        <v>20</v>
      </c>
      <c r="N755" s="20" t="str" cm="1">
        <f t="array" ref="N755">_xlfn.IFS(tbl_Clean[[#This Row],[Age]]&lt;=30,"25-30",tbl_Clean[[#This Row],[Age]]&lt;=40,"31-40",tbl_Clean[[#This Row],[Age]]&lt;=50,"41-50",tbl_Clean[[#This Row],[Age]]&lt;=60,"51-60",TRUE,"61+")</f>
        <v>41-50</v>
      </c>
      <c r="O755" s="20">
        <f>_xlfn.XMATCH(tbl_Clean[[#This Row],[Age Band]],{"25-30","31-40","41-50","51-60","61+"})</f>
        <v>3</v>
      </c>
      <c r="P755" s="20" t="str" cm="1">
        <f t="array" ref="P755">_xlfn.IFS(tbl_Clean[[#This Row],[Income]]&lt;=30000,"$10k-30k",tbl_Clean[[#This Row],[Income]]&lt;=60000,"$40k-60k",tbl_Clean[[#This Row],[Income]]&lt;=90000,"$70k-90k",TRUE,"$100k+")</f>
        <v>$10k-30k</v>
      </c>
      <c r="Q755" s="20">
        <f>_xlfn.XMATCH(tbl_Clean[[#This Row],[Income Band]],{"$10k-30k","$40k-60k","$70k-90k","$100k+"})</f>
        <v>1</v>
      </c>
      <c r="R755" s="20" t="str">
        <f>IF(tbl_Clean[[#This Row],[Cars]]&lt;=1,"0-1 Cars","2+ Cars")</f>
        <v>2+ Cars</v>
      </c>
      <c r="S755" s="20">
        <f>_xlfn.XMATCH(tbl_Clean[[#This Row],[Commute Distance]],{"0-1 Miles","1-2 Miles","2-5 Miles","5-10 Miles","10+ Miles"})</f>
        <v>2</v>
      </c>
      <c r="T755" s="20">
        <f>_xlfn.XMATCH(tbl_Clean[[#This Row],[Education]],{"Partial High School","High School","Partial College","Bachelors","Graduate Degree"})</f>
        <v>2</v>
      </c>
      <c r="U755" s="20">
        <f>IF(tbl_Clean[[#This Row],[Purchased Bike]]="Yes",1,0)</f>
        <v>0</v>
      </c>
    </row>
    <row r="756" spans="1:21" x14ac:dyDescent="0.25">
      <c r="A756" s="20">
        <v>11801</v>
      </c>
      <c r="B756" s="3" t="s">
        <v>111</v>
      </c>
      <c r="C756" s="3" t="s">
        <v>113</v>
      </c>
      <c r="D756" s="19">
        <v>60000</v>
      </c>
      <c r="E756" s="20">
        <v>1</v>
      </c>
      <c r="F756" s="3" t="s">
        <v>34</v>
      </c>
      <c r="G756" s="3" t="s">
        <v>23</v>
      </c>
      <c r="H756" s="3" t="s">
        <v>17</v>
      </c>
      <c r="I756" s="20">
        <v>0</v>
      </c>
      <c r="J756" s="3" t="s">
        <v>24</v>
      </c>
      <c r="K756" s="3" t="s">
        <v>35</v>
      </c>
      <c r="L756" s="20">
        <v>36</v>
      </c>
      <c r="M756" s="3" t="s">
        <v>20</v>
      </c>
      <c r="N756" s="20" t="str" cm="1">
        <f t="array" ref="N756">_xlfn.IFS(tbl_Clean[[#This Row],[Age]]&lt;=30,"25-30",tbl_Clean[[#This Row],[Age]]&lt;=40,"31-40",tbl_Clean[[#This Row],[Age]]&lt;=50,"41-50",tbl_Clean[[#This Row],[Age]]&lt;=60,"51-60",TRUE,"61+")</f>
        <v>31-40</v>
      </c>
      <c r="O756" s="20">
        <f>_xlfn.XMATCH(tbl_Clean[[#This Row],[Age Band]],{"25-30","31-40","41-50","51-60","61+"})</f>
        <v>2</v>
      </c>
      <c r="P756" s="20" t="str" cm="1">
        <f t="array" ref="P756">_xlfn.IFS(tbl_Clean[[#This Row],[Income]]&lt;=30000,"$10k-30k",tbl_Clean[[#This Row],[Income]]&lt;=60000,"$40k-60k",tbl_Clean[[#This Row],[Income]]&lt;=90000,"$70k-90k",TRUE,"$100k+")</f>
        <v>$40k-60k</v>
      </c>
      <c r="Q756" s="20">
        <f>_xlfn.XMATCH(tbl_Clean[[#This Row],[Income Band]],{"$10k-30k","$40k-60k","$70k-90k","$100k+"})</f>
        <v>2</v>
      </c>
      <c r="R756" s="20" t="str">
        <f>IF(tbl_Clean[[#This Row],[Cars]]&lt;=1,"0-1 Cars","2+ Cars")</f>
        <v>0-1 Cars</v>
      </c>
      <c r="S756" s="20">
        <f>_xlfn.XMATCH(tbl_Clean[[#This Row],[Commute Distance]],{"0-1 Miles","1-2 Miles","2-5 Miles","5-10 Miles","10+ Miles"})</f>
        <v>3</v>
      </c>
      <c r="T756" s="20">
        <f>_xlfn.XMATCH(tbl_Clean[[#This Row],[Education]],{"Partial High School","High School","Partial College","Bachelors","Graduate Degree"})</f>
        <v>5</v>
      </c>
      <c r="U756" s="20">
        <f>IF(tbl_Clean[[#This Row],[Purchased Bike]]="Yes",1,0)</f>
        <v>0</v>
      </c>
    </row>
    <row r="757" spans="1:21" x14ac:dyDescent="0.25">
      <c r="A757" s="20">
        <v>22211</v>
      </c>
      <c r="B757" s="3" t="s">
        <v>111</v>
      </c>
      <c r="C757" s="3" t="s">
        <v>113</v>
      </c>
      <c r="D757" s="19">
        <v>60000</v>
      </c>
      <c r="E757" s="20">
        <v>0</v>
      </c>
      <c r="F757" s="3" t="s">
        <v>21</v>
      </c>
      <c r="G757" s="3" t="s">
        <v>23</v>
      </c>
      <c r="H757" s="3" t="s">
        <v>17</v>
      </c>
      <c r="I757" s="20">
        <v>2</v>
      </c>
      <c r="J757" s="3" t="s">
        <v>26</v>
      </c>
      <c r="K757" s="3" t="s">
        <v>35</v>
      </c>
      <c r="L757" s="20">
        <v>32</v>
      </c>
      <c r="M757" s="3" t="s">
        <v>20</v>
      </c>
      <c r="N757" s="20" t="str" cm="1">
        <f t="array" ref="N757">_xlfn.IFS(tbl_Clean[[#This Row],[Age]]&lt;=30,"25-30",tbl_Clean[[#This Row],[Age]]&lt;=40,"31-40",tbl_Clean[[#This Row],[Age]]&lt;=50,"41-50",tbl_Clean[[#This Row],[Age]]&lt;=60,"51-60",TRUE,"61+")</f>
        <v>31-40</v>
      </c>
      <c r="O757" s="20">
        <f>_xlfn.XMATCH(tbl_Clean[[#This Row],[Age Band]],{"25-30","31-40","41-50","51-60","61+"})</f>
        <v>2</v>
      </c>
      <c r="P757" s="20" t="str" cm="1">
        <f t="array" ref="P757">_xlfn.IFS(tbl_Clean[[#This Row],[Income]]&lt;=30000,"$10k-30k",tbl_Clean[[#This Row],[Income]]&lt;=60000,"$40k-60k",tbl_Clean[[#This Row],[Income]]&lt;=90000,"$70k-90k",TRUE,"$100k+")</f>
        <v>$40k-60k</v>
      </c>
      <c r="Q757" s="20">
        <f>_xlfn.XMATCH(tbl_Clean[[#This Row],[Income Band]],{"$10k-30k","$40k-60k","$70k-90k","$100k+"})</f>
        <v>2</v>
      </c>
      <c r="R757" s="20" t="str">
        <f>IF(tbl_Clean[[#This Row],[Cars]]&lt;=1,"0-1 Cars","2+ Cars")</f>
        <v>2+ Cars</v>
      </c>
      <c r="S757" s="20">
        <f>_xlfn.XMATCH(tbl_Clean[[#This Row],[Commute Distance]],{"0-1 Miles","1-2 Miles","2-5 Miles","5-10 Miles","10+ Miles"})</f>
        <v>4</v>
      </c>
      <c r="T757" s="20">
        <f>_xlfn.XMATCH(tbl_Clean[[#This Row],[Education]],{"Partial High School","High School","Partial College","Bachelors","Graduate Degree"})</f>
        <v>3</v>
      </c>
      <c r="U757" s="20">
        <f>IF(tbl_Clean[[#This Row],[Purchased Bike]]="Yes",1,0)</f>
        <v>0</v>
      </c>
    </row>
    <row r="758" spans="1:21" x14ac:dyDescent="0.25">
      <c r="A758" s="20">
        <v>28087</v>
      </c>
      <c r="B758" s="3" t="s">
        <v>114</v>
      </c>
      <c r="C758" s="3" t="s">
        <v>112</v>
      </c>
      <c r="D758" s="19">
        <v>40000</v>
      </c>
      <c r="E758" s="20">
        <v>0</v>
      </c>
      <c r="F758" s="3" t="s">
        <v>21</v>
      </c>
      <c r="G758" s="3" t="s">
        <v>16</v>
      </c>
      <c r="H758" s="3" t="s">
        <v>20</v>
      </c>
      <c r="I758" s="20">
        <v>1</v>
      </c>
      <c r="J758" s="3" t="s">
        <v>29</v>
      </c>
      <c r="K758" s="3" t="s">
        <v>35</v>
      </c>
      <c r="L758" s="20">
        <v>27</v>
      </c>
      <c r="M758" s="3" t="s">
        <v>20</v>
      </c>
      <c r="N758" s="20" t="str" cm="1">
        <f t="array" ref="N758">_xlfn.IFS(tbl_Clean[[#This Row],[Age]]&lt;=30,"25-30",tbl_Clean[[#This Row],[Age]]&lt;=40,"31-40",tbl_Clean[[#This Row],[Age]]&lt;=50,"41-50",tbl_Clean[[#This Row],[Age]]&lt;=60,"51-60",TRUE,"61+")</f>
        <v>25-30</v>
      </c>
      <c r="O758" s="20">
        <f>_xlfn.XMATCH(tbl_Clean[[#This Row],[Age Band]],{"25-30","31-40","41-50","51-60","61+"})</f>
        <v>1</v>
      </c>
      <c r="P758" s="20" t="str" cm="1">
        <f t="array" ref="P758">_xlfn.IFS(tbl_Clean[[#This Row],[Income]]&lt;=30000,"$10k-30k",tbl_Clean[[#This Row],[Income]]&lt;=60000,"$40k-60k",tbl_Clean[[#This Row],[Income]]&lt;=90000,"$70k-90k",TRUE,"$100k+")</f>
        <v>$40k-60k</v>
      </c>
      <c r="Q758" s="20">
        <f>_xlfn.XMATCH(tbl_Clean[[#This Row],[Income Band]],{"$10k-30k","$40k-60k","$70k-90k","$100k+"})</f>
        <v>2</v>
      </c>
      <c r="R758" s="20" t="str">
        <f>IF(tbl_Clean[[#This Row],[Cars]]&lt;=1,"0-1 Cars","2+ Cars")</f>
        <v>0-1 Cars</v>
      </c>
      <c r="S758" s="20">
        <f>_xlfn.XMATCH(tbl_Clean[[#This Row],[Commute Distance]],{"0-1 Miles","1-2 Miles","2-5 Miles","5-10 Miles","10+ Miles"})</f>
        <v>2</v>
      </c>
      <c r="T758" s="20">
        <f>_xlfn.XMATCH(tbl_Clean[[#This Row],[Education]],{"Partial High School","High School","Partial College","Bachelors","Graduate Degree"})</f>
        <v>3</v>
      </c>
      <c r="U758" s="20">
        <f>IF(tbl_Clean[[#This Row],[Purchased Bike]]="Yes",1,0)</f>
        <v>0</v>
      </c>
    </row>
    <row r="759" spans="1:21" x14ac:dyDescent="0.25">
      <c r="A759" s="20">
        <v>23668</v>
      </c>
      <c r="B759" s="3" t="s">
        <v>111</v>
      </c>
      <c r="C759" s="3" t="s">
        <v>112</v>
      </c>
      <c r="D759" s="19">
        <v>40000</v>
      </c>
      <c r="E759" s="20">
        <v>4</v>
      </c>
      <c r="F759" s="3" t="s">
        <v>30</v>
      </c>
      <c r="G759" s="3" t="s">
        <v>23</v>
      </c>
      <c r="H759" s="3" t="s">
        <v>17</v>
      </c>
      <c r="I759" s="20">
        <v>2</v>
      </c>
      <c r="J759" s="3" t="s">
        <v>26</v>
      </c>
      <c r="K759" s="3" t="s">
        <v>35</v>
      </c>
      <c r="L759" s="20">
        <v>59</v>
      </c>
      <c r="M759" s="3" t="s">
        <v>17</v>
      </c>
      <c r="N759" s="20" t="str" cm="1">
        <f t="array" ref="N759">_xlfn.IFS(tbl_Clean[[#This Row],[Age]]&lt;=30,"25-30",tbl_Clean[[#This Row],[Age]]&lt;=40,"31-40",tbl_Clean[[#This Row],[Age]]&lt;=50,"41-50",tbl_Clean[[#This Row],[Age]]&lt;=60,"51-60",TRUE,"61+")</f>
        <v>51-60</v>
      </c>
      <c r="O759" s="20">
        <f>_xlfn.XMATCH(tbl_Clean[[#This Row],[Age Band]],{"25-30","31-40","41-50","51-60","61+"})</f>
        <v>4</v>
      </c>
      <c r="P759" s="20" t="str" cm="1">
        <f t="array" ref="P759">_xlfn.IFS(tbl_Clean[[#This Row],[Income]]&lt;=30000,"$10k-30k",tbl_Clean[[#This Row],[Income]]&lt;=60000,"$40k-60k",tbl_Clean[[#This Row],[Income]]&lt;=90000,"$70k-90k",TRUE,"$100k+")</f>
        <v>$40k-60k</v>
      </c>
      <c r="Q759" s="20">
        <f>_xlfn.XMATCH(tbl_Clean[[#This Row],[Income Band]],{"$10k-30k","$40k-60k","$70k-90k","$100k+"})</f>
        <v>2</v>
      </c>
      <c r="R759" s="20" t="str">
        <f>IF(tbl_Clean[[#This Row],[Cars]]&lt;=1,"0-1 Cars","2+ Cars")</f>
        <v>2+ Cars</v>
      </c>
      <c r="S759" s="20">
        <f>_xlfn.XMATCH(tbl_Clean[[#This Row],[Commute Distance]],{"0-1 Miles","1-2 Miles","2-5 Miles","5-10 Miles","10+ Miles"})</f>
        <v>4</v>
      </c>
      <c r="T759" s="20">
        <f>_xlfn.XMATCH(tbl_Clean[[#This Row],[Education]],{"Partial High School","High School","Partial College","Bachelors","Graduate Degree"})</f>
        <v>2</v>
      </c>
      <c r="U759" s="20">
        <f>IF(tbl_Clean[[#This Row],[Purchased Bike]]="Yes",1,0)</f>
        <v>1</v>
      </c>
    </row>
    <row r="760" spans="1:21" x14ac:dyDescent="0.25">
      <c r="A760" s="20">
        <v>27441</v>
      </c>
      <c r="B760" s="3" t="s">
        <v>111</v>
      </c>
      <c r="C760" s="3" t="s">
        <v>113</v>
      </c>
      <c r="D760" s="19">
        <v>60000</v>
      </c>
      <c r="E760" s="20">
        <v>3</v>
      </c>
      <c r="F760" s="3" t="s">
        <v>30</v>
      </c>
      <c r="G760" s="3" t="s">
        <v>23</v>
      </c>
      <c r="H760" s="3" t="s">
        <v>20</v>
      </c>
      <c r="I760" s="20">
        <v>2</v>
      </c>
      <c r="J760" s="3" t="s">
        <v>24</v>
      </c>
      <c r="K760" s="3" t="s">
        <v>35</v>
      </c>
      <c r="L760" s="20">
        <v>53</v>
      </c>
      <c r="M760" s="3" t="s">
        <v>20</v>
      </c>
      <c r="N760" s="20" t="str" cm="1">
        <f t="array" ref="N760">_xlfn.IFS(tbl_Clean[[#This Row],[Age]]&lt;=30,"25-30",tbl_Clean[[#This Row],[Age]]&lt;=40,"31-40",tbl_Clean[[#This Row],[Age]]&lt;=50,"41-50",tbl_Clean[[#This Row],[Age]]&lt;=60,"51-60",TRUE,"61+")</f>
        <v>51-60</v>
      </c>
      <c r="O760" s="20">
        <f>_xlfn.XMATCH(tbl_Clean[[#This Row],[Age Band]],{"25-30","31-40","41-50","51-60","61+"})</f>
        <v>4</v>
      </c>
      <c r="P760" s="20" t="str" cm="1">
        <f t="array" ref="P760">_xlfn.IFS(tbl_Clean[[#This Row],[Income]]&lt;=30000,"$10k-30k",tbl_Clean[[#This Row],[Income]]&lt;=60000,"$40k-60k",tbl_Clean[[#This Row],[Income]]&lt;=90000,"$70k-90k",TRUE,"$100k+")</f>
        <v>$40k-60k</v>
      </c>
      <c r="Q760" s="20">
        <f>_xlfn.XMATCH(tbl_Clean[[#This Row],[Income Band]],{"$10k-30k","$40k-60k","$70k-90k","$100k+"})</f>
        <v>2</v>
      </c>
      <c r="R760" s="20" t="str">
        <f>IF(tbl_Clean[[#This Row],[Cars]]&lt;=1,"0-1 Cars","2+ Cars")</f>
        <v>2+ Cars</v>
      </c>
      <c r="S760" s="20">
        <f>_xlfn.XMATCH(tbl_Clean[[#This Row],[Commute Distance]],{"0-1 Miles","1-2 Miles","2-5 Miles","5-10 Miles","10+ Miles"})</f>
        <v>3</v>
      </c>
      <c r="T760" s="20">
        <f>_xlfn.XMATCH(tbl_Clean[[#This Row],[Education]],{"Partial High School","High School","Partial College","Bachelors","Graduate Degree"})</f>
        <v>2</v>
      </c>
      <c r="U760" s="20">
        <f>IF(tbl_Clean[[#This Row],[Purchased Bike]]="Yes",1,0)</f>
        <v>0</v>
      </c>
    </row>
    <row r="761" spans="1:21" x14ac:dyDescent="0.25">
      <c r="A761" s="20">
        <v>27261</v>
      </c>
      <c r="B761" s="3" t="s">
        <v>111</v>
      </c>
      <c r="C761" s="3" t="s">
        <v>113</v>
      </c>
      <c r="D761" s="19">
        <v>40000</v>
      </c>
      <c r="E761" s="20">
        <v>1</v>
      </c>
      <c r="F761" s="3" t="s">
        <v>15</v>
      </c>
      <c r="G761" s="3" t="s">
        <v>16</v>
      </c>
      <c r="H761" s="3" t="s">
        <v>20</v>
      </c>
      <c r="I761" s="20">
        <v>1</v>
      </c>
      <c r="J761" s="3" t="s">
        <v>18</v>
      </c>
      <c r="K761" s="3" t="s">
        <v>35</v>
      </c>
      <c r="L761" s="20">
        <v>36</v>
      </c>
      <c r="M761" s="3" t="s">
        <v>17</v>
      </c>
      <c r="N761" s="20" t="str" cm="1">
        <f t="array" ref="N761">_xlfn.IFS(tbl_Clean[[#This Row],[Age]]&lt;=30,"25-30",tbl_Clean[[#This Row],[Age]]&lt;=40,"31-40",tbl_Clean[[#This Row],[Age]]&lt;=50,"41-50",tbl_Clean[[#This Row],[Age]]&lt;=60,"51-60",TRUE,"61+")</f>
        <v>31-40</v>
      </c>
      <c r="O761" s="20">
        <f>_xlfn.XMATCH(tbl_Clean[[#This Row],[Age Band]],{"25-30","31-40","41-50","51-60","61+"})</f>
        <v>2</v>
      </c>
      <c r="P761" s="20" t="str" cm="1">
        <f t="array" ref="P761">_xlfn.IFS(tbl_Clean[[#This Row],[Income]]&lt;=30000,"$10k-30k",tbl_Clean[[#This Row],[Income]]&lt;=60000,"$40k-60k",tbl_Clean[[#This Row],[Income]]&lt;=90000,"$70k-90k",TRUE,"$100k+")</f>
        <v>$40k-60k</v>
      </c>
      <c r="Q761" s="20">
        <f>_xlfn.XMATCH(tbl_Clean[[#This Row],[Income Band]],{"$10k-30k","$40k-60k","$70k-90k","$100k+"})</f>
        <v>2</v>
      </c>
      <c r="R761" s="20" t="str">
        <f>IF(tbl_Clean[[#This Row],[Cars]]&lt;=1,"0-1 Cars","2+ Cars")</f>
        <v>0-1 Cars</v>
      </c>
      <c r="S761" s="20">
        <f>_xlfn.XMATCH(tbl_Clean[[#This Row],[Commute Distance]],{"0-1 Miles","1-2 Miles","2-5 Miles","5-10 Miles","10+ Miles"})</f>
        <v>1</v>
      </c>
      <c r="T761" s="20">
        <f>_xlfn.XMATCH(tbl_Clean[[#This Row],[Education]],{"Partial High School","High School","Partial College","Bachelors","Graduate Degree"})</f>
        <v>4</v>
      </c>
      <c r="U761" s="20">
        <f>IF(tbl_Clean[[#This Row],[Purchased Bike]]="Yes",1,0)</f>
        <v>1</v>
      </c>
    </row>
    <row r="762" spans="1:21" x14ac:dyDescent="0.25">
      <c r="A762" s="20">
        <v>18649</v>
      </c>
      <c r="B762" s="3" t="s">
        <v>114</v>
      </c>
      <c r="C762" s="3" t="s">
        <v>113</v>
      </c>
      <c r="D762" s="19">
        <v>30000</v>
      </c>
      <c r="E762" s="20">
        <v>1</v>
      </c>
      <c r="F762" s="3" t="s">
        <v>30</v>
      </c>
      <c r="G762" s="3" t="s">
        <v>22</v>
      </c>
      <c r="H762" s="3" t="s">
        <v>17</v>
      </c>
      <c r="I762" s="20">
        <v>2</v>
      </c>
      <c r="J762" s="3" t="s">
        <v>29</v>
      </c>
      <c r="K762" s="3" t="s">
        <v>35</v>
      </c>
      <c r="L762" s="20">
        <v>51</v>
      </c>
      <c r="M762" s="3" t="s">
        <v>17</v>
      </c>
      <c r="N762" s="20" t="str" cm="1">
        <f t="array" ref="N762">_xlfn.IFS(tbl_Clean[[#This Row],[Age]]&lt;=30,"25-30",tbl_Clean[[#This Row],[Age]]&lt;=40,"31-40",tbl_Clean[[#This Row],[Age]]&lt;=50,"41-50",tbl_Clean[[#This Row],[Age]]&lt;=60,"51-60",TRUE,"61+")</f>
        <v>51-60</v>
      </c>
      <c r="O762" s="20">
        <f>_xlfn.XMATCH(tbl_Clean[[#This Row],[Age Band]],{"25-30","31-40","41-50","51-60","61+"})</f>
        <v>4</v>
      </c>
      <c r="P762" s="20" t="str" cm="1">
        <f t="array" ref="P762">_xlfn.IFS(tbl_Clean[[#This Row],[Income]]&lt;=30000,"$10k-30k",tbl_Clean[[#This Row],[Income]]&lt;=60000,"$40k-60k",tbl_Clean[[#This Row],[Income]]&lt;=90000,"$70k-90k",TRUE,"$100k+")</f>
        <v>$10k-30k</v>
      </c>
      <c r="Q762" s="20">
        <f>_xlfn.XMATCH(tbl_Clean[[#This Row],[Income Band]],{"$10k-30k","$40k-60k","$70k-90k","$100k+"})</f>
        <v>1</v>
      </c>
      <c r="R762" s="20" t="str">
        <f>IF(tbl_Clean[[#This Row],[Cars]]&lt;=1,"0-1 Cars","2+ Cars")</f>
        <v>2+ Cars</v>
      </c>
      <c r="S762" s="20">
        <f>_xlfn.XMATCH(tbl_Clean[[#This Row],[Commute Distance]],{"0-1 Miles","1-2 Miles","2-5 Miles","5-10 Miles","10+ Miles"})</f>
        <v>2</v>
      </c>
      <c r="T762" s="20">
        <f>_xlfn.XMATCH(tbl_Clean[[#This Row],[Education]],{"Partial High School","High School","Partial College","Bachelors","Graduate Degree"})</f>
        <v>2</v>
      </c>
      <c r="U762" s="20">
        <f>IF(tbl_Clean[[#This Row],[Purchased Bike]]="Yes",1,0)</f>
        <v>1</v>
      </c>
    </row>
    <row r="763" spans="1:21" x14ac:dyDescent="0.25">
      <c r="A763" s="20">
        <v>21714</v>
      </c>
      <c r="B763" s="3" t="s">
        <v>114</v>
      </c>
      <c r="C763" s="3" t="s">
        <v>112</v>
      </c>
      <c r="D763" s="19">
        <v>80000</v>
      </c>
      <c r="E763" s="20">
        <v>5</v>
      </c>
      <c r="F763" s="3" t="s">
        <v>34</v>
      </c>
      <c r="G763" s="3" t="s">
        <v>16</v>
      </c>
      <c r="H763" s="3" t="s">
        <v>20</v>
      </c>
      <c r="I763" s="20">
        <v>0</v>
      </c>
      <c r="J763" s="3" t="s">
        <v>18</v>
      </c>
      <c r="K763" s="3" t="s">
        <v>35</v>
      </c>
      <c r="L763" s="20">
        <v>47</v>
      </c>
      <c r="M763" s="3" t="s">
        <v>20</v>
      </c>
      <c r="N763" s="20" t="str" cm="1">
        <f t="array" ref="N763">_xlfn.IFS(tbl_Clean[[#This Row],[Age]]&lt;=30,"25-30",tbl_Clean[[#This Row],[Age]]&lt;=40,"31-40",tbl_Clean[[#This Row],[Age]]&lt;=50,"41-50",tbl_Clean[[#This Row],[Age]]&lt;=60,"51-60",TRUE,"61+")</f>
        <v>41-50</v>
      </c>
      <c r="O763" s="20">
        <f>_xlfn.XMATCH(tbl_Clean[[#This Row],[Age Band]],{"25-30","31-40","41-50","51-60","61+"})</f>
        <v>3</v>
      </c>
      <c r="P763" s="20" t="str" cm="1">
        <f t="array" ref="P763">_xlfn.IFS(tbl_Clean[[#This Row],[Income]]&lt;=30000,"$10k-30k",tbl_Clean[[#This Row],[Income]]&lt;=60000,"$40k-60k",tbl_Clean[[#This Row],[Income]]&lt;=90000,"$70k-90k",TRUE,"$100k+")</f>
        <v>$70k-90k</v>
      </c>
      <c r="Q763" s="20">
        <f>_xlfn.XMATCH(tbl_Clean[[#This Row],[Income Band]],{"$10k-30k","$40k-60k","$70k-90k","$100k+"})</f>
        <v>3</v>
      </c>
      <c r="R763" s="20" t="str">
        <f>IF(tbl_Clean[[#This Row],[Cars]]&lt;=1,"0-1 Cars","2+ Cars")</f>
        <v>0-1 Cars</v>
      </c>
      <c r="S763" s="20">
        <f>_xlfn.XMATCH(tbl_Clean[[#This Row],[Commute Distance]],{"0-1 Miles","1-2 Miles","2-5 Miles","5-10 Miles","10+ Miles"})</f>
        <v>1</v>
      </c>
      <c r="T763" s="20">
        <f>_xlfn.XMATCH(tbl_Clean[[#This Row],[Education]],{"Partial High School","High School","Partial College","Bachelors","Graduate Degree"})</f>
        <v>5</v>
      </c>
      <c r="U763" s="20">
        <f>IF(tbl_Clean[[#This Row],[Purchased Bike]]="Yes",1,0)</f>
        <v>0</v>
      </c>
    </row>
    <row r="764" spans="1:21" x14ac:dyDescent="0.25">
      <c r="A764" s="20">
        <v>23217</v>
      </c>
      <c r="B764" s="3" t="s">
        <v>114</v>
      </c>
      <c r="C764" s="3" t="s">
        <v>112</v>
      </c>
      <c r="D764" s="19">
        <v>60000</v>
      </c>
      <c r="E764" s="20">
        <v>3</v>
      </c>
      <c r="F764" s="3" t="s">
        <v>34</v>
      </c>
      <c r="G764" s="3" t="s">
        <v>23</v>
      </c>
      <c r="H764" s="3" t="s">
        <v>17</v>
      </c>
      <c r="I764" s="20">
        <v>0</v>
      </c>
      <c r="J764" s="3" t="s">
        <v>24</v>
      </c>
      <c r="K764" s="3" t="s">
        <v>35</v>
      </c>
      <c r="L764" s="20">
        <v>43</v>
      </c>
      <c r="M764" s="3" t="s">
        <v>17</v>
      </c>
      <c r="N764" s="20" t="str" cm="1">
        <f t="array" ref="N764">_xlfn.IFS(tbl_Clean[[#This Row],[Age]]&lt;=30,"25-30",tbl_Clean[[#This Row],[Age]]&lt;=40,"31-40",tbl_Clean[[#This Row],[Age]]&lt;=50,"41-50",tbl_Clean[[#This Row],[Age]]&lt;=60,"51-60",TRUE,"61+")</f>
        <v>41-50</v>
      </c>
      <c r="O764" s="20">
        <f>_xlfn.XMATCH(tbl_Clean[[#This Row],[Age Band]],{"25-30","31-40","41-50","51-60","61+"})</f>
        <v>3</v>
      </c>
      <c r="P764" s="20" t="str" cm="1">
        <f t="array" ref="P764">_xlfn.IFS(tbl_Clean[[#This Row],[Income]]&lt;=30000,"$10k-30k",tbl_Clean[[#This Row],[Income]]&lt;=60000,"$40k-60k",tbl_Clean[[#This Row],[Income]]&lt;=90000,"$70k-90k",TRUE,"$100k+")</f>
        <v>$40k-60k</v>
      </c>
      <c r="Q764" s="20">
        <f>_xlfn.XMATCH(tbl_Clean[[#This Row],[Income Band]],{"$10k-30k","$40k-60k","$70k-90k","$100k+"})</f>
        <v>2</v>
      </c>
      <c r="R764" s="20" t="str">
        <f>IF(tbl_Clean[[#This Row],[Cars]]&lt;=1,"0-1 Cars","2+ Cars")</f>
        <v>0-1 Cars</v>
      </c>
      <c r="S764" s="20">
        <f>_xlfn.XMATCH(tbl_Clean[[#This Row],[Commute Distance]],{"0-1 Miles","1-2 Miles","2-5 Miles","5-10 Miles","10+ Miles"})</f>
        <v>3</v>
      </c>
      <c r="T764" s="20">
        <f>_xlfn.XMATCH(tbl_Clean[[#This Row],[Education]],{"Partial High School","High School","Partial College","Bachelors","Graduate Degree"})</f>
        <v>5</v>
      </c>
      <c r="U764" s="20">
        <f>IF(tbl_Clean[[#This Row],[Purchased Bike]]="Yes",1,0)</f>
        <v>1</v>
      </c>
    </row>
    <row r="765" spans="1:21" x14ac:dyDescent="0.25">
      <c r="A765" s="20">
        <v>23797</v>
      </c>
      <c r="B765" s="3" t="s">
        <v>114</v>
      </c>
      <c r="C765" s="3" t="s">
        <v>113</v>
      </c>
      <c r="D765" s="19">
        <v>20000</v>
      </c>
      <c r="E765" s="20">
        <v>3</v>
      </c>
      <c r="F765" s="3" t="s">
        <v>32</v>
      </c>
      <c r="G765" s="3" t="s">
        <v>22</v>
      </c>
      <c r="H765" s="3" t="s">
        <v>20</v>
      </c>
      <c r="I765" s="20">
        <v>2</v>
      </c>
      <c r="J765" s="3" t="s">
        <v>18</v>
      </c>
      <c r="K765" s="3" t="s">
        <v>35</v>
      </c>
      <c r="L765" s="20">
        <v>50</v>
      </c>
      <c r="M765" s="3" t="s">
        <v>20</v>
      </c>
      <c r="N765" s="20" t="str" cm="1">
        <f t="array" ref="N765">_xlfn.IFS(tbl_Clean[[#This Row],[Age]]&lt;=30,"25-30",tbl_Clean[[#This Row],[Age]]&lt;=40,"31-40",tbl_Clean[[#This Row],[Age]]&lt;=50,"41-50",tbl_Clean[[#This Row],[Age]]&lt;=60,"51-60",TRUE,"61+")</f>
        <v>41-50</v>
      </c>
      <c r="O765" s="20">
        <f>_xlfn.XMATCH(tbl_Clean[[#This Row],[Age Band]],{"25-30","31-40","41-50","51-60","61+"})</f>
        <v>3</v>
      </c>
      <c r="P765" s="20" t="str" cm="1">
        <f t="array" ref="P765">_xlfn.IFS(tbl_Clean[[#This Row],[Income]]&lt;=30000,"$10k-30k",tbl_Clean[[#This Row],[Income]]&lt;=60000,"$40k-60k",tbl_Clean[[#This Row],[Income]]&lt;=90000,"$70k-90k",TRUE,"$100k+")</f>
        <v>$10k-30k</v>
      </c>
      <c r="Q765" s="20">
        <f>_xlfn.XMATCH(tbl_Clean[[#This Row],[Income Band]],{"$10k-30k","$40k-60k","$70k-90k","$100k+"})</f>
        <v>1</v>
      </c>
      <c r="R765" s="20" t="str">
        <f>IF(tbl_Clean[[#This Row],[Cars]]&lt;=1,"0-1 Cars","2+ Cars")</f>
        <v>2+ Cars</v>
      </c>
      <c r="S765" s="20">
        <f>_xlfn.XMATCH(tbl_Clean[[#This Row],[Commute Distance]],{"0-1 Miles","1-2 Miles","2-5 Miles","5-10 Miles","10+ Miles"})</f>
        <v>1</v>
      </c>
      <c r="T765" s="20">
        <f>_xlfn.XMATCH(tbl_Clean[[#This Row],[Education]],{"Partial High School","High School","Partial College","Bachelors","Graduate Degree"})</f>
        <v>1</v>
      </c>
      <c r="U765" s="20">
        <f>IF(tbl_Clean[[#This Row],[Purchased Bike]]="Yes",1,0)</f>
        <v>0</v>
      </c>
    </row>
    <row r="766" spans="1:21" x14ac:dyDescent="0.25">
      <c r="A766" s="20">
        <v>13216</v>
      </c>
      <c r="B766" s="3" t="s">
        <v>111</v>
      </c>
      <c r="C766" s="3" t="s">
        <v>112</v>
      </c>
      <c r="D766" s="19">
        <v>60000</v>
      </c>
      <c r="E766" s="20">
        <v>5</v>
      </c>
      <c r="F766" s="3" t="s">
        <v>15</v>
      </c>
      <c r="G766" s="3" t="s">
        <v>31</v>
      </c>
      <c r="H766" s="3" t="s">
        <v>17</v>
      </c>
      <c r="I766" s="20">
        <v>3</v>
      </c>
      <c r="J766" s="3" t="s">
        <v>33</v>
      </c>
      <c r="K766" s="3" t="s">
        <v>35</v>
      </c>
      <c r="L766" s="20">
        <v>59</v>
      </c>
      <c r="M766" s="3" t="s">
        <v>20</v>
      </c>
      <c r="N766" s="20" t="str" cm="1">
        <f t="array" ref="N766">_xlfn.IFS(tbl_Clean[[#This Row],[Age]]&lt;=30,"25-30",tbl_Clean[[#This Row],[Age]]&lt;=40,"31-40",tbl_Clean[[#This Row],[Age]]&lt;=50,"41-50",tbl_Clean[[#This Row],[Age]]&lt;=60,"51-60",TRUE,"61+")</f>
        <v>51-60</v>
      </c>
      <c r="O766" s="20">
        <f>_xlfn.XMATCH(tbl_Clean[[#This Row],[Age Band]],{"25-30","31-40","41-50","51-60","61+"})</f>
        <v>4</v>
      </c>
      <c r="P766" s="20" t="str" cm="1">
        <f t="array" ref="P766">_xlfn.IFS(tbl_Clean[[#This Row],[Income]]&lt;=30000,"$10k-30k",tbl_Clean[[#This Row],[Income]]&lt;=60000,"$40k-60k",tbl_Clean[[#This Row],[Income]]&lt;=90000,"$70k-90k",TRUE,"$100k+")</f>
        <v>$40k-60k</v>
      </c>
      <c r="Q766" s="20">
        <f>_xlfn.XMATCH(tbl_Clean[[#This Row],[Income Band]],{"$10k-30k","$40k-60k","$70k-90k","$100k+"})</f>
        <v>2</v>
      </c>
      <c r="R766" s="20" t="str">
        <f>IF(tbl_Clean[[#This Row],[Cars]]&lt;=1,"0-1 Cars","2+ Cars")</f>
        <v>2+ Cars</v>
      </c>
      <c r="S766" s="20">
        <f>_xlfn.XMATCH(tbl_Clean[[#This Row],[Commute Distance]],{"0-1 Miles","1-2 Miles","2-5 Miles","5-10 Miles","10+ Miles"})</f>
        <v>5</v>
      </c>
      <c r="T766" s="20">
        <f>_xlfn.XMATCH(tbl_Clean[[#This Row],[Education]],{"Partial High School","High School","Partial College","Bachelors","Graduate Degree"})</f>
        <v>4</v>
      </c>
      <c r="U766" s="20">
        <f>IF(tbl_Clean[[#This Row],[Purchased Bike]]="Yes",1,0)</f>
        <v>0</v>
      </c>
    </row>
    <row r="767" spans="1:21" x14ac:dyDescent="0.25">
      <c r="A767" s="20">
        <v>20657</v>
      </c>
      <c r="B767" s="3" t="s">
        <v>114</v>
      </c>
      <c r="C767" s="3" t="s">
        <v>113</v>
      </c>
      <c r="D767" s="19">
        <v>50000</v>
      </c>
      <c r="E767" s="20">
        <v>2</v>
      </c>
      <c r="F767" s="3" t="s">
        <v>15</v>
      </c>
      <c r="G767" s="3" t="s">
        <v>16</v>
      </c>
      <c r="H767" s="3" t="s">
        <v>17</v>
      </c>
      <c r="I767" s="20">
        <v>0</v>
      </c>
      <c r="J767" s="3" t="s">
        <v>24</v>
      </c>
      <c r="K767" s="3" t="s">
        <v>35</v>
      </c>
      <c r="L767" s="20">
        <v>37</v>
      </c>
      <c r="M767" s="3" t="s">
        <v>17</v>
      </c>
      <c r="N767" s="20" t="str" cm="1">
        <f t="array" ref="N767">_xlfn.IFS(tbl_Clean[[#This Row],[Age]]&lt;=30,"25-30",tbl_Clean[[#This Row],[Age]]&lt;=40,"31-40",tbl_Clean[[#This Row],[Age]]&lt;=50,"41-50",tbl_Clean[[#This Row],[Age]]&lt;=60,"51-60",TRUE,"61+")</f>
        <v>31-40</v>
      </c>
      <c r="O767" s="20">
        <f>_xlfn.XMATCH(tbl_Clean[[#This Row],[Age Band]],{"25-30","31-40","41-50","51-60","61+"})</f>
        <v>2</v>
      </c>
      <c r="P767" s="20" t="str" cm="1">
        <f t="array" ref="P767">_xlfn.IFS(tbl_Clean[[#This Row],[Income]]&lt;=30000,"$10k-30k",tbl_Clean[[#This Row],[Income]]&lt;=60000,"$40k-60k",tbl_Clean[[#This Row],[Income]]&lt;=90000,"$70k-90k",TRUE,"$100k+")</f>
        <v>$40k-60k</v>
      </c>
      <c r="Q767" s="20">
        <f>_xlfn.XMATCH(tbl_Clean[[#This Row],[Income Band]],{"$10k-30k","$40k-60k","$70k-90k","$100k+"})</f>
        <v>2</v>
      </c>
      <c r="R767" s="20" t="str">
        <f>IF(tbl_Clean[[#This Row],[Cars]]&lt;=1,"0-1 Cars","2+ Cars")</f>
        <v>0-1 Cars</v>
      </c>
      <c r="S767" s="20">
        <f>_xlfn.XMATCH(tbl_Clean[[#This Row],[Commute Distance]],{"0-1 Miles","1-2 Miles","2-5 Miles","5-10 Miles","10+ Miles"})</f>
        <v>3</v>
      </c>
      <c r="T767" s="20">
        <f>_xlfn.XMATCH(tbl_Clean[[#This Row],[Education]],{"Partial High School","High School","Partial College","Bachelors","Graduate Degree"})</f>
        <v>4</v>
      </c>
      <c r="U767" s="20">
        <f>IF(tbl_Clean[[#This Row],[Purchased Bike]]="Yes",1,0)</f>
        <v>1</v>
      </c>
    </row>
    <row r="768" spans="1:21" x14ac:dyDescent="0.25">
      <c r="A768" s="20">
        <v>12882</v>
      </c>
      <c r="B768" s="3" t="s">
        <v>111</v>
      </c>
      <c r="C768" s="3" t="s">
        <v>113</v>
      </c>
      <c r="D768" s="19">
        <v>50000</v>
      </c>
      <c r="E768" s="20">
        <v>1</v>
      </c>
      <c r="F768" s="3" t="s">
        <v>34</v>
      </c>
      <c r="G768" s="3" t="s">
        <v>16</v>
      </c>
      <c r="H768" s="3" t="s">
        <v>17</v>
      </c>
      <c r="I768" s="20">
        <v>0</v>
      </c>
      <c r="J768" s="3" t="s">
        <v>18</v>
      </c>
      <c r="K768" s="3" t="s">
        <v>35</v>
      </c>
      <c r="L768" s="20">
        <v>33</v>
      </c>
      <c r="M768" s="3" t="s">
        <v>17</v>
      </c>
      <c r="N768" s="20" t="str" cm="1">
        <f t="array" ref="N768">_xlfn.IFS(tbl_Clean[[#This Row],[Age]]&lt;=30,"25-30",tbl_Clean[[#This Row],[Age]]&lt;=40,"31-40",tbl_Clean[[#This Row],[Age]]&lt;=50,"41-50",tbl_Clean[[#This Row],[Age]]&lt;=60,"51-60",TRUE,"61+")</f>
        <v>31-40</v>
      </c>
      <c r="O768" s="20">
        <f>_xlfn.XMATCH(tbl_Clean[[#This Row],[Age Band]],{"25-30","31-40","41-50","51-60","61+"})</f>
        <v>2</v>
      </c>
      <c r="P768" s="20" t="str" cm="1">
        <f t="array" ref="P768">_xlfn.IFS(tbl_Clean[[#This Row],[Income]]&lt;=30000,"$10k-30k",tbl_Clean[[#This Row],[Income]]&lt;=60000,"$40k-60k",tbl_Clean[[#This Row],[Income]]&lt;=90000,"$70k-90k",TRUE,"$100k+")</f>
        <v>$40k-60k</v>
      </c>
      <c r="Q768" s="20">
        <f>_xlfn.XMATCH(tbl_Clean[[#This Row],[Income Band]],{"$10k-30k","$40k-60k","$70k-90k","$100k+"})</f>
        <v>2</v>
      </c>
      <c r="R768" s="20" t="str">
        <f>IF(tbl_Clean[[#This Row],[Cars]]&lt;=1,"0-1 Cars","2+ Cars")</f>
        <v>0-1 Cars</v>
      </c>
      <c r="S768" s="20">
        <f>_xlfn.XMATCH(tbl_Clean[[#This Row],[Commute Distance]],{"0-1 Miles","1-2 Miles","2-5 Miles","5-10 Miles","10+ Miles"})</f>
        <v>1</v>
      </c>
      <c r="T768" s="20">
        <f>_xlfn.XMATCH(tbl_Clean[[#This Row],[Education]],{"Partial High School","High School","Partial College","Bachelors","Graduate Degree"})</f>
        <v>5</v>
      </c>
      <c r="U768" s="20">
        <f>IF(tbl_Clean[[#This Row],[Purchased Bike]]="Yes",1,0)</f>
        <v>1</v>
      </c>
    </row>
    <row r="769" spans="1:21" x14ac:dyDescent="0.25">
      <c r="A769" s="20">
        <v>25908</v>
      </c>
      <c r="B769" s="3" t="s">
        <v>111</v>
      </c>
      <c r="C769" s="3" t="s">
        <v>112</v>
      </c>
      <c r="D769" s="19">
        <v>60000</v>
      </c>
      <c r="E769" s="20">
        <v>0</v>
      </c>
      <c r="F769" s="3" t="s">
        <v>21</v>
      </c>
      <c r="G769" s="3" t="s">
        <v>16</v>
      </c>
      <c r="H769" s="3" t="s">
        <v>20</v>
      </c>
      <c r="I769" s="20">
        <v>1</v>
      </c>
      <c r="J769" s="3" t="s">
        <v>29</v>
      </c>
      <c r="K769" s="3" t="s">
        <v>35</v>
      </c>
      <c r="L769" s="20">
        <v>27</v>
      </c>
      <c r="M769" s="3" t="s">
        <v>20</v>
      </c>
      <c r="N769" s="20" t="str" cm="1">
        <f t="array" ref="N769">_xlfn.IFS(tbl_Clean[[#This Row],[Age]]&lt;=30,"25-30",tbl_Clean[[#This Row],[Age]]&lt;=40,"31-40",tbl_Clean[[#This Row],[Age]]&lt;=50,"41-50",tbl_Clean[[#This Row],[Age]]&lt;=60,"51-60",TRUE,"61+")</f>
        <v>25-30</v>
      </c>
      <c r="O769" s="20">
        <f>_xlfn.XMATCH(tbl_Clean[[#This Row],[Age Band]],{"25-30","31-40","41-50","51-60","61+"})</f>
        <v>1</v>
      </c>
      <c r="P769" s="20" t="str" cm="1">
        <f t="array" ref="P769">_xlfn.IFS(tbl_Clean[[#This Row],[Income]]&lt;=30000,"$10k-30k",tbl_Clean[[#This Row],[Income]]&lt;=60000,"$40k-60k",tbl_Clean[[#This Row],[Income]]&lt;=90000,"$70k-90k",TRUE,"$100k+")</f>
        <v>$40k-60k</v>
      </c>
      <c r="Q769" s="20">
        <f>_xlfn.XMATCH(tbl_Clean[[#This Row],[Income Band]],{"$10k-30k","$40k-60k","$70k-90k","$100k+"})</f>
        <v>2</v>
      </c>
      <c r="R769" s="20" t="str">
        <f>IF(tbl_Clean[[#This Row],[Cars]]&lt;=1,"0-1 Cars","2+ Cars")</f>
        <v>0-1 Cars</v>
      </c>
      <c r="S769" s="20">
        <f>_xlfn.XMATCH(tbl_Clean[[#This Row],[Commute Distance]],{"0-1 Miles","1-2 Miles","2-5 Miles","5-10 Miles","10+ Miles"})</f>
        <v>2</v>
      </c>
      <c r="T769" s="20">
        <f>_xlfn.XMATCH(tbl_Clean[[#This Row],[Education]],{"Partial High School","High School","Partial College","Bachelors","Graduate Degree"})</f>
        <v>3</v>
      </c>
      <c r="U769" s="20">
        <f>IF(tbl_Clean[[#This Row],[Purchased Bike]]="Yes",1,0)</f>
        <v>0</v>
      </c>
    </row>
    <row r="770" spans="1:21" x14ac:dyDescent="0.25">
      <c r="A770" s="20">
        <v>16753</v>
      </c>
      <c r="B770" s="3" t="s">
        <v>114</v>
      </c>
      <c r="C770" s="3" t="s">
        <v>112</v>
      </c>
      <c r="D770" s="19">
        <v>70000</v>
      </c>
      <c r="E770" s="20">
        <v>0</v>
      </c>
      <c r="F770" s="3" t="s">
        <v>21</v>
      </c>
      <c r="G770" s="3" t="s">
        <v>16</v>
      </c>
      <c r="H770" s="3" t="s">
        <v>17</v>
      </c>
      <c r="I770" s="20">
        <v>2</v>
      </c>
      <c r="J770" s="3" t="s">
        <v>26</v>
      </c>
      <c r="K770" s="3" t="s">
        <v>35</v>
      </c>
      <c r="L770" s="20">
        <v>34</v>
      </c>
      <c r="M770" s="3" t="s">
        <v>17</v>
      </c>
      <c r="N770" s="20" t="str" cm="1">
        <f t="array" ref="N770">_xlfn.IFS(tbl_Clean[[#This Row],[Age]]&lt;=30,"25-30",tbl_Clean[[#This Row],[Age]]&lt;=40,"31-40",tbl_Clean[[#This Row],[Age]]&lt;=50,"41-50",tbl_Clean[[#This Row],[Age]]&lt;=60,"51-60",TRUE,"61+")</f>
        <v>31-40</v>
      </c>
      <c r="O770" s="20">
        <f>_xlfn.XMATCH(tbl_Clean[[#This Row],[Age Band]],{"25-30","31-40","41-50","51-60","61+"})</f>
        <v>2</v>
      </c>
      <c r="P770" s="20" t="str" cm="1">
        <f t="array" ref="P770">_xlfn.IFS(tbl_Clean[[#This Row],[Income]]&lt;=30000,"$10k-30k",tbl_Clean[[#This Row],[Income]]&lt;=60000,"$40k-60k",tbl_Clean[[#This Row],[Income]]&lt;=90000,"$70k-90k",TRUE,"$100k+")</f>
        <v>$70k-90k</v>
      </c>
      <c r="Q770" s="20">
        <f>_xlfn.XMATCH(tbl_Clean[[#This Row],[Income Band]],{"$10k-30k","$40k-60k","$70k-90k","$100k+"})</f>
        <v>3</v>
      </c>
      <c r="R770" s="20" t="str">
        <f>IF(tbl_Clean[[#This Row],[Cars]]&lt;=1,"0-1 Cars","2+ Cars")</f>
        <v>2+ Cars</v>
      </c>
      <c r="S770" s="20">
        <f>_xlfn.XMATCH(tbl_Clean[[#This Row],[Commute Distance]],{"0-1 Miles","1-2 Miles","2-5 Miles","5-10 Miles","10+ Miles"})</f>
        <v>4</v>
      </c>
      <c r="T770" s="20">
        <f>_xlfn.XMATCH(tbl_Clean[[#This Row],[Education]],{"Partial High School","High School","Partial College","Bachelors","Graduate Degree"})</f>
        <v>3</v>
      </c>
      <c r="U770" s="20">
        <f>IF(tbl_Clean[[#This Row],[Purchased Bike]]="Yes",1,0)</f>
        <v>1</v>
      </c>
    </row>
    <row r="771" spans="1:21" x14ac:dyDescent="0.25">
      <c r="A771" s="20">
        <v>14608</v>
      </c>
      <c r="B771" s="3" t="s">
        <v>111</v>
      </c>
      <c r="C771" s="3" t="s">
        <v>113</v>
      </c>
      <c r="D771" s="19">
        <v>50000</v>
      </c>
      <c r="E771" s="20">
        <v>4</v>
      </c>
      <c r="F771" s="3" t="s">
        <v>15</v>
      </c>
      <c r="G771" s="3" t="s">
        <v>16</v>
      </c>
      <c r="H771" s="3" t="s">
        <v>17</v>
      </c>
      <c r="I771" s="20">
        <v>3</v>
      </c>
      <c r="J771" s="3" t="s">
        <v>33</v>
      </c>
      <c r="K771" s="3" t="s">
        <v>35</v>
      </c>
      <c r="L771" s="20">
        <v>42</v>
      </c>
      <c r="M771" s="3" t="s">
        <v>20</v>
      </c>
      <c r="N771" s="20" t="str" cm="1">
        <f t="array" ref="N771">_xlfn.IFS(tbl_Clean[[#This Row],[Age]]&lt;=30,"25-30",tbl_Clean[[#This Row],[Age]]&lt;=40,"31-40",tbl_Clean[[#This Row],[Age]]&lt;=50,"41-50",tbl_Clean[[#This Row],[Age]]&lt;=60,"51-60",TRUE,"61+")</f>
        <v>41-50</v>
      </c>
      <c r="O771" s="20">
        <f>_xlfn.XMATCH(tbl_Clean[[#This Row],[Age Band]],{"25-30","31-40","41-50","51-60","61+"})</f>
        <v>3</v>
      </c>
      <c r="P771" s="20" t="str" cm="1">
        <f t="array" ref="P771">_xlfn.IFS(tbl_Clean[[#This Row],[Income]]&lt;=30000,"$10k-30k",tbl_Clean[[#This Row],[Income]]&lt;=60000,"$40k-60k",tbl_Clean[[#This Row],[Income]]&lt;=90000,"$70k-90k",TRUE,"$100k+")</f>
        <v>$40k-60k</v>
      </c>
      <c r="Q771" s="20">
        <f>_xlfn.XMATCH(tbl_Clean[[#This Row],[Income Band]],{"$10k-30k","$40k-60k","$70k-90k","$100k+"})</f>
        <v>2</v>
      </c>
      <c r="R771" s="20" t="str">
        <f>IF(tbl_Clean[[#This Row],[Cars]]&lt;=1,"0-1 Cars","2+ Cars")</f>
        <v>2+ Cars</v>
      </c>
      <c r="S771" s="20">
        <f>_xlfn.XMATCH(tbl_Clean[[#This Row],[Commute Distance]],{"0-1 Miles","1-2 Miles","2-5 Miles","5-10 Miles","10+ Miles"})</f>
        <v>5</v>
      </c>
      <c r="T771" s="20">
        <f>_xlfn.XMATCH(tbl_Clean[[#This Row],[Education]],{"Partial High School","High School","Partial College","Bachelors","Graduate Degree"})</f>
        <v>4</v>
      </c>
      <c r="U771" s="20">
        <f>IF(tbl_Clean[[#This Row],[Purchased Bike]]="Yes",1,0)</f>
        <v>0</v>
      </c>
    </row>
    <row r="772" spans="1:21" x14ac:dyDescent="0.25">
      <c r="A772" s="20">
        <v>24979</v>
      </c>
      <c r="B772" s="3" t="s">
        <v>111</v>
      </c>
      <c r="C772" s="3" t="s">
        <v>112</v>
      </c>
      <c r="D772" s="19">
        <v>60000</v>
      </c>
      <c r="E772" s="20">
        <v>2</v>
      </c>
      <c r="F772" s="3" t="s">
        <v>21</v>
      </c>
      <c r="G772" s="3" t="s">
        <v>23</v>
      </c>
      <c r="H772" s="3" t="s">
        <v>17</v>
      </c>
      <c r="I772" s="20">
        <v>2</v>
      </c>
      <c r="J772" s="3" t="s">
        <v>24</v>
      </c>
      <c r="K772" s="3" t="s">
        <v>35</v>
      </c>
      <c r="L772" s="20">
        <v>57</v>
      </c>
      <c r="M772" s="3" t="s">
        <v>17</v>
      </c>
      <c r="N772" s="20" t="str" cm="1">
        <f t="array" ref="N772">_xlfn.IFS(tbl_Clean[[#This Row],[Age]]&lt;=30,"25-30",tbl_Clean[[#This Row],[Age]]&lt;=40,"31-40",tbl_Clean[[#This Row],[Age]]&lt;=50,"41-50",tbl_Clean[[#This Row],[Age]]&lt;=60,"51-60",TRUE,"61+")</f>
        <v>51-60</v>
      </c>
      <c r="O772" s="20">
        <f>_xlfn.XMATCH(tbl_Clean[[#This Row],[Age Band]],{"25-30","31-40","41-50","51-60","61+"})</f>
        <v>4</v>
      </c>
      <c r="P772" s="20" t="str" cm="1">
        <f t="array" ref="P772">_xlfn.IFS(tbl_Clean[[#This Row],[Income]]&lt;=30000,"$10k-30k",tbl_Clean[[#This Row],[Income]]&lt;=60000,"$40k-60k",tbl_Clean[[#This Row],[Income]]&lt;=90000,"$70k-90k",TRUE,"$100k+")</f>
        <v>$40k-60k</v>
      </c>
      <c r="Q772" s="20">
        <f>_xlfn.XMATCH(tbl_Clean[[#This Row],[Income Band]],{"$10k-30k","$40k-60k","$70k-90k","$100k+"})</f>
        <v>2</v>
      </c>
      <c r="R772" s="20" t="str">
        <f>IF(tbl_Clean[[#This Row],[Cars]]&lt;=1,"0-1 Cars","2+ Cars")</f>
        <v>2+ Cars</v>
      </c>
      <c r="S772" s="20">
        <f>_xlfn.XMATCH(tbl_Clean[[#This Row],[Commute Distance]],{"0-1 Miles","1-2 Miles","2-5 Miles","5-10 Miles","10+ Miles"})</f>
        <v>3</v>
      </c>
      <c r="T772" s="20">
        <f>_xlfn.XMATCH(tbl_Clean[[#This Row],[Education]],{"Partial High School","High School","Partial College","Bachelors","Graduate Degree"})</f>
        <v>3</v>
      </c>
      <c r="U772" s="20">
        <f>IF(tbl_Clean[[#This Row],[Purchased Bike]]="Yes",1,0)</f>
        <v>1</v>
      </c>
    </row>
    <row r="773" spans="1:21" x14ac:dyDescent="0.25">
      <c r="A773" s="20">
        <v>13313</v>
      </c>
      <c r="B773" s="3" t="s">
        <v>111</v>
      </c>
      <c r="C773" s="3" t="s">
        <v>112</v>
      </c>
      <c r="D773" s="19">
        <v>120000</v>
      </c>
      <c r="E773" s="20">
        <v>1</v>
      </c>
      <c r="F773" s="3" t="s">
        <v>30</v>
      </c>
      <c r="G773" s="3" t="s">
        <v>23</v>
      </c>
      <c r="H773" s="3" t="s">
        <v>20</v>
      </c>
      <c r="I773" s="20">
        <v>4</v>
      </c>
      <c r="J773" s="3" t="s">
        <v>24</v>
      </c>
      <c r="K773" s="3" t="s">
        <v>35</v>
      </c>
      <c r="L773" s="20">
        <v>45</v>
      </c>
      <c r="M773" s="3" t="s">
        <v>20</v>
      </c>
      <c r="N773" s="20" t="str" cm="1">
        <f t="array" ref="N773">_xlfn.IFS(tbl_Clean[[#This Row],[Age]]&lt;=30,"25-30",tbl_Clean[[#This Row],[Age]]&lt;=40,"31-40",tbl_Clean[[#This Row],[Age]]&lt;=50,"41-50",tbl_Clean[[#This Row],[Age]]&lt;=60,"51-60",TRUE,"61+")</f>
        <v>41-50</v>
      </c>
      <c r="O773" s="20">
        <f>_xlfn.XMATCH(tbl_Clean[[#This Row],[Age Band]],{"25-30","31-40","41-50","51-60","61+"})</f>
        <v>3</v>
      </c>
      <c r="P773" s="20" t="str" cm="1">
        <f t="array" ref="P773">_xlfn.IFS(tbl_Clean[[#This Row],[Income]]&lt;=30000,"$10k-30k",tbl_Clean[[#This Row],[Income]]&lt;=60000,"$40k-60k",tbl_Clean[[#This Row],[Income]]&lt;=90000,"$70k-90k",TRUE,"$100k+")</f>
        <v>$100k+</v>
      </c>
      <c r="Q773" s="20">
        <f>_xlfn.XMATCH(tbl_Clean[[#This Row],[Income Band]],{"$10k-30k","$40k-60k","$70k-90k","$100k+"})</f>
        <v>4</v>
      </c>
      <c r="R773" s="20" t="str">
        <f>IF(tbl_Clean[[#This Row],[Cars]]&lt;=1,"0-1 Cars","2+ Cars")</f>
        <v>2+ Cars</v>
      </c>
      <c r="S773" s="20">
        <f>_xlfn.XMATCH(tbl_Clean[[#This Row],[Commute Distance]],{"0-1 Miles","1-2 Miles","2-5 Miles","5-10 Miles","10+ Miles"})</f>
        <v>3</v>
      </c>
      <c r="T773" s="20">
        <f>_xlfn.XMATCH(tbl_Clean[[#This Row],[Education]],{"Partial High School","High School","Partial College","Bachelors","Graduate Degree"})</f>
        <v>2</v>
      </c>
      <c r="U773" s="20">
        <f>IF(tbl_Clean[[#This Row],[Purchased Bike]]="Yes",1,0)</f>
        <v>0</v>
      </c>
    </row>
    <row r="774" spans="1:21" x14ac:dyDescent="0.25">
      <c r="A774" s="20">
        <v>18952</v>
      </c>
      <c r="B774" s="3" t="s">
        <v>111</v>
      </c>
      <c r="C774" s="3" t="s">
        <v>112</v>
      </c>
      <c r="D774" s="19">
        <v>100000</v>
      </c>
      <c r="E774" s="20">
        <v>4</v>
      </c>
      <c r="F774" s="3" t="s">
        <v>15</v>
      </c>
      <c r="G774" s="3" t="s">
        <v>31</v>
      </c>
      <c r="H774" s="3" t="s">
        <v>17</v>
      </c>
      <c r="I774" s="20">
        <v>4</v>
      </c>
      <c r="J774" s="3" t="s">
        <v>18</v>
      </c>
      <c r="K774" s="3" t="s">
        <v>35</v>
      </c>
      <c r="L774" s="20">
        <v>40</v>
      </c>
      <c r="M774" s="3" t="s">
        <v>20</v>
      </c>
      <c r="N774" s="20" t="str" cm="1">
        <f t="array" ref="N774">_xlfn.IFS(tbl_Clean[[#This Row],[Age]]&lt;=30,"25-30",tbl_Clean[[#This Row],[Age]]&lt;=40,"31-40",tbl_Clean[[#This Row],[Age]]&lt;=50,"41-50",tbl_Clean[[#This Row],[Age]]&lt;=60,"51-60",TRUE,"61+")</f>
        <v>31-40</v>
      </c>
      <c r="O774" s="20">
        <f>_xlfn.XMATCH(tbl_Clean[[#This Row],[Age Band]],{"25-30","31-40","41-50","51-60","61+"})</f>
        <v>2</v>
      </c>
      <c r="P774" s="20" t="str" cm="1">
        <f t="array" ref="P774">_xlfn.IFS(tbl_Clean[[#This Row],[Income]]&lt;=30000,"$10k-30k",tbl_Clean[[#This Row],[Income]]&lt;=60000,"$40k-60k",tbl_Clean[[#This Row],[Income]]&lt;=90000,"$70k-90k",TRUE,"$100k+")</f>
        <v>$100k+</v>
      </c>
      <c r="Q774" s="20">
        <f>_xlfn.XMATCH(tbl_Clean[[#This Row],[Income Band]],{"$10k-30k","$40k-60k","$70k-90k","$100k+"})</f>
        <v>4</v>
      </c>
      <c r="R774" s="20" t="str">
        <f>IF(tbl_Clean[[#This Row],[Cars]]&lt;=1,"0-1 Cars","2+ Cars")</f>
        <v>2+ Cars</v>
      </c>
      <c r="S774" s="20">
        <f>_xlfn.XMATCH(tbl_Clean[[#This Row],[Commute Distance]],{"0-1 Miles","1-2 Miles","2-5 Miles","5-10 Miles","10+ Miles"})</f>
        <v>1</v>
      </c>
      <c r="T774" s="20">
        <f>_xlfn.XMATCH(tbl_Clean[[#This Row],[Education]],{"Partial High School","High School","Partial College","Bachelors","Graduate Degree"})</f>
        <v>4</v>
      </c>
      <c r="U774" s="20">
        <f>IF(tbl_Clean[[#This Row],[Purchased Bike]]="Yes",1,0)</f>
        <v>0</v>
      </c>
    </row>
    <row r="775" spans="1:21" x14ac:dyDescent="0.25">
      <c r="A775" s="20">
        <v>17699</v>
      </c>
      <c r="B775" s="3" t="s">
        <v>111</v>
      </c>
      <c r="C775" s="3" t="s">
        <v>113</v>
      </c>
      <c r="D775" s="19">
        <v>60000</v>
      </c>
      <c r="E775" s="20">
        <v>1</v>
      </c>
      <c r="F775" s="3" t="s">
        <v>34</v>
      </c>
      <c r="G775" s="3" t="s">
        <v>16</v>
      </c>
      <c r="H775" s="3" t="s">
        <v>20</v>
      </c>
      <c r="I775" s="20">
        <v>0</v>
      </c>
      <c r="J775" s="3" t="s">
        <v>18</v>
      </c>
      <c r="K775" s="3" t="s">
        <v>35</v>
      </c>
      <c r="L775" s="20">
        <v>55</v>
      </c>
      <c r="M775" s="3" t="s">
        <v>20</v>
      </c>
      <c r="N775" s="20" t="str" cm="1">
        <f t="array" ref="N775">_xlfn.IFS(tbl_Clean[[#This Row],[Age]]&lt;=30,"25-30",tbl_Clean[[#This Row],[Age]]&lt;=40,"31-40",tbl_Clean[[#This Row],[Age]]&lt;=50,"41-50",tbl_Clean[[#This Row],[Age]]&lt;=60,"51-60",TRUE,"61+")</f>
        <v>51-60</v>
      </c>
      <c r="O775" s="20">
        <f>_xlfn.XMATCH(tbl_Clean[[#This Row],[Age Band]],{"25-30","31-40","41-50","51-60","61+"})</f>
        <v>4</v>
      </c>
      <c r="P775" s="20" t="str" cm="1">
        <f t="array" ref="P775">_xlfn.IFS(tbl_Clean[[#This Row],[Income]]&lt;=30000,"$10k-30k",tbl_Clean[[#This Row],[Income]]&lt;=60000,"$40k-60k",tbl_Clean[[#This Row],[Income]]&lt;=90000,"$70k-90k",TRUE,"$100k+")</f>
        <v>$40k-60k</v>
      </c>
      <c r="Q775" s="20">
        <f>_xlfn.XMATCH(tbl_Clean[[#This Row],[Income Band]],{"$10k-30k","$40k-60k","$70k-90k","$100k+"})</f>
        <v>2</v>
      </c>
      <c r="R775" s="20" t="str">
        <f>IF(tbl_Clean[[#This Row],[Cars]]&lt;=1,"0-1 Cars","2+ Cars")</f>
        <v>0-1 Cars</v>
      </c>
      <c r="S775" s="20">
        <f>_xlfn.XMATCH(tbl_Clean[[#This Row],[Commute Distance]],{"0-1 Miles","1-2 Miles","2-5 Miles","5-10 Miles","10+ Miles"})</f>
        <v>1</v>
      </c>
      <c r="T775" s="20">
        <f>_xlfn.XMATCH(tbl_Clean[[#This Row],[Education]],{"Partial High School","High School","Partial College","Bachelors","Graduate Degree"})</f>
        <v>5</v>
      </c>
      <c r="U775" s="20">
        <f>IF(tbl_Clean[[#This Row],[Purchased Bike]]="Yes",1,0)</f>
        <v>0</v>
      </c>
    </row>
    <row r="776" spans="1:21" x14ac:dyDescent="0.25">
      <c r="A776" s="20">
        <v>14657</v>
      </c>
      <c r="B776" s="3" t="s">
        <v>111</v>
      </c>
      <c r="C776" s="3" t="s">
        <v>113</v>
      </c>
      <c r="D776" s="19">
        <v>80000</v>
      </c>
      <c r="E776" s="20">
        <v>1</v>
      </c>
      <c r="F776" s="3" t="s">
        <v>21</v>
      </c>
      <c r="G776" s="3" t="s">
        <v>16</v>
      </c>
      <c r="H776" s="3" t="s">
        <v>20</v>
      </c>
      <c r="I776" s="20">
        <v>1</v>
      </c>
      <c r="J776" s="3" t="s">
        <v>18</v>
      </c>
      <c r="K776" s="3" t="s">
        <v>35</v>
      </c>
      <c r="L776" s="20">
        <v>47</v>
      </c>
      <c r="M776" s="3" t="s">
        <v>17</v>
      </c>
      <c r="N776" s="20" t="str" cm="1">
        <f t="array" ref="N776">_xlfn.IFS(tbl_Clean[[#This Row],[Age]]&lt;=30,"25-30",tbl_Clean[[#This Row],[Age]]&lt;=40,"31-40",tbl_Clean[[#This Row],[Age]]&lt;=50,"41-50",tbl_Clean[[#This Row],[Age]]&lt;=60,"51-60",TRUE,"61+")</f>
        <v>41-50</v>
      </c>
      <c r="O776" s="20">
        <f>_xlfn.XMATCH(tbl_Clean[[#This Row],[Age Band]],{"25-30","31-40","41-50","51-60","61+"})</f>
        <v>3</v>
      </c>
      <c r="P776" s="20" t="str" cm="1">
        <f t="array" ref="P776">_xlfn.IFS(tbl_Clean[[#This Row],[Income]]&lt;=30000,"$10k-30k",tbl_Clean[[#This Row],[Income]]&lt;=60000,"$40k-60k",tbl_Clean[[#This Row],[Income]]&lt;=90000,"$70k-90k",TRUE,"$100k+")</f>
        <v>$70k-90k</v>
      </c>
      <c r="Q776" s="20">
        <f>_xlfn.XMATCH(tbl_Clean[[#This Row],[Income Band]],{"$10k-30k","$40k-60k","$70k-90k","$100k+"})</f>
        <v>3</v>
      </c>
      <c r="R776" s="20" t="str">
        <f>IF(tbl_Clean[[#This Row],[Cars]]&lt;=1,"0-1 Cars","2+ Cars")</f>
        <v>0-1 Cars</v>
      </c>
      <c r="S776" s="20">
        <f>_xlfn.XMATCH(tbl_Clean[[#This Row],[Commute Distance]],{"0-1 Miles","1-2 Miles","2-5 Miles","5-10 Miles","10+ Miles"})</f>
        <v>1</v>
      </c>
      <c r="T776" s="20">
        <f>_xlfn.XMATCH(tbl_Clean[[#This Row],[Education]],{"Partial High School","High School","Partial College","Bachelors","Graduate Degree"})</f>
        <v>3</v>
      </c>
      <c r="U776" s="20">
        <f>IF(tbl_Clean[[#This Row],[Purchased Bike]]="Yes",1,0)</f>
        <v>1</v>
      </c>
    </row>
    <row r="777" spans="1:21" x14ac:dyDescent="0.25">
      <c r="A777" s="20">
        <v>11540</v>
      </c>
      <c r="B777" s="3" t="s">
        <v>114</v>
      </c>
      <c r="C777" s="3" t="s">
        <v>113</v>
      </c>
      <c r="D777" s="19">
        <v>60000</v>
      </c>
      <c r="E777" s="20">
        <v>4</v>
      </c>
      <c r="F777" s="3" t="s">
        <v>34</v>
      </c>
      <c r="G777" s="3" t="s">
        <v>16</v>
      </c>
      <c r="H777" s="3" t="s">
        <v>17</v>
      </c>
      <c r="I777" s="20">
        <v>0</v>
      </c>
      <c r="J777" s="3" t="s">
        <v>29</v>
      </c>
      <c r="K777" s="3" t="s">
        <v>35</v>
      </c>
      <c r="L777" s="20">
        <v>47</v>
      </c>
      <c r="M777" s="3" t="s">
        <v>17</v>
      </c>
      <c r="N777" s="20" t="str" cm="1">
        <f t="array" ref="N777">_xlfn.IFS(tbl_Clean[[#This Row],[Age]]&lt;=30,"25-30",tbl_Clean[[#This Row],[Age]]&lt;=40,"31-40",tbl_Clean[[#This Row],[Age]]&lt;=50,"41-50",tbl_Clean[[#This Row],[Age]]&lt;=60,"51-60",TRUE,"61+")</f>
        <v>41-50</v>
      </c>
      <c r="O777" s="20">
        <f>_xlfn.XMATCH(tbl_Clean[[#This Row],[Age Band]],{"25-30","31-40","41-50","51-60","61+"})</f>
        <v>3</v>
      </c>
      <c r="P777" s="20" t="str" cm="1">
        <f t="array" ref="P777">_xlfn.IFS(tbl_Clean[[#This Row],[Income]]&lt;=30000,"$10k-30k",tbl_Clean[[#This Row],[Income]]&lt;=60000,"$40k-60k",tbl_Clean[[#This Row],[Income]]&lt;=90000,"$70k-90k",TRUE,"$100k+")</f>
        <v>$40k-60k</v>
      </c>
      <c r="Q777" s="20">
        <f>_xlfn.XMATCH(tbl_Clean[[#This Row],[Income Band]],{"$10k-30k","$40k-60k","$70k-90k","$100k+"})</f>
        <v>2</v>
      </c>
      <c r="R777" s="20" t="str">
        <f>IF(tbl_Clean[[#This Row],[Cars]]&lt;=1,"0-1 Cars","2+ Cars")</f>
        <v>0-1 Cars</v>
      </c>
      <c r="S777" s="20">
        <f>_xlfn.XMATCH(tbl_Clean[[#This Row],[Commute Distance]],{"0-1 Miles","1-2 Miles","2-5 Miles","5-10 Miles","10+ Miles"})</f>
        <v>2</v>
      </c>
      <c r="T777" s="20">
        <f>_xlfn.XMATCH(tbl_Clean[[#This Row],[Education]],{"Partial High School","High School","Partial College","Bachelors","Graduate Degree"})</f>
        <v>5</v>
      </c>
      <c r="U777" s="20">
        <f>IF(tbl_Clean[[#This Row],[Purchased Bike]]="Yes",1,0)</f>
        <v>1</v>
      </c>
    </row>
    <row r="778" spans="1:21" x14ac:dyDescent="0.25">
      <c r="A778" s="20">
        <v>11783</v>
      </c>
      <c r="B778" s="3" t="s">
        <v>111</v>
      </c>
      <c r="C778" s="3" t="s">
        <v>112</v>
      </c>
      <c r="D778" s="19">
        <v>60000</v>
      </c>
      <c r="E778" s="20">
        <v>1</v>
      </c>
      <c r="F778" s="3" t="s">
        <v>34</v>
      </c>
      <c r="G778" s="3" t="s">
        <v>16</v>
      </c>
      <c r="H778" s="3" t="s">
        <v>17</v>
      </c>
      <c r="I778" s="20">
        <v>0</v>
      </c>
      <c r="J778" s="3" t="s">
        <v>18</v>
      </c>
      <c r="K778" s="3" t="s">
        <v>35</v>
      </c>
      <c r="L778" s="20">
        <v>34</v>
      </c>
      <c r="M778" s="3" t="s">
        <v>20</v>
      </c>
      <c r="N778" s="20" t="str" cm="1">
        <f t="array" ref="N778">_xlfn.IFS(tbl_Clean[[#This Row],[Age]]&lt;=30,"25-30",tbl_Clean[[#This Row],[Age]]&lt;=40,"31-40",tbl_Clean[[#This Row],[Age]]&lt;=50,"41-50",tbl_Clean[[#This Row],[Age]]&lt;=60,"51-60",TRUE,"61+")</f>
        <v>31-40</v>
      </c>
      <c r="O778" s="20">
        <f>_xlfn.XMATCH(tbl_Clean[[#This Row],[Age Band]],{"25-30","31-40","41-50","51-60","61+"})</f>
        <v>2</v>
      </c>
      <c r="P778" s="20" t="str" cm="1">
        <f t="array" ref="P778">_xlfn.IFS(tbl_Clean[[#This Row],[Income]]&lt;=30000,"$10k-30k",tbl_Clean[[#This Row],[Income]]&lt;=60000,"$40k-60k",tbl_Clean[[#This Row],[Income]]&lt;=90000,"$70k-90k",TRUE,"$100k+")</f>
        <v>$40k-60k</v>
      </c>
      <c r="Q778" s="20">
        <f>_xlfn.XMATCH(tbl_Clean[[#This Row],[Income Band]],{"$10k-30k","$40k-60k","$70k-90k","$100k+"})</f>
        <v>2</v>
      </c>
      <c r="R778" s="20" t="str">
        <f>IF(tbl_Clean[[#This Row],[Cars]]&lt;=1,"0-1 Cars","2+ Cars")</f>
        <v>0-1 Cars</v>
      </c>
      <c r="S778" s="20">
        <f>_xlfn.XMATCH(tbl_Clean[[#This Row],[Commute Distance]],{"0-1 Miles","1-2 Miles","2-5 Miles","5-10 Miles","10+ Miles"})</f>
        <v>1</v>
      </c>
      <c r="T778" s="20">
        <f>_xlfn.XMATCH(tbl_Clean[[#This Row],[Education]],{"Partial High School","High School","Partial College","Bachelors","Graduate Degree"})</f>
        <v>5</v>
      </c>
      <c r="U778" s="20">
        <f>IF(tbl_Clean[[#This Row],[Purchased Bike]]="Yes",1,0)</f>
        <v>0</v>
      </c>
    </row>
    <row r="779" spans="1:21" x14ac:dyDescent="0.25">
      <c r="A779" s="20">
        <v>14602</v>
      </c>
      <c r="B779" s="3" t="s">
        <v>111</v>
      </c>
      <c r="C779" s="3" t="s">
        <v>112</v>
      </c>
      <c r="D779" s="19">
        <v>80000</v>
      </c>
      <c r="E779" s="20">
        <v>3</v>
      </c>
      <c r="F779" s="3" t="s">
        <v>34</v>
      </c>
      <c r="G779" s="3" t="s">
        <v>23</v>
      </c>
      <c r="H779" s="3" t="s">
        <v>17</v>
      </c>
      <c r="I779" s="20">
        <v>0</v>
      </c>
      <c r="J779" s="3" t="s">
        <v>18</v>
      </c>
      <c r="K779" s="3" t="s">
        <v>35</v>
      </c>
      <c r="L779" s="20">
        <v>36</v>
      </c>
      <c r="M779" s="3" t="s">
        <v>17</v>
      </c>
      <c r="N779" s="20" t="str" cm="1">
        <f t="array" ref="N779">_xlfn.IFS(tbl_Clean[[#This Row],[Age]]&lt;=30,"25-30",tbl_Clean[[#This Row],[Age]]&lt;=40,"31-40",tbl_Clean[[#This Row],[Age]]&lt;=50,"41-50",tbl_Clean[[#This Row],[Age]]&lt;=60,"51-60",TRUE,"61+")</f>
        <v>31-40</v>
      </c>
      <c r="O779" s="20">
        <f>_xlfn.XMATCH(tbl_Clean[[#This Row],[Age Band]],{"25-30","31-40","41-50","51-60","61+"})</f>
        <v>2</v>
      </c>
      <c r="P779" s="20" t="str" cm="1">
        <f t="array" ref="P779">_xlfn.IFS(tbl_Clean[[#This Row],[Income]]&lt;=30000,"$10k-30k",tbl_Clean[[#This Row],[Income]]&lt;=60000,"$40k-60k",tbl_Clean[[#This Row],[Income]]&lt;=90000,"$70k-90k",TRUE,"$100k+")</f>
        <v>$70k-90k</v>
      </c>
      <c r="Q779" s="20">
        <f>_xlfn.XMATCH(tbl_Clean[[#This Row],[Income Band]],{"$10k-30k","$40k-60k","$70k-90k","$100k+"})</f>
        <v>3</v>
      </c>
      <c r="R779" s="20" t="str">
        <f>IF(tbl_Clean[[#This Row],[Cars]]&lt;=1,"0-1 Cars","2+ Cars")</f>
        <v>0-1 Cars</v>
      </c>
      <c r="S779" s="20">
        <f>_xlfn.XMATCH(tbl_Clean[[#This Row],[Commute Distance]],{"0-1 Miles","1-2 Miles","2-5 Miles","5-10 Miles","10+ Miles"})</f>
        <v>1</v>
      </c>
      <c r="T779" s="20">
        <f>_xlfn.XMATCH(tbl_Clean[[#This Row],[Education]],{"Partial High School","High School","Partial College","Bachelors","Graduate Degree"})</f>
        <v>5</v>
      </c>
      <c r="U779" s="20">
        <f>IF(tbl_Clean[[#This Row],[Purchased Bike]]="Yes",1,0)</f>
        <v>1</v>
      </c>
    </row>
    <row r="780" spans="1:21" x14ac:dyDescent="0.25">
      <c r="A780" s="20">
        <v>29030</v>
      </c>
      <c r="B780" s="3" t="s">
        <v>111</v>
      </c>
      <c r="C780" s="3" t="s">
        <v>113</v>
      </c>
      <c r="D780" s="19">
        <v>70000</v>
      </c>
      <c r="E780" s="20">
        <v>2</v>
      </c>
      <c r="F780" s="3" t="s">
        <v>32</v>
      </c>
      <c r="G780" s="3" t="s">
        <v>16</v>
      </c>
      <c r="H780" s="3" t="s">
        <v>17</v>
      </c>
      <c r="I780" s="20">
        <v>2</v>
      </c>
      <c r="J780" s="3" t="s">
        <v>33</v>
      </c>
      <c r="K780" s="3" t="s">
        <v>35</v>
      </c>
      <c r="L780" s="20">
        <v>54</v>
      </c>
      <c r="M780" s="3" t="s">
        <v>20</v>
      </c>
      <c r="N780" s="20" t="str" cm="1">
        <f t="array" ref="N780">_xlfn.IFS(tbl_Clean[[#This Row],[Age]]&lt;=30,"25-30",tbl_Clean[[#This Row],[Age]]&lt;=40,"31-40",tbl_Clean[[#This Row],[Age]]&lt;=50,"41-50",tbl_Clean[[#This Row],[Age]]&lt;=60,"51-60",TRUE,"61+")</f>
        <v>51-60</v>
      </c>
      <c r="O780" s="20">
        <f>_xlfn.XMATCH(tbl_Clean[[#This Row],[Age Band]],{"25-30","31-40","41-50","51-60","61+"})</f>
        <v>4</v>
      </c>
      <c r="P780" s="20" t="str" cm="1">
        <f t="array" ref="P780">_xlfn.IFS(tbl_Clean[[#This Row],[Income]]&lt;=30000,"$10k-30k",tbl_Clean[[#This Row],[Income]]&lt;=60000,"$40k-60k",tbl_Clean[[#This Row],[Income]]&lt;=90000,"$70k-90k",TRUE,"$100k+")</f>
        <v>$70k-90k</v>
      </c>
      <c r="Q780" s="20">
        <f>_xlfn.XMATCH(tbl_Clean[[#This Row],[Income Band]],{"$10k-30k","$40k-60k","$70k-90k","$100k+"})</f>
        <v>3</v>
      </c>
      <c r="R780" s="20" t="str">
        <f>IF(tbl_Clean[[#This Row],[Cars]]&lt;=1,"0-1 Cars","2+ Cars")</f>
        <v>2+ Cars</v>
      </c>
      <c r="S780" s="20">
        <f>_xlfn.XMATCH(tbl_Clean[[#This Row],[Commute Distance]],{"0-1 Miles","1-2 Miles","2-5 Miles","5-10 Miles","10+ Miles"})</f>
        <v>5</v>
      </c>
      <c r="T780" s="20">
        <f>_xlfn.XMATCH(tbl_Clean[[#This Row],[Education]],{"Partial High School","High School","Partial College","Bachelors","Graduate Degree"})</f>
        <v>1</v>
      </c>
      <c r="U780" s="20">
        <f>IF(tbl_Clean[[#This Row],[Purchased Bike]]="Yes",1,0)</f>
        <v>0</v>
      </c>
    </row>
    <row r="781" spans="1:21" x14ac:dyDescent="0.25">
      <c r="A781" s="20">
        <v>26490</v>
      </c>
      <c r="B781" s="3" t="s">
        <v>114</v>
      </c>
      <c r="C781" s="3" t="s">
        <v>113</v>
      </c>
      <c r="D781" s="19">
        <v>70000</v>
      </c>
      <c r="E781" s="20">
        <v>2</v>
      </c>
      <c r="F781" s="3" t="s">
        <v>15</v>
      </c>
      <c r="G781" s="3" t="s">
        <v>31</v>
      </c>
      <c r="H781" s="3" t="s">
        <v>20</v>
      </c>
      <c r="I781" s="20">
        <v>1</v>
      </c>
      <c r="J781" s="3" t="s">
        <v>24</v>
      </c>
      <c r="K781" s="3" t="s">
        <v>35</v>
      </c>
      <c r="L781" s="20">
        <v>59</v>
      </c>
      <c r="M781" s="3" t="s">
        <v>17</v>
      </c>
      <c r="N781" s="20" t="str" cm="1">
        <f t="array" ref="N781">_xlfn.IFS(tbl_Clean[[#This Row],[Age]]&lt;=30,"25-30",tbl_Clean[[#This Row],[Age]]&lt;=40,"31-40",tbl_Clean[[#This Row],[Age]]&lt;=50,"41-50",tbl_Clean[[#This Row],[Age]]&lt;=60,"51-60",TRUE,"61+")</f>
        <v>51-60</v>
      </c>
      <c r="O781" s="20">
        <f>_xlfn.XMATCH(tbl_Clean[[#This Row],[Age Band]],{"25-30","31-40","41-50","51-60","61+"})</f>
        <v>4</v>
      </c>
      <c r="P781" s="20" t="str" cm="1">
        <f t="array" ref="P781">_xlfn.IFS(tbl_Clean[[#This Row],[Income]]&lt;=30000,"$10k-30k",tbl_Clean[[#This Row],[Income]]&lt;=60000,"$40k-60k",tbl_Clean[[#This Row],[Income]]&lt;=90000,"$70k-90k",TRUE,"$100k+")</f>
        <v>$70k-90k</v>
      </c>
      <c r="Q781" s="20">
        <f>_xlfn.XMATCH(tbl_Clean[[#This Row],[Income Band]],{"$10k-30k","$40k-60k","$70k-90k","$100k+"})</f>
        <v>3</v>
      </c>
      <c r="R781" s="20" t="str">
        <f>IF(tbl_Clean[[#This Row],[Cars]]&lt;=1,"0-1 Cars","2+ Cars")</f>
        <v>0-1 Cars</v>
      </c>
      <c r="S781" s="20">
        <f>_xlfn.XMATCH(tbl_Clean[[#This Row],[Commute Distance]],{"0-1 Miles","1-2 Miles","2-5 Miles","5-10 Miles","10+ Miles"})</f>
        <v>3</v>
      </c>
      <c r="T781" s="20">
        <f>_xlfn.XMATCH(tbl_Clean[[#This Row],[Education]],{"Partial High School","High School","Partial College","Bachelors","Graduate Degree"})</f>
        <v>4</v>
      </c>
      <c r="U781" s="20">
        <f>IF(tbl_Clean[[#This Row],[Purchased Bike]]="Yes",1,0)</f>
        <v>1</v>
      </c>
    </row>
    <row r="782" spans="1:21" x14ac:dyDescent="0.25">
      <c r="A782" s="20">
        <v>13151</v>
      </c>
      <c r="B782" s="3" t="s">
        <v>114</v>
      </c>
      <c r="C782" s="3" t="s">
        <v>113</v>
      </c>
      <c r="D782" s="19">
        <v>40000</v>
      </c>
      <c r="E782" s="20">
        <v>0</v>
      </c>
      <c r="F782" s="3" t="s">
        <v>30</v>
      </c>
      <c r="G782" s="3" t="s">
        <v>16</v>
      </c>
      <c r="H782" s="3" t="s">
        <v>17</v>
      </c>
      <c r="I782" s="20">
        <v>2</v>
      </c>
      <c r="J782" s="3" t="s">
        <v>26</v>
      </c>
      <c r="K782" s="3" t="s">
        <v>35</v>
      </c>
      <c r="L782" s="20">
        <v>27</v>
      </c>
      <c r="M782" s="3" t="s">
        <v>20</v>
      </c>
      <c r="N782" s="20" t="str" cm="1">
        <f t="array" ref="N782">_xlfn.IFS(tbl_Clean[[#This Row],[Age]]&lt;=30,"25-30",tbl_Clean[[#This Row],[Age]]&lt;=40,"31-40",tbl_Clean[[#This Row],[Age]]&lt;=50,"41-50",tbl_Clean[[#This Row],[Age]]&lt;=60,"51-60",TRUE,"61+")</f>
        <v>25-30</v>
      </c>
      <c r="O782" s="20">
        <f>_xlfn.XMATCH(tbl_Clean[[#This Row],[Age Band]],{"25-30","31-40","41-50","51-60","61+"})</f>
        <v>1</v>
      </c>
      <c r="P782" s="20" t="str" cm="1">
        <f t="array" ref="P782">_xlfn.IFS(tbl_Clean[[#This Row],[Income]]&lt;=30000,"$10k-30k",tbl_Clean[[#This Row],[Income]]&lt;=60000,"$40k-60k",tbl_Clean[[#This Row],[Income]]&lt;=90000,"$70k-90k",TRUE,"$100k+")</f>
        <v>$40k-60k</v>
      </c>
      <c r="Q782" s="20">
        <f>_xlfn.XMATCH(tbl_Clean[[#This Row],[Income Band]],{"$10k-30k","$40k-60k","$70k-90k","$100k+"})</f>
        <v>2</v>
      </c>
      <c r="R782" s="20" t="str">
        <f>IF(tbl_Clean[[#This Row],[Cars]]&lt;=1,"0-1 Cars","2+ Cars")</f>
        <v>2+ Cars</v>
      </c>
      <c r="S782" s="20">
        <f>_xlfn.XMATCH(tbl_Clean[[#This Row],[Commute Distance]],{"0-1 Miles","1-2 Miles","2-5 Miles","5-10 Miles","10+ Miles"})</f>
        <v>4</v>
      </c>
      <c r="T782" s="20">
        <f>_xlfn.XMATCH(tbl_Clean[[#This Row],[Education]],{"Partial High School","High School","Partial College","Bachelors","Graduate Degree"})</f>
        <v>2</v>
      </c>
      <c r="U782" s="20">
        <f>IF(tbl_Clean[[#This Row],[Purchased Bike]]="Yes",1,0)</f>
        <v>0</v>
      </c>
    </row>
    <row r="783" spans="1:21" x14ac:dyDescent="0.25">
      <c r="A783" s="20">
        <v>17260</v>
      </c>
      <c r="B783" s="3" t="s">
        <v>111</v>
      </c>
      <c r="C783" s="3" t="s">
        <v>113</v>
      </c>
      <c r="D783" s="19">
        <v>90000</v>
      </c>
      <c r="E783" s="20">
        <v>5</v>
      </c>
      <c r="F783" s="3" t="s">
        <v>21</v>
      </c>
      <c r="G783" s="3" t="s">
        <v>23</v>
      </c>
      <c r="H783" s="3" t="s">
        <v>17</v>
      </c>
      <c r="I783" s="20">
        <v>3</v>
      </c>
      <c r="J783" s="3" t="s">
        <v>18</v>
      </c>
      <c r="K783" s="3" t="s">
        <v>35</v>
      </c>
      <c r="L783" s="20">
        <v>41</v>
      </c>
      <c r="M783" s="3" t="s">
        <v>20</v>
      </c>
      <c r="N783" s="20" t="str" cm="1">
        <f t="array" ref="N783">_xlfn.IFS(tbl_Clean[[#This Row],[Age]]&lt;=30,"25-30",tbl_Clean[[#This Row],[Age]]&lt;=40,"31-40",tbl_Clean[[#This Row],[Age]]&lt;=50,"41-50",tbl_Clean[[#This Row],[Age]]&lt;=60,"51-60",TRUE,"61+")</f>
        <v>41-50</v>
      </c>
      <c r="O783" s="20">
        <f>_xlfn.XMATCH(tbl_Clean[[#This Row],[Age Band]],{"25-30","31-40","41-50","51-60","61+"})</f>
        <v>3</v>
      </c>
      <c r="P783" s="20" t="str" cm="1">
        <f t="array" ref="P783">_xlfn.IFS(tbl_Clean[[#This Row],[Income]]&lt;=30000,"$10k-30k",tbl_Clean[[#This Row],[Income]]&lt;=60000,"$40k-60k",tbl_Clean[[#This Row],[Income]]&lt;=90000,"$70k-90k",TRUE,"$100k+")</f>
        <v>$70k-90k</v>
      </c>
      <c r="Q783" s="20">
        <f>_xlfn.XMATCH(tbl_Clean[[#This Row],[Income Band]],{"$10k-30k","$40k-60k","$70k-90k","$100k+"})</f>
        <v>3</v>
      </c>
      <c r="R783" s="20" t="str">
        <f>IF(tbl_Clean[[#This Row],[Cars]]&lt;=1,"0-1 Cars","2+ Cars")</f>
        <v>2+ Cars</v>
      </c>
      <c r="S783" s="20">
        <f>_xlfn.XMATCH(tbl_Clean[[#This Row],[Commute Distance]],{"0-1 Miles","1-2 Miles","2-5 Miles","5-10 Miles","10+ Miles"})</f>
        <v>1</v>
      </c>
      <c r="T783" s="20">
        <f>_xlfn.XMATCH(tbl_Clean[[#This Row],[Education]],{"Partial High School","High School","Partial College","Bachelors","Graduate Degree"})</f>
        <v>3</v>
      </c>
      <c r="U783" s="20">
        <f>IF(tbl_Clean[[#This Row],[Purchased Bike]]="Yes",1,0)</f>
        <v>0</v>
      </c>
    </row>
    <row r="784" spans="1:21" x14ac:dyDescent="0.25">
      <c r="A784" s="20">
        <v>15372</v>
      </c>
      <c r="B784" s="3" t="s">
        <v>111</v>
      </c>
      <c r="C784" s="3" t="s">
        <v>113</v>
      </c>
      <c r="D784" s="19">
        <v>80000</v>
      </c>
      <c r="E784" s="20">
        <v>3</v>
      </c>
      <c r="F784" s="3" t="s">
        <v>21</v>
      </c>
      <c r="G784" s="3" t="s">
        <v>23</v>
      </c>
      <c r="H784" s="3" t="s">
        <v>20</v>
      </c>
      <c r="I784" s="20">
        <v>2</v>
      </c>
      <c r="J784" s="3" t="s">
        <v>24</v>
      </c>
      <c r="K784" s="3" t="s">
        <v>35</v>
      </c>
      <c r="L784" s="20">
        <v>50</v>
      </c>
      <c r="M784" s="3" t="s">
        <v>17</v>
      </c>
      <c r="N784" s="20" t="str" cm="1">
        <f t="array" ref="N784">_xlfn.IFS(tbl_Clean[[#This Row],[Age]]&lt;=30,"25-30",tbl_Clean[[#This Row],[Age]]&lt;=40,"31-40",tbl_Clean[[#This Row],[Age]]&lt;=50,"41-50",tbl_Clean[[#This Row],[Age]]&lt;=60,"51-60",TRUE,"61+")</f>
        <v>41-50</v>
      </c>
      <c r="O784" s="20">
        <f>_xlfn.XMATCH(tbl_Clean[[#This Row],[Age Band]],{"25-30","31-40","41-50","51-60","61+"})</f>
        <v>3</v>
      </c>
      <c r="P784" s="20" t="str" cm="1">
        <f t="array" ref="P784">_xlfn.IFS(tbl_Clean[[#This Row],[Income]]&lt;=30000,"$10k-30k",tbl_Clean[[#This Row],[Income]]&lt;=60000,"$40k-60k",tbl_Clean[[#This Row],[Income]]&lt;=90000,"$70k-90k",TRUE,"$100k+")</f>
        <v>$70k-90k</v>
      </c>
      <c r="Q784" s="20">
        <f>_xlfn.XMATCH(tbl_Clean[[#This Row],[Income Band]],{"$10k-30k","$40k-60k","$70k-90k","$100k+"})</f>
        <v>3</v>
      </c>
      <c r="R784" s="20" t="str">
        <f>IF(tbl_Clean[[#This Row],[Cars]]&lt;=1,"0-1 Cars","2+ Cars")</f>
        <v>2+ Cars</v>
      </c>
      <c r="S784" s="20">
        <f>_xlfn.XMATCH(tbl_Clean[[#This Row],[Commute Distance]],{"0-1 Miles","1-2 Miles","2-5 Miles","5-10 Miles","10+ Miles"})</f>
        <v>3</v>
      </c>
      <c r="T784" s="20">
        <f>_xlfn.XMATCH(tbl_Clean[[#This Row],[Education]],{"Partial High School","High School","Partial College","Bachelors","Graduate Degree"})</f>
        <v>3</v>
      </c>
      <c r="U784" s="20">
        <f>IF(tbl_Clean[[#This Row],[Purchased Bike]]="Yes",1,0)</f>
        <v>1</v>
      </c>
    </row>
    <row r="785" spans="1:21" x14ac:dyDescent="0.25">
      <c r="A785" s="20">
        <v>18105</v>
      </c>
      <c r="B785" s="3" t="s">
        <v>111</v>
      </c>
      <c r="C785" s="3" t="s">
        <v>112</v>
      </c>
      <c r="D785" s="19">
        <v>60000</v>
      </c>
      <c r="E785" s="20">
        <v>2</v>
      </c>
      <c r="F785" s="3" t="s">
        <v>21</v>
      </c>
      <c r="G785" s="3" t="s">
        <v>23</v>
      </c>
      <c r="H785" s="3" t="s">
        <v>17</v>
      </c>
      <c r="I785" s="20">
        <v>1</v>
      </c>
      <c r="J785" s="3" t="s">
        <v>33</v>
      </c>
      <c r="K785" s="3" t="s">
        <v>35</v>
      </c>
      <c r="L785" s="20">
        <v>55</v>
      </c>
      <c r="M785" s="3" t="s">
        <v>20</v>
      </c>
      <c r="N785" s="20" t="str" cm="1">
        <f t="array" ref="N785">_xlfn.IFS(tbl_Clean[[#This Row],[Age]]&lt;=30,"25-30",tbl_Clean[[#This Row],[Age]]&lt;=40,"31-40",tbl_Clean[[#This Row],[Age]]&lt;=50,"41-50",tbl_Clean[[#This Row],[Age]]&lt;=60,"51-60",TRUE,"61+")</f>
        <v>51-60</v>
      </c>
      <c r="O785" s="20">
        <f>_xlfn.XMATCH(tbl_Clean[[#This Row],[Age Band]],{"25-30","31-40","41-50","51-60","61+"})</f>
        <v>4</v>
      </c>
      <c r="P785" s="20" t="str" cm="1">
        <f t="array" ref="P785">_xlfn.IFS(tbl_Clean[[#This Row],[Income]]&lt;=30000,"$10k-30k",tbl_Clean[[#This Row],[Income]]&lt;=60000,"$40k-60k",tbl_Clean[[#This Row],[Income]]&lt;=90000,"$70k-90k",TRUE,"$100k+")</f>
        <v>$40k-60k</v>
      </c>
      <c r="Q785" s="20">
        <f>_xlfn.XMATCH(tbl_Clean[[#This Row],[Income Band]],{"$10k-30k","$40k-60k","$70k-90k","$100k+"})</f>
        <v>2</v>
      </c>
      <c r="R785" s="20" t="str">
        <f>IF(tbl_Clean[[#This Row],[Cars]]&lt;=1,"0-1 Cars","2+ Cars")</f>
        <v>0-1 Cars</v>
      </c>
      <c r="S785" s="20">
        <f>_xlfn.XMATCH(tbl_Clean[[#This Row],[Commute Distance]],{"0-1 Miles","1-2 Miles","2-5 Miles","5-10 Miles","10+ Miles"})</f>
        <v>5</v>
      </c>
      <c r="T785" s="20">
        <f>_xlfn.XMATCH(tbl_Clean[[#This Row],[Education]],{"Partial High School","High School","Partial College","Bachelors","Graduate Degree"})</f>
        <v>3</v>
      </c>
      <c r="U785" s="20">
        <f>IF(tbl_Clean[[#This Row],[Purchased Bike]]="Yes",1,0)</f>
        <v>0</v>
      </c>
    </row>
    <row r="786" spans="1:21" x14ac:dyDescent="0.25">
      <c r="A786" s="20">
        <v>19660</v>
      </c>
      <c r="B786" s="3" t="s">
        <v>111</v>
      </c>
      <c r="C786" s="3" t="s">
        <v>113</v>
      </c>
      <c r="D786" s="19">
        <v>80000</v>
      </c>
      <c r="E786" s="20">
        <v>4</v>
      </c>
      <c r="F786" s="3" t="s">
        <v>15</v>
      </c>
      <c r="G786" s="3" t="s">
        <v>31</v>
      </c>
      <c r="H786" s="3" t="s">
        <v>17</v>
      </c>
      <c r="I786" s="20">
        <v>0</v>
      </c>
      <c r="J786" s="3" t="s">
        <v>18</v>
      </c>
      <c r="K786" s="3" t="s">
        <v>35</v>
      </c>
      <c r="L786" s="20">
        <v>43</v>
      </c>
      <c r="M786" s="3" t="s">
        <v>20</v>
      </c>
      <c r="N786" s="20" t="str" cm="1">
        <f t="array" ref="N786">_xlfn.IFS(tbl_Clean[[#This Row],[Age]]&lt;=30,"25-30",tbl_Clean[[#This Row],[Age]]&lt;=40,"31-40",tbl_Clean[[#This Row],[Age]]&lt;=50,"41-50",tbl_Clean[[#This Row],[Age]]&lt;=60,"51-60",TRUE,"61+")</f>
        <v>41-50</v>
      </c>
      <c r="O786" s="20">
        <f>_xlfn.XMATCH(tbl_Clean[[#This Row],[Age Band]],{"25-30","31-40","41-50","51-60","61+"})</f>
        <v>3</v>
      </c>
      <c r="P786" s="20" t="str" cm="1">
        <f t="array" ref="P786">_xlfn.IFS(tbl_Clean[[#This Row],[Income]]&lt;=30000,"$10k-30k",tbl_Clean[[#This Row],[Income]]&lt;=60000,"$40k-60k",tbl_Clean[[#This Row],[Income]]&lt;=90000,"$70k-90k",TRUE,"$100k+")</f>
        <v>$70k-90k</v>
      </c>
      <c r="Q786" s="20">
        <f>_xlfn.XMATCH(tbl_Clean[[#This Row],[Income Band]],{"$10k-30k","$40k-60k","$70k-90k","$100k+"})</f>
        <v>3</v>
      </c>
      <c r="R786" s="20" t="str">
        <f>IF(tbl_Clean[[#This Row],[Cars]]&lt;=1,"0-1 Cars","2+ Cars")</f>
        <v>0-1 Cars</v>
      </c>
      <c r="S786" s="20">
        <f>_xlfn.XMATCH(tbl_Clean[[#This Row],[Commute Distance]],{"0-1 Miles","1-2 Miles","2-5 Miles","5-10 Miles","10+ Miles"})</f>
        <v>1</v>
      </c>
      <c r="T786" s="20">
        <f>_xlfn.XMATCH(tbl_Clean[[#This Row],[Education]],{"Partial High School","High School","Partial College","Bachelors","Graduate Degree"})</f>
        <v>4</v>
      </c>
      <c r="U786" s="20">
        <f>IF(tbl_Clean[[#This Row],[Purchased Bike]]="Yes",1,0)</f>
        <v>0</v>
      </c>
    </row>
    <row r="787" spans="1:21" x14ac:dyDescent="0.25">
      <c r="A787" s="20">
        <v>16112</v>
      </c>
      <c r="B787" s="3" t="s">
        <v>114</v>
      </c>
      <c r="C787" s="3" t="s">
        <v>113</v>
      </c>
      <c r="D787" s="19">
        <v>70000</v>
      </c>
      <c r="E787" s="20">
        <v>4</v>
      </c>
      <c r="F787" s="3" t="s">
        <v>15</v>
      </c>
      <c r="G787" s="3" t="s">
        <v>23</v>
      </c>
      <c r="H787" s="3" t="s">
        <v>17</v>
      </c>
      <c r="I787" s="20">
        <v>2</v>
      </c>
      <c r="J787" s="3" t="s">
        <v>24</v>
      </c>
      <c r="K787" s="3" t="s">
        <v>35</v>
      </c>
      <c r="L787" s="20">
        <v>43</v>
      </c>
      <c r="M787" s="3" t="s">
        <v>17</v>
      </c>
      <c r="N787" s="20" t="str" cm="1">
        <f t="array" ref="N787">_xlfn.IFS(tbl_Clean[[#This Row],[Age]]&lt;=30,"25-30",tbl_Clean[[#This Row],[Age]]&lt;=40,"31-40",tbl_Clean[[#This Row],[Age]]&lt;=50,"41-50",tbl_Clean[[#This Row],[Age]]&lt;=60,"51-60",TRUE,"61+")</f>
        <v>41-50</v>
      </c>
      <c r="O787" s="20">
        <f>_xlfn.XMATCH(tbl_Clean[[#This Row],[Age Band]],{"25-30","31-40","41-50","51-60","61+"})</f>
        <v>3</v>
      </c>
      <c r="P787" s="20" t="str" cm="1">
        <f t="array" ref="P787">_xlfn.IFS(tbl_Clean[[#This Row],[Income]]&lt;=30000,"$10k-30k",tbl_Clean[[#This Row],[Income]]&lt;=60000,"$40k-60k",tbl_Clean[[#This Row],[Income]]&lt;=90000,"$70k-90k",TRUE,"$100k+")</f>
        <v>$70k-90k</v>
      </c>
      <c r="Q787" s="20">
        <f>_xlfn.XMATCH(tbl_Clean[[#This Row],[Income Band]],{"$10k-30k","$40k-60k","$70k-90k","$100k+"})</f>
        <v>3</v>
      </c>
      <c r="R787" s="20" t="str">
        <f>IF(tbl_Clean[[#This Row],[Cars]]&lt;=1,"0-1 Cars","2+ Cars")</f>
        <v>2+ Cars</v>
      </c>
      <c r="S787" s="20">
        <f>_xlfn.XMATCH(tbl_Clean[[#This Row],[Commute Distance]],{"0-1 Miles","1-2 Miles","2-5 Miles","5-10 Miles","10+ Miles"})</f>
        <v>3</v>
      </c>
      <c r="T787" s="20">
        <f>_xlfn.XMATCH(tbl_Clean[[#This Row],[Education]],{"Partial High School","High School","Partial College","Bachelors","Graduate Degree"})</f>
        <v>4</v>
      </c>
      <c r="U787" s="20">
        <f>IF(tbl_Clean[[#This Row],[Purchased Bike]]="Yes",1,0)</f>
        <v>1</v>
      </c>
    </row>
    <row r="788" spans="1:21" x14ac:dyDescent="0.25">
      <c r="A788" s="20">
        <v>20698</v>
      </c>
      <c r="B788" s="3" t="s">
        <v>111</v>
      </c>
      <c r="C788" s="3" t="s">
        <v>113</v>
      </c>
      <c r="D788" s="19">
        <v>60000</v>
      </c>
      <c r="E788" s="20">
        <v>4</v>
      </c>
      <c r="F788" s="3" t="s">
        <v>15</v>
      </c>
      <c r="G788" s="3" t="s">
        <v>16</v>
      </c>
      <c r="H788" s="3" t="s">
        <v>17</v>
      </c>
      <c r="I788" s="20">
        <v>3</v>
      </c>
      <c r="J788" s="3" t="s">
        <v>26</v>
      </c>
      <c r="K788" s="3" t="s">
        <v>35</v>
      </c>
      <c r="L788" s="20">
        <v>42</v>
      </c>
      <c r="M788" s="3" t="s">
        <v>20</v>
      </c>
      <c r="N788" s="20" t="str" cm="1">
        <f t="array" ref="N788">_xlfn.IFS(tbl_Clean[[#This Row],[Age]]&lt;=30,"25-30",tbl_Clean[[#This Row],[Age]]&lt;=40,"31-40",tbl_Clean[[#This Row],[Age]]&lt;=50,"41-50",tbl_Clean[[#This Row],[Age]]&lt;=60,"51-60",TRUE,"61+")</f>
        <v>41-50</v>
      </c>
      <c r="O788" s="20">
        <f>_xlfn.XMATCH(tbl_Clean[[#This Row],[Age Band]],{"25-30","31-40","41-50","51-60","61+"})</f>
        <v>3</v>
      </c>
      <c r="P788" s="20" t="str" cm="1">
        <f t="array" ref="P788">_xlfn.IFS(tbl_Clean[[#This Row],[Income]]&lt;=30000,"$10k-30k",tbl_Clean[[#This Row],[Income]]&lt;=60000,"$40k-60k",tbl_Clean[[#This Row],[Income]]&lt;=90000,"$70k-90k",TRUE,"$100k+")</f>
        <v>$40k-60k</v>
      </c>
      <c r="Q788" s="20">
        <f>_xlfn.XMATCH(tbl_Clean[[#This Row],[Income Band]],{"$10k-30k","$40k-60k","$70k-90k","$100k+"})</f>
        <v>2</v>
      </c>
      <c r="R788" s="20" t="str">
        <f>IF(tbl_Clean[[#This Row],[Cars]]&lt;=1,"0-1 Cars","2+ Cars")</f>
        <v>2+ Cars</v>
      </c>
      <c r="S788" s="20">
        <f>_xlfn.XMATCH(tbl_Clean[[#This Row],[Commute Distance]],{"0-1 Miles","1-2 Miles","2-5 Miles","5-10 Miles","10+ Miles"})</f>
        <v>4</v>
      </c>
      <c r="T788" s="20">
        <f>_xlfn.XMATCH(tbl_Clean[[#This Row],[Education]],{"Partial High School","High School","Partial College","Bachelors","Graduate Degree"})</f>
        <v>4</v>
      </c>
      <c r="U788" s="20">
        <f>IF(tbl_Clean[[#This Row],[Purchased Bike]]="Yes",1,0)</f>
        <v>0</v>
      </c>
    </row>
    <row r="789" spans="1:21" x14ac:dyDescent="0.25">
      <c r="A789" s="20">
        <v>20076</v>
      </c>
      <c r="B789" s="3" t="s">
        <v>114</v>
      </c>
      <c r="C789" s="3" t="s">
        <v>112</v>
      </c>
      <c r="D789" s="19">
        <v>10000</v>
      </c>
      <c r="E789" s="20">
        <v>2</v>
      </c>
      <c r="F789" s="3" t="s">
        <v>30</v>
      </c>
      <c r="G789" s="3" t="s">
        <v>28</v>
      </c>
      <c r="H789" s="3" t="s">
        <v>17</v>
      </c>
      <c r="I789" s="20">
        <v>2</v>
      </c>
      <c r="J789" s="3" t="s">
        <v>29</v>
      </c>
      <c r="K789" s="3" t="s">
        <v>35</v>
      </c>
      <c r="L789" s="20">
        <v>53</v>
      </c>
      <c r="M789" s="3" t="s">
        <v>17</v>
      </c>
      <c r="N789" s="20" t="str" cm="1">
        <f t="array" ref="N789">_xlfn.IFS(tbl_Clean[[#This Row],[Age]]&lt;=30,"25-30",tbl_Clean[[#This Row],[Age]]&lt;=40,"31-40",tbl_Clean[[#This Row],[Age]]&lt;=50,"41-50",tbl_Clean[[#This Row],[Age]]&lt;=60,"51-60",TRUE,"61+")</f>
        <v>51-60</v>
      </c>
      <c r="O789" s="20">
        <f>_xlfn.XMATCH(tbl_Clean[[#This Row],[Age Band]],{"25-30","31-40","41-50","51-60","61+"})</f>
        <v>4</v>
      </c>
      <c r="P789" s="20" t="str" cm="1">
        <f t="array" ref="P789">_xlfn.IFS(tbl_Clean[[#This Row],[Income]]&lt;=30000,"$10k-30k",tbl_Clean[[#This Row],[Income]]&lt;=60000,"$40k-60k",tbl_Clean[[#This Row],[Income]]&lt;=90000,"$70k-90k",TRUE,"$100k+")</f>
        <v>$10k-30k</v>
      </c>
      <c r="Q789" s="20">
        <f>_xlfn.XMATCH(tbl_Clean[[#This Row],[Income Band]],{"$10k-30k","$40k-60k","$70k-90k","$100k+"})</f>
        <v>1</v>
      </c>
      <c r="R789" s="20" t="str">
        <f>IF(tbl_Clean[[#This Row],[Cars]]&lt;=1,"0-1 Cars","2+ Cars")</f>
        <v>2+ Cars</v>
      </c>
      <c r="S789" s="20">
        <f>_xlfn.XMATCH(tbl_Clean[[#This Row],[Commute Distance]],{"0-1 Miles","1-2 Miles","2-5 Miles","5-10 Miles","10+ Miles"})</f>
        <v>2</v>
      </c>
      <c r="T789" s="20">
        <f>_xlfn.XMATCH(tbl_Clean[[#This Row],[Education]],{"Partial High School","High School","Partial College","Bachelors","Graduate Degree"})</f>
        <v>2</v>
      </c>
      <c r="U789" s="20">
        <f>IF(tbl_Clean[[#This Row],[Purchased Bike]]="Yes",1,0)</f>
        <v>1</v>
      </c>
    </row>
    <row r="790" spans="1:21" x14ac:dyDescent="0.25">
      <c r="A790" s="20">
        <v>24496</v>
      </c>
      <c r="B790" s="3" t="s">
        <v>114</v>
      </c>
      <c r="C790" s="3" t="s">
        <v>112</v>
      </c>
      <c r="D790" s="19">
        <v>40000</v>
      </c>
      <c r="E790" s="20">
        <v>0</v>
      </c>
      <c r="F790" s="3" t="s">
        <v>30</v>
      </c>
      <c r="G790" s="3" t="s">
        <v>16</v>
      </c>
      <c r="H790" s="3" t="s">
        <v>20</v>
      </c>
      <c r="I790" s="20">
        <v>2</v>
      </c>
      <c r="J790" s="3" t="s">
        <v>18</v>
      </c>
      <c r="K790" s="3" t="s">
        <v>35</v>
      </c>
      <c r="L790" s="20">
        <v>28</v>
      </c>
      <c r="M790" s="3" t="s">
        <v>17</v>
      </c>
      <c r="N790" s="20" t="str" cm="1">
        <f t="array" ref="N790">_xlfn.IFS(tbl_Clean[[#This Row],[Age]]&lt;=30,"25-30",tbl_Clean[[#This Row],[Age]]&lt;=40,"31-40",tbl_Clean[[#This Row],[Age]]&lt;=50,"41-50",tbl_Clean[[#This Row],[Age]]&lt;=60,"51-60",TRUE,"61+")</f>
        <v>25-30</v>
      </c>
      <c r="O790" s="20">
        <f>_xlfn.XMATCH(tbl_Clean[[#This Row],[Age Band]],{"25-30","31-40","41-50","51-60","61+"})</f>
        <v>1</v>
      </c>
      <c r="P790" s="20" t="str" cm="1">
        <f t="array" ref="P790">_xlfn.IFS(tbl_Clean[[#This Row],[Income]]&lt;=30000,"$10k-30k",tbl_Clean[[#This Row],[Income]]&lt;=60000,"$40k-60k",tbl_Clean[[#This Row],[Income]]&lt;=90000,"$70k-90k",TRUE,"$100k+")</f>
        <v>$40k-60k</v>
      </c>
      <c r="Q790" s="20">
        <f>_xlfn.XMATCH(tbl_Clean[[#This Row],[Income Band]],{"$10k-30k","$40k-60k","$70k-90k","$100k+"})</f>
        <v>2</v>
      </c>
      <c r="R790" s="20" t="str">
        <f>IF(tbl_Clean[[#This Row],[Cars]]&lt;=1,"0-1 Cars","2+ Cars")</f>
        <v>2+ Cars</v>
      </c>
      <c r="S790" s="20">
        <f>_xlfn.XMATCH(tbl_Clean[[#This Row],[Commute Distance]],{"0-1 Miles","1-2 Miles","2-5 Miles","5-10 Miles","10+ Miles"})</f>
        <v>1</v>
      </c>
      <c r="T790" s="20">
        <f>_xlfn.XMATCH(tbl_Clean[[#This Row],[Education]],{"Partial High School","High School","Partial College","Bachelors","Graduate Degree"})</f>
        <v>2</v>
      </c>
      <c r="U790" s="20">
        <f>IF(tbl_Clean[[#This Row],[Purchased Bike]]="Yes",1,0)</f>
        <v>1</v>
      </c>
    </row>
    <row r="791" spans="1:21" x14ac:dyDescent="0.25">
      <c r="A791" s="20">
        <v>15468</v>
      </c>
      <c r="B791" s="3" t="s">
        <v>111</v>
      </c>
      <c r="C791" s="3" t="s">
        <v>112</v>
      </c>
      <c r="D791" s="19">
        <v>50000</v>
      </c>
      <c r="E791" s="20">
        <v>1</v>
      </c>
      <c r="F791" s="3" t="s">
        <v>15</v>
      </c>
      <c r="G791" s="3" t="s">
        <v>16</v>
      </c>
      <c r="H791" s="3" t="s">
        <v>17</v>
      </c>
      <c r="I791" s="20">
        <v>1</v>
      </c>
      <c r="J791" s="3" t="s">
        <v>18</v>
      </c>
      <c r="K791" s="3" t="s">
        <v>35</v>
      </c>
      <c r="L791" s="20">
        <v>35</v>
      </c>
      <c r="M791" s="3" t="s">
        <v>20</v>
      </c>
      <c r="N791" s="20" t="str" cm="1">
        <f t="array" ref="N791">_xlfn.IFS(tbl_Clean[[#This Row],[Age]]&lt;=30,"25-30",tbl_Clean[[#This Row],[Age]]&lt;=40,"31-40",tbl_Clean[[#This Row],[Age]]&lt;=50,"41-50",tbl_Clean[[#This Row],[Age]]&lt;=60,"51-60",TRUE,"61+")</f>
        <v>31-40</v>
      </c>
      <c r="O791" s="20">
        <f>_xlfn.XMATCH(tbl_Clean[[#This Row],[Age Band]],{"25-30","31-40","41-50","51-60","61+"})</f>
        <v>2</v>
      </c>
      <c r="P791" s="20" t="str" cm="1">
        <f t="array" ref="P791">_xlfn.IFS(tbl_Clean[[#This Row],[Income]]&lt;=30000,"$10k-30k",tbl_Clean[[#This Row],[Income]]&lt;=60000,"$40k-60k",tbl_Clean[[#This Row],[Income]]&lt;=90000,"$70k-90k",TRUE,"$100k+")</f>
        <v>$40k-60k</v>
      </c>
      <c r="Q791" s="20">
        <f>_xlfn.XMATCH(tbl_Clean[[#This Row],[Income Band]],{"$10k-30k","$40k-60k","$70k-90k","$100k+"})</f>
        <v>2</v>
      </c>
      <c r="R791" s="20" t="str">
        <f>IF(tbl_Clean[[#This Row],[Cars]]&lt;=1,"0-1 Cars","2+ Cars")</f>
        <v>0-1 Cars</v>
      </c>
      <c r="S791" s="20">
        <f>_xlfn.XMATCH(tbl_Clean[[#This Row],[Commute Distance]],{"0-1 Miles","1-2 Miles","2-5 Miles","5-10 Miles","10+ Miles"})</f>
        <v>1</v>
      </c>
      <c r="T791" s="20">
        <f>_xlfn.XMATCH(tbl_Clean[[#This Row],[Education]],{"Partial High School","High School","Partial College","Bachelors","Graduate Degree"})</f>
        <v>4</v>
      </c>
      <c r="U791" s="20">
        <f>IF(tbl_Clean[[#This Row],[Purchased Bike]]="Yes",1,0)</f>
        <v>0</v>
      </c>
    </row>
    <row r="792" spans="1:21" x14ac:dyDescent="0.25">
      <c r="A792" s="20">
        <v>28031</v>
      </c>
      <c r="B792" s="3" t="s">
        <v>114</v>
      </c>
      <c r="C792" s="3" t="s">
        <v>112</v>
      </c>
      <c r="D792" s="19">
        <v>70000</v>
      </c>
      <c r="E792" s="20">
        <v>2</v>
      </c>
      <c r="F792" s="3" t="s">
        <v>15</v>
      </c>
      <c r="G792" s="3" t="s">
        <v>31</v>
      </c>
      <c r="H792" s="3" t="s">
        <v>20</v>
      </c>
      <c r="I792" s="20">
        <v>1</v>
      </c>
      <c r="J792" s="3" t="s">
        <v>24</v>
      </c>
      <c r="K792" s="3" t="s">
        <v>35</v>
      </c>
      <c r="L792" s="20">
        <v>59</v>
      </c>
      <c r="M792" s="3" t="s">
        <v>17</v>
      </c>
      <c r="N792" s="20" t="str" cm="1">
        <f t="array" ref="N792">_xlfn.IFS(tbl_Clean[[#This Row],[Age]]&lt;=30,"25-30",tbl_Clean[[#This Row],[Age]]&lt;=40,"31-40",tbl_Clean[[#This Row],[Age]]&lt;=50,"41-50",tbl_Clean[[#This Row],[Age]]&lt;=60,"51-60",TRUE,"61+")</f>
        <v>51-60</v>
      </c>
      <c r="O792" s="20">
        <f>_xlfn.XMATCH(tbl_Clean[[#This Row],[Age Band]],{"25-30","31-40","41-50","51-60","61+"})</f>
        <v>4</v>
      </c>
      <c r="P792" s="20" t="str" cm="1">
        <f t="array" ref="P792">_xlfn.IFS(tbl_Clean[[#This Row],[Income]]&lt;=30000,"$10k-30k",tbl_Clean[[#This Row],[Income]]&lt;=60000,"$40k-60k",tbl_Clean[[#This Row],[Income]]&lt;=90000,"$70k-90k",TRUE,"$100k+")</f>
        <v>$70k-90k</v>
      </c>
      <c r="Q792" s="20">
        <f>_xlfn.XMATCH(tbl_Clean[[#This Row],[Income Band]],{"$10k-30k","$40k-60k","$70k-90k","$100k+"})</f>
        <v>3</v>
      </c>
      <c r="R792" s="20" t="str">
        <f>IF(tbl_Clean[[#This Row],[Cars]]&lt;=1,"0-1 Cars","2+ Cars")</f>
        <v>0-1 Cars</v>
      </c>
      <c r="S792" s="20">
        <f>_xlfn.XMATCH(tbl_Clean[[#This Row],[Commute Distance]],{"0-1 Miles","1-2 Miles","2-5 Miles","5-10 Miles","10+ Miles"})</f>
        <v>3</v>
      </c>
      <c r="T792" s="20">
        <f>_xlfn.XMATCH(tbl_Clean[[#This Row],[Education]],{"Partial High School","High School","Partial College","Bachelors","Graduate Degree"})</f>
        <v>4</v>
      </c>
      <c r="U792" s="20">
        <f>IF(tbl_Clean[[#This Row],[Purchased Bike]]="Yes",1,0)</f>
        <v>1</v>
      </c>
    </row>
    <row r="793" spans="1:21" x14ac:dyDescent="0.25">
      <c r="A793" s="20">
        <v>26270</v>
      </c>
      <c r="B793" s="3" t="s">
        <v>114</v>
      </c>
      <c r="C793" s="3" t="s">
        <v>112</v>
      </c>
      <c r="D793" s="19">
        <v>20000</v>
      </c>
      <c r="E793" s="20">
        <v>2</v>
      </c>
      <c r="F793" s="3" t="s">
        <v>32</v>
      </c>
      <c r="G793" s="3" t="s">
        <v>22</v>
      </c>
      <c r="H793" s="3" t="s">
        <v>17</v>
      </c>
      <c r="I793" s="20">
        <v>2</v>
      </c>
      <c r="J793" s="3" t="s">
        <v>29</v>
      </c>
      <c r="K793" s="3" t="s">
        <v>35</v>
      </c>
      <c r="L793" s="20">
        <v>49</v>
      </c>
      <c r="M793" s="3" t="s">
        <v>20</v>
      </c>
      <c r="N793" s="20" t="str" cm="1">
        <f t="array" ref="N793">_xlfn.IFS(tbl_Clean[[#This Row],[Age]]&lt;=30,"25-30",tbl_Clean[[#This Row],[Age]]&lt;=40,"31-40",tbl_Clean[[#This Row],[Age]]&lt;=50,"41-50",tbl_Clean[[#This Row],[Age]]&lt;=60,"51-60",TRUE,"61+")</f>
        <v>41-50</v>
      </c>
      <c r="O793" s="20">
        <f>_xlfn.XMATCH(tbl_Clean[[#This Row],[Age Band]],{"25-30","31-40","41-50","51-60","61+"})</f>
        <v>3</v>
      </c>
      <c r="P793" s="20" t="str" cm="1">
        <f t="array" ref="P793">_xlfn.IFS(tbl_Clean[[#This Row],[Income]]&lt;=30000,"$10k-30k",tbl_Clean[[#This Row],[Income]]&lt;=60000,"$40k-60k",tbl_Clean[[#This Row],[Income]]&lt;=90000,"$70k-90k",TRUE,"$100k+")</f>
        <v>$10k-30k</v>
      </c>
      <c r="Q793" s="20">
        <f>_xlfn.XMATCH(tbl_Clean[[#This Row],[Income Band]],{"$10k-30k","$40k-60k","$70k-90k","$100k+"})</f>
        <v>1</v>
      </c>
      <c r="R793" s="20" t="str">
        <f>IF(tbl_Clean[[#This Row],[Cars]]&lt;=1,"0-1 Cars","2+ Cars")</f>
        <v>2+ Cars</v>
      </c>
      <c r="S793" s="20">
        <f>_xlfn.XMATCH(tbl_Clean[[#This Row],[Commute Distance]],{"0-1 Miles","1-2 Miles","2-5 Miles","5-10 Miles","10+ Miles"})</f>
        <v>2</v>
      </c>
      <c r="T793" s="20">
        <f>_xlfn.XMATCH(tbl_Clean[[#This Row],[Education]],{"Partial High School","High School","Partial College","Bachelors","Graduate Degree"})</f>
        <v>1</v>
      </c>
      <c r="U793" s="20">
        <f>IF(tbl_Clean[[#This Row],[Purchased Bike]]="Yes",1,0)</f>
        <v>0</v>
      </c>
    </row>
    <row r="794" spans="1:21" x14ac:dyDescent="0.25">
      <c r="A794" s="20">
        <v>22221</v>
      </c>
      <c r="B794" s="3" t="s">
        <v>111</v>
      </c>
      <c r="C794" s="3" t="s">
        <v>113</v>
      </c>
      <c r="D794" s="19">
        <v>60000</v>
      </c>
      <c r="E794" s="20">
        <v>2</v>
      </c>
      <c r="F794" s="3" t="s">
        <v>30</v>
      </c>
      <c r="G794" s="3" t="s">
        <v>23</v>
      </c>
      <c r="H794" s="3" t="s">
        <v>20</v>
      </c>
      <c r="I794" s="20">
        <v>2</v>
      </c>
      <c r="J794" s="3" t="s">
        <v>29</v>
      </c>
      <c r="K794" s="3" t="s">
        <v>35</v>
      </c>
      <c r="L794" s="20">
        <v>48</v>
      </c>
      <c r="M794" s="3" t="s">
        <v>17</v>
      </c>
      <c r="N794" s="20" t="str" cm="1">
        <f t="array" ref="N794">_xlfn.IFS(tbl_Clean[[#This Row],[Age]]&lt;=30,"25-30",tbl_Clean[[#This Row],[Age]]&lt;=40,"31-40",tbl_Clean[[#This Row],[Age]]&lt;=50,"41-50",tbl_Clean[[#This Row],[Age]]&lt;=60,"51-60",TRUE,"61+")</f>
        <v>41-50</v>
      </c>
      <c r="O794" s="20">
        <f>_xlfn.XMATCH(tbl_Clean[[#This Row],[Age Band]],{"25-30","31-40","41-50","51-60","61+"})</f>
        <v>3</v>
      </c>
      <c r="P794" s="20" t="str" cm="1">
        <f t="array" ref="P794">_xlfn.IFS(tbl_Clean[[#This Row],[Income]]&lt;=30000,"$10k-30k",tbl_Clean[[#This Row],[Income]]&lt;=60000,"$40k-60k",tbl_Clean[[#This Row],[Income]]&lt;=90000,"$70k-90k",TRUE,"$100k+")</f>
        <v>$40k-60k</v>
      </c>
      <c r="Q794" s="20">
        <f>_xlfn.XMATCH(tbl_Clean[[#This Row],[Income Band]],{"$10k-30k","$40k-60k","$70k-90k","$100k+"})</f>
        <v>2</v>
      </c>
      <c r="R794" s="20" t="str">
        <f>IF(tbl_Clean[[#This Row],[Cars]]&lt;=1,"0-1 Cars","2+ Cars")</f>
        <v>2+ Cars</v>
      </c>
      <c r="S794" s="20">
        <f>_xlfn.XMATCH(tbl_Clean[[#This Row],[Commute Distance]],{"0-1 Miles","1-2 Miles","2-5 Miles","5-10 Miles","10+ Miles"})</f>
        <v>2</v>
      </c>
      <c r="T794" s="20">
        <f>_xlfn.XMATCH(tbl_Clean[[#This Row],[Education]],{"Partial High School","High School","Partial College","Bachelors","Graduate Degree"})</f>
        <v>2</v>
      </c>
      <c r="U794" s="20">
        <f>IF(tbl_Clean[[#This Row],[Purchased Bike]]="Yes",1,0)</f>
        <v>1</v>
      </c>
    </row>
    <row r="795" spans="1:21" x14ac:dyDescent="0.25">
      <c r="A795" s="20">
        <v>28228</v>
      </c>
      <c r="B795" s="3" t="s">
        <v>114</v>
      </c>
      <c r="C795" s="3" t="s">
        <v>112</v>
      </c>
      <c r="D795" s="19">
        <v>80000</v>
      </c>
      <c r="E795" s="20">
        <v>2</v>
      </c>
      <c r="F795" s="3" t="s">
        <v>32</v>
      </c>
      <c r="G795" s="3" t="s">
        <v>16</v>
      </c>
      <c r="H795" s="3" t="s">
        <v>20</v>
      </c>
      <c r="I795" s="20">
        <v>2</v>
      </c>
      <c r="J795" s="3" t="s">
        <v>29</v>
      </c>
      <c r="K795" s="3" t="s">
        <v>35</v>
      </c>
      <c r="L795" s="20">
        <v>50</v>
      </c>
      <c r="M795" s="3" t="s">
        <v>20</v>
      </c>
      <c r="N795" s="20" t="str" cm="1">
        <f t="array" ref="N795">_xlfn.IFS(tbl_Clean[[#This Row],[Age]]&lt;=30,"25-30",tbl_Clean[[#This Row],[Age]]&lt;=40,"31-40",tbl_Clean[[#This Row],[Age]]&lt;=50,"41-50",tbl_Clean[[#This Row],[Age]]&lt;=60,"51-60",TRUE,"61+")</f>
        <v>41-50</v>
      </c>
      <c r="O795" s="20">
        <f>_xlfn.XMATCH(tbl_Clean[[#This Row],[Age Band]],{"25-30","31-40","41-50","51-60","61+"})</f>
        <v>3</v>
      </c>
      <c r="P795" s="20" t="str" cm="1">
        <f t="array" ref="P795">_xlfn.IFS(tbl_Clean[[#This Row],[Income]]&lt;=30000,"$10k-30k",tbl_Clean[[#This Row],[Income]]&lt;=60000,"$40k-60k",tbl_Clean[[#This Row],[Income]]&lt;=90000,"$70k-90k",TRUE,"$100k+")</f>
        <v>$70k-90k</v>
      </c>
      <c r="Q795" s="20">
        <f>_xlfn.XMATCH(tbl_Clean[[#This Row],[Income Band]],{"$10k-30k","$40k-60k","$70k-90k","$100k+"})</f>
        <v>3</v>
      </c>
      <c r="R795" s="20" t="str">
        <f>IF(tbl_Clean[[#This Row],[Cars]]&lt;=1,"0-1 Cars","2+ Cars")</f>
        <v>2+ Cars</v>
      </c>
      <c r="S795" s="20">
        <f>_xlfn.XMATCH(tbl_Clean[[#This Row],[Commute Distance]],{"0-1 Miles","1-2 Miles","2-5 Miles","5-10 Miles","10+ Miles"})</f>
        <v>2</v>
      </c>
      <c r="T795" s="20">
        <f>_xlfn.XMATCH(tbl_Clean[[#This Row],[Education]],{"Partial High School","High School","Partial College","Bachelors","Graduate Degree"})</f>
        <v>1</v>
      </c>
      <c r="U795" s="20">
        <f>IF(tbl_Clean[[#This Row],[Purchased Bike]]="Yes",1,0)</f>
        <v>0</v>
      </c>
    </row>
    <row r="796" spans="1:21" x14ac:dyDescent="0.25">
      <c r="A796" s="20">
        <v>18363</v>
      </c>
      <c r="B796" s="3" t="s">
        <v>111</v>
      </c>
      <c r="C796" s="3" t="s">
        <v>113</v>
      </c>
      <c r="D796" s="19">
        <v>40000</v>
      </c>
      <c r="E796" s="20">
        <v>0</v>
      </c>
      <c r="F796" s="3" t="s">
        <v>30</v>
      </c>
      <c r="G796" s="3" t="s">
        <v>16</v>
      </c>
      <c r="H796" s="3" t="s">
        <v>17</v>
      </c>
      <c r="I796" s="20">
        <v>2</v>
      </c>
      <c r="J796" s="3" t="s">
        <v>26</v>
      </c>
      <c r="K796" s="3" t="s">
        <v>35</v>
      </c>
      <c r="L796" s="20">
        <v>28</v>
      </c>
      <c r="M796" s="3" t="s">
        <v>17</v>
      </c>
      <c r="N796" s="20" t="str" cm="1">
        <f t="array" ref="N796">_xlfn.IFS(tbl_Clean[[#This Row],[Age]]&lt;=30,"25-30",tbl_Clean[[#This Row],[Age]]&lt;=40,"31-40",tbl_Clean[[#This Row],[Age]]&lt;=50,"41-50",tbl_Clean[[#This Row],[Age]]&lt;=60,"51-60",TRUE,"61+")</f>
        <v>25-30</v>
      </c>
      <c r="O796" s="20">
        <f>_xlfn.XMATCH(tbl_Clean[[#This Row],[Age Band]],{"25-30","31-40","41-50","51-60","61+"})</f>
        <v>1</v>
      </c>
      <c r="P796" s="20" t="str" cm="1">
        <f t="array" ref="P796">_xlfn.IFS(tbl_Clean[[#This Row],[Income]]&lt;=30000,"$10k-30k",tbl_Clean[[#This Row],[Income]]&lt;=60000,"$40k-60k",tbl_Clean[[#This Row],[Income]]&lt;=90000,"$70k-90k",TRUE,"$100k+")</f>
        <v>$40k-60k</v>
      </c>
      <c r="Q796" s="20">
        <f>_xlfn.XMATCH(tbl_Clean[[#This Row],[Income Band]],{"$10k-30k","$40k-60k","$70k-90k","$100k+"})</f>
        <v>2</v>
      </c>
      <c r="R796" s="20" t="str">
        <f>IF(tbl_Clean[[#This Row],[Cars]]&lt;=1,"0-1 Cars","2+ Cars")</f>
        <v>2+ Cars</v>
      </c>
      <c r="S796" s="20">
        <f>_xlfn.XMATCH(tbl_Clean[[#This Row],[Commute Distance]],{"0-1 Miles","1-2 Miles","2-5 Miles","5-10 Miles","10+ Miles"})</f>
        <v>4</v>
      </c>
      <c r="T796" s="20">
        <f>_xlfn.XMATCH(tbl_Clean[[#This Row],[Education]],{"Partial High School","High School","Partial College","Bachelors","Graduate Degree"})</f>
        <v>2</v>
      </c>
      <c r="U796" s="20">
        <f>IF(tbl_Clean[[#This Row],[Purchased Bike]]="Yes",1,0)</f>
        <v>1</v>
      </c>
    </row>
    <row r="797" spans="1:21" x14ac:dyDescent="0.25">
      <c r="A797" s="20">
        <v>23256</v>
      </c>
      <c r="B797" s="3" t="s">
        <v>114</v>
      </c>
      <c r="C797" s="3" t="s">
        <v>113</v>
      </c>
      <c r="D797" s="19">
        <v>30000</v>
      </c>
      <c r="E797" s="20">
        <v>1</v>
      </c>
      <c r="F797" s="3" t="s">
        <v>30</v>
      </c>
      <c r="G797" s="3" t="s">
        <v>22</v>
      </c>
      <c r="H797" s="3" t="s">
        <v>20</v>
      </c>
      <c r="I797" s="20">
        <v>1</v>
      </c>
      <c r="J797" s="3" t="s">
        <v>26</v>
      </c>
      <c r="K797" s="3" t="s">
        <v>35</v>
      </c>
      <c r="L797" s="20">
        <v>52</v>
      </c>
      <c r="M797" s="3" t="s">
        <v>20</v>
      </c>
      <c r="N797" s="20" t="str" cm="1">
        <f t="array" ref="N797">_xlfn.IFS(tbl_Clean[[#This Row],[Age]]&lt;=30,"25-30",tbl_Clean[[#This Row],[Age]]&lt;=40,"31-40",tbl_Clean[[#This Row],[Age]]&lt;=50,"41-50",tbl_Clean[[#This Row],[Age]]&lt;=60,"51-60",TRUE,"61+")</f>
        <v>51-60</v>
      </c>
      <c r="O797" s="20">
        <f>_xlfn.XMATCH(tbl_Clean[[#This Row],[Age Band]],{"25-30","31-40","41-50","51-60","61+"})</f>
        <v>4</v>
      </c>
      <c r="P797" s="20" t="str" cm="1">
        <f t="array" ref="P797">_xlfn.IFS(tbl_Clean[[#This Row],[Income]]&lt;=30000,"$10k-30k",tbl_Clean[[#This Row],[Income]]&lt;=60000,"$40k-60k",tbl_Clean[[#This Row],[Income]]&lt;=90000,"$70k-90k",TRUE,"$100k+")</f>
        <v>$10k-30k</v>
      </c>
      <c r="Q797" s="20">
        <f>_xlfn.XMATCH(tbl_Clean[[#This Row],[Income Band]],{"$10k-30k","$40k-60k","$70k-90k","$100k+"})</f>
        <v>1</v>
      </c>
      <c r="R797" s="20" t="str">
        <f>IF(tbl_Clean[[#This Row],[Cars]]&lt;=1,"0-1 Cars","2+ Cars")</f>
        <v>0-1 Cars</v>
      </c>
      <c r="S797" s="20">
        <f>_xlfn.XMATCH(tbl_Clean[[#This Row],[Commute Distance]],{"0-1 Miles","1-2 Miles","2-5 Miles","5-10 Miles","10+ Miles"})</f>
        <v>4</v>
      </c>
      <c r="T797" s="20">
        <f>_xlfn.XMATCH(tbl_Clean[[#This Row],[Education]],{"Partial High School","High School","Partial College","Bachelors","Graduate Degree"})</f>
        <v>2</v>
      </c>
      <c r="U797" s="20">
        <f>IF(tbl_Clean[[#This Row],[Purchased Bike]]="Yes",1,0)</f>
        <v>0</v>
      </c>
    </row>
    <row r="798" spans="1:21" x14ac:dyDescent="0.25">
      <c r="A798" s="20">
        <v>12768</v>
      </c>
      <c r="B798" s="3" t="s">
        <v>111</v>
      </c>
      <c r="C798" s="3" t="s">
        <v>113</v>
      </c>
      <c r="D798" s="19">
        <v>30000</v>
      </c>
      <c r="E798" s="20">
        <v>1</v>
      </c>
      <c r="F798" s="3" t="s">
        <v>30</v>
      </c>
      <c r="G798" s="3" t="s">
        <v>22</v>
      </c>
      <c r="H798" s="3" t="s">
        <v>17</v>
      </c>
      <c r="I798" s="20">
        <v>1</v>
      </c>
      <c r="J798" s="3" t="s">
        <v>24</v>
      </c>
      <c r="K798" s="3" t="s">
        <v>35</v>
      </c>
      <c r="L798" s="20">
        <v>52</v>
      </c>
      <c r="M798" s="3" t="s">
        <v>17</v>
      </c>
      <c r="N798" s="20" t="str" cm="1">
        <f t="array" ref="N798">_xlfn.IFS(tbl_Clean[[#This Row],[Age]]&lt;=30,"25-30",tbl_Clean[[#This Row],[Age]]&lt;=40,"31-40",tbl_Clean[[#This Row],[Age]]&lt;=50,"41-50",tbl_Clean[[#This Row],[Age]]&lt;=60,"51-60",TRUE,"61+")</f>
        <v>51-60</v>
      </c>
      <c r="O798" s="20">
        <f>_xlfn.XMATCH(tbl_Clean[[#This Row],[Age Band]],{"25-30","31-40","41-50","51-60","61+"})</f>
        <v>4</v>
      </c>
      <c r="P798" s="20" t="str" cm="1">
        <f t="array" ref="P798">_xlfn.IFS(tbl_Clean[[#This Row],[Income]]&lt;=30000,"$10k-30k",tbl_Clean[[#This Row],[Income]]&lt;=60000,"$40k-60k",tbl_Clean[[#This Row],[Income]]&lt;=90000,"$70k-90k",TRUE,"$100k+")</f>
        <v>$10k-30k</v>
      </c>
      <c r="Q798" s="20">
        <f>_xlfn.XMATCH(tbl_Clean[[#This Row],[Income Band]],{"$10k-30k","$40k-60k","$70k-90k","$100k+"})</f>
        <v>1</v>
      </c>
      <c r="R798" s="20" t="str">
        <f>IF(tbl_Clean[[#This Row],[Cars]]&lt;=1,"0-1 Cars","2+ Cars")</f>
        <v>0-1 Cars</v>
      </c>
      <c r="S798" s="20">
        <f>_xlfn.XMATCH(tbl_Clean[[#This Row],[Commute Distance]],{"0-1 Miles","1-2 Miles","2-5 Miles","5-10 Miles","10+ Miles"})</f>
        <v>3</v>
      </c>
      <c r="T798" s="20">
        <f>_xlfn.XMATCH(tbl_Clean[[#This Row],[Education]],{"Partial High School","High School","Partial College","Bachelors","Graduate Degree"})</f>
        <v>2</v>
      </c>
      <c r="U798" s="20">
        <f>IF(tbl_Clean[[#This Row],[Purchased Bike]]="Yes",1,0)</f>
        <v>1</v>
      </c>
    </row>
    <row r="799" spans="1:21" x14ac:dyDescent="0.25">
      <c r="A799" s="20">
        <v>20361</v>
      </c>
      <c r="B799" s="3" t="s">
        <v>111</v>
      </c>
      <c r="C799" s="3" t="s">
        <v>113</v>
      </c>
      <c r="D799" s="19">
        <v>50000</v>
      </c>
      <c r="E799" s="20">
        <v>2</v>
      </c>
      <c r="F799" s="3" t="s">
        <v>34</v>
      </c>
      <c r="G799" s="3" t="s">
        <v>31</v>
      </c>
      <c r="H799" s="3" t="s">
        <v>17</v>
      </c>
      <c r="I799" s="20">
        <v>2</v>
      </c>
      <c r="J799" s="3" t="s">
        <v>26</v>
      </c>
      <c r="K799" s="3" t="s">
        <v>35</v>
      </c>
      <c r="L799" s="20">
        <v>69</v>
      </c>
      <c r="M799" s="3" t="s">
        <v>20</v>
      </c>
      <c r="N799" s="20" t="str" cm="1">
        <f t="array" ref="N799">_xlfn.IFS(tbl_Clean[[#This Row],[Age]]&lt;=30,"25-30",tbl_Clean[[#This Row],[Age]]&lt;=40,"31-40",tbl_Clean[[#This Row],[Age]]&lt;=50,"41-50",tbl_Clean[[#This Row],[Age]]&lt;=60,"51-60",TRUE,"61+")</f>
        <v>61+</v>
      </c>
      <c r="O799" s="20">
        <f>_xlfn.XMATCH(tbl_Clean[[#This Row],[Age Band]],{"25-30","31-40","41-50","51-60","61+"})</f>
        <v>5</v>
      </c>
      <c r="P799" s="20" t="str" cm="1">
        <f t="array" ref="P799">_xlfn.IFS(tbl_Clean[[#This Row],[Income]]&lt;=30000,"$10k-30k",tbl_Clean[[#This Row],[Income]]&lt;=60000,"$40k-60k",tbl_Clean[[#This Row],[Income]]&lt;=90000,"$70k-90k",TRUE,"$100k+")</f>
        <v>$40k-60k</v>
      </c>
      <c r="Q799" s="20">
        <f>_xlfn.XMATCH(tbl_Clean[[#This Row],[Income Band]],{"$10k-30k","$40k-60k","$70k-90k","$100k+"})</f>
        <v>2</v>
      </c>
      <c r="R799" s="20" t="str">
        <f>IF(tbl_Clean[[#This Row],[Cars]]&lt;=1,"0-1 Cars","2+ Cars")</f>
        <v>2+ Cars</v>
      </c>
      <c r="S799" s="20">
        <f>_xlfn.XMATCH(tbl_Clean[[#This Row],[Commute Distance]],{"0-1 Miles","1-2 Miles","2-5 Miles","5-10 Miles","10+ Miles"})</f>
        <v>4</v>
      </c>
      <c r="T799" s="20">
        <f>_xlfn.XMATCH(tbl_Clean[[#This Row],[Education]],{"Partial High School","High School","Partial College","Bachelors","Graduate Degree"})</f>
        <v>5</v>
      </c>
      <c r="U799" s="20">
        <f>IF(tbl_Clean[[#This Row],[Purchased Bike]]="Yes",1,0)</f>
        <v>0</v>
      </c>
    </row>
    <row r="800" spans="1:21" x14ac:dyDescent="0.25">
      <c r="A800" s="20">
        <v>21306</v>
      </c>
      <c r="B800" s="3" t="s">
        <v>114</v>
      </c>
      <c r="C800" s="3" t="s">
        <v>113</v>
      </c>
      <c r="D800" s="19">
        <v>60000</v>
      </c>
      <c r="E800" s="20">
        <v>2</v>
      </c>
      <c r="F800" s="3" t="s">
        <v>30</v>
      </c>
      <c r="G800" s="3" t="s">
        <v>23</v>
      </c>
      <c r="H800" s="3" t="s">
        <v>17</v>
      </c>
      <c r="I800" s="20">
        <v>2</v>
      </c>
      <c r="J800" s="3" t="s">
        <v>26</v>
      </c>
      <c r="K800" s="3" t="s">
        <v>35</v>
      </c>
      <c r="L800" s="20">
        <v>51</v>
      </c>
      <c r="M800" s="3" t="s">
        <v>20</v>
      </c>
      <c r="N800" s="20" t="str" cm="1">
        <f t="array" ref="N800">_xlfn.IFS(tbl_Clean[[#This Row],[Age]]&lt;=30,"25-30",tbl_Clean[[#This Row],[Age]]&lt;=40,"31-40",tbl_Clean[[#This Row],[Age]]&lt;=50,"41-50",tbl_Clean[[#This Row],[Age]]&lt;=60,"51-60",TRUE,"61+")</f>
        <v>51-60</v>
      </c>
      <c r="O800" s="20">
        <f>_xlfn.XMATCH(tbl_Clean[[#This Row],[Age Band]],{"25-30","31-40","41-50","51-60","61+"})</f>
        <v>4</v>
      </c>
      <c r="P800" s="20" t="str" cm="1">
        <f t="array" ref="P800">_xlfn.IFS(tbl_Clean[[#This Row],[Income]]&lt;=30000,"$10k-30k",tbl_Clean[[#This Row],[Income]]&lt;=60000,"$40k-60k",tbl_Clean[[#This Row],[Income]]&lt;=90000,"$70k-90k",TRUE,"$100k+")</f>
        <v>$40k-60k</v>
      </c>
      <c r="Q800" s="20">
        <f>_xlfn.XMATCH(tbl_Clean[[#This Row],[Income Band]],{"$10k-30k","$40k-60k","$70k-90k","$100k+"})</f>
        <v>2</v>
      </c>
      <c r="R800" s="20" t="str">
        <f>IF(tbl_Clean[[#This Row],[Cars]]&lt;=1,"0-1 Cars","2+ Cars")</f>
        <v>2+ Cars</v>
      </c>
      <c r="S800" s="20">
        <f>_xlfn.XMATCH(tbl_Clean[[#This Row],[Commute Distance]],{"0-1 Miles","1-2 Miles","2-5 Miles","5-10 Miles","10+ Miles"})</f>
        <v>4</v>
      </c>
      <c r="T800" s="20">
        <f>_xlfn.XMATCH(tbl_Clean[[#This Row],[Education]],{"Partial High School","High School","Partial College","Bachelors","Graduate Degree"})</f>
        <v>2</v>
      </c>
      <c r="U800" s="20">
        <f>IF(tbl_Clean[[#This Row],[Purchased Bike]]="Yes",1,0)</f>
        <v>0</v>
      </c>
    </row>
    <row r="801" spans="1:21" x14ac:dyDescent="0.25">
      <c r="A801" s="20">
        <v>13382</v>
      </c>
      <c r="B801" s="3" t="s">
        <v>111</v>
      </c>
      <c r="C801" s="3" t="s">
        <v>113</v>
      </c>
      <c r="D801" s="19">
        <v>70000</v>
      </c>
      <c r="E801" s="20">
        <v>5</v>
      </c>
      <c r="F801" s="3" t="s">
        <v>21</v>
      </c>
      <c r="G801" s="3" t="s">
        <v>23</v>
      </c>
      <c r="H801" s="3" t="s">
        <v>17</v>
      </c>
      <c r="I801" s="20">
        <v>2</v>
      </c>
      <c r="J801" s="3" t="s">
        <v>29</v>
      </c>
      <c r="K801" s="3" t="s">
        <v>35</v>
      </c>
      <c r="L801" s="20">
        <v>57</v>
      </c>
      <c r="M801" s="3" t="s">
        <v>17</v>
      </c>
      <c r="N801" s="20" t="str" cm="1">
        <f t="array" ref="N801">_xlfn.IFS(tbl_Clean[[#This Row],[Age]]&lt;=30,"25-30",tbl_Clean[[#This Row],[Age]]&lt;=40,"31-40",tbl_Clean[[#This Row],[Age]]&lt;=50,"41-50",tbl_Clean[[#This Row],[Age]]&lt;=60,"51-60",TRUE,"61+")</f>
        <v>51-60</v>
      </c>
      <c r="O801" s="20">
        <f>_xlfn.XMATCH(tbl_Clean[[#This Row],[Age Band]],{"25-30","31-40","41-50","51-60","61+"})</f>
        <v>4</v>
      </c>
      <c r="P801" s="20" t="str" cm="1">
        <f t="array" ref="P801">_xlfn.IFS(tbl_Clean[[#This Row],[Income]]&lt;=30000,"$10k-30k",tbl_Clean[[#This Row],[Income]]&lt;=60000,"$40k-60k",tbl_Clean[[#This Row],[Income]]&lt;=90000,"$70k-90k",TRUE,"$100k+")</f>
        <v>$70k-90k</v>
      </c>
      <c r="Q801" s="20">
        <f>_xlfn.XMATCH(tbl_Clean[[#This Row],[Income Band]],{"$10k-30k","$40k-60k","$70k-90k","$100k+"})</f>
        <v>3</v>
      </c>
      <c r="R801" s="20" t="str">
        <f>IF(tbl_Clean[[#This Row],[Cars]]&lt;=1,"0-1 Cars","2+ Cars")</f>
        <v>2+ Cars</v>
      </c>
      <c r="S801" s="20">
        <f>_xlfn.XMATCH(tbl_Clean[[#This Row],[Commute Distance]],{"0-1 Miles","1-2 Miles","2-5 Miles","5-10 Miles","10+ Miles"})</f>
        <v>2</v>
      </c>
      <c r="T801" s="20">
        <f>_xlfn.XMATCH(tbl_Clean[[#This Row],[Education]],{"Partial High School","High School","Partial College","Bachelors","Graduate Degree"})</f>
        <v>3</v>
      </c>
      <c r="U801" s="20">
        <f>IF(tbl_Clean[[#This Row],[Purchased Bike]]="Yes",1,0)</f>
        <v>1</v>
      </c>
    </row>
    <row r="802" spans="1:21" x14ac:dyDescent="0.25">
      <c r="A802" s="20">
        <v>20310</v>
      </c>
      <c r="B802" s="3" t="s">
        <v>114</v>
      </c>
      <c r="C802" s="3" t="s">
        <v>113</v>
      </c>
      <c r="D802" s="19">
        <v>60000</v>
      </c>
      <c r="E802" s="20">
        <v>0</v>
      </c>
      <c r="F802" s="3" t="s">
        <v>21</v>
      </c>
      <c r="G802" s="3" t="s">
        <v>16</v>
      </c>
      <c r="H802" s="3" t="s">
        <v>17</v>
      </c>
      <c r="I802" s="20">
        <v>1</v>
      </c>
      <c r="J802" s="3" t="s">
        <v>26</v>
      </c>
      <c r="K802" s="3" t="s">
        <v>35</v>
      </c>
      <c r="L802" s="20">
        <v>27</v>
      </c>
      <c r="M802" s="3" t="s">
        <v>17</v>
      </c>
      <c r="N802" s="20" t="str" cm="1">
        <f t="array" ref="N802">_xlfn.IFS(tbl_Clean[[#This Row],[Age]]&lt;=30,"25-30",tbl_Clean[[#This Row],[Age]]&lt;=40,"31-40",tbl_Clean[[#This Row],[Age]]&lt;=50,"41-50",tbl_Clean[[#This Row],[Age]]&lt;=60,"51-60",TRUE,"61+")</f>
        <v>25-30</v>
      </c>
      <c r="O802" s="20">
        <f>_xlfn.XMATCH(tbl_Clean[[#This Row],[Age Band]],{"25-30","31-40","41-50","51-60","61+"})</f>
        <v>1</v>
      </c>
      <c r="P802" s="20" t="str" cm="1">
        <f t="array" ref="P802">_xlfn.IFS(tbl_Clean[[#This Row],[Income]]&lt;=30000,"$10k-30k",tbl_Clean[[#This Row],[Income]]&lt;=60000,"$40k-60k",tbl_Clean[[#This Row],[Income]]&lt;=90000,"$70k-90k",TRUE,"$100k+")</f>
        <v>$40k-60k</v>
      </c>
      <c r="Q802" s="20">
        <f>_xlfn.XMATCH(tbl_Clean[[#This Row],[Income Band]],{"$10k-30k","$40k-60k","$70k-90k","$100k+"})</f>
        <v>2</v>
      </c>
      <c r="R802" s="20" t="str">
        <f>IF(tbl_Clean[[#This Row],[Cars]]&lt;=1,"0-1 Cars","2+ Cars")</f>
        <v>0-1 Cars</v>
      </c>
      <c r="S802" s="20">
        <f>_xlfn.XMATCH(tbl_Clean[[#This Row],[Commute Distance]],{"0-1 Miles","1-2 Miles","2-5 Miles","5-10 Miles","10+ Miles"})</f>
        <v>4</v>
      </c>
      <c r="T802" s="20">
        <f>_xlfn.XMATCH(tbl_Clean[[#This Row],[Education]],{"Partial High School","High School","Partial College","Bachelors","Graduate Degree"})</f>
        <v>3</v>
      </c>
      <c r="U802" s="20">
        <f>IF(tbl_Clean[[#This Row],[Purchased Bike]]="Yes",1,0)</f>
        <v>1</v>
      </c>
    </row>
    <row r="803" spans="1:21" x14ac:dyDescent="0.25">
      <c r="A803" s="20">
        <v>22971</v>
      </c>
      <c r="B803" s="3" t="s">
        <v>114</v>
      </c>
      <c r="C803" s="3" t="s">
        <v>112</v>
      </c>
      <c r="D803" s="19">
        <v>30000</v>
      </c>
      <c r="E803" s="20">
        <v>0</v>
      </c>
      <c r="F803" s="3" t="s">
        <v>30</v>
      </c>
      <c r="G803" s="3" t="s">
        <v>16</v>
      </c>
      <c r="H803" s="3" t="s">
        <v>20</v>
      </c>
      <c r="I803" s="20">
        <v>2</v>
      </c>
      <c r="J803" s="3" t="s">
        <v>18</v>
      </c>
      <c r="K803" s="3" t="s">
        <v>35</v>
      </c>
      <c r="L803" s="20">
        <v>25</v>
      </c>
      <c r="M803" s="3" t="s">
        <v>17</v>
      </c>
      <c r="N803" s="20" t="str" cm="1">
        <f t="array" ref="N803">_xlfn.IFS(tbl_Clean[[#This Row],[Age]]&lt;=30,"25-30",tbl_Clean[[#This Row],[Age]]&lt;=40,"31-40",tbl_Clean[[#This Row],[Age]]&lt;=50,"41-50",tbl_Clean[[#This Row],[Age]]&lt;=60,"51-60",TRUE,"61+")</f>
        <v>25-30</v>
      </c>
      <c r="O803" s="20">
        <f>_xlfn.XMATCH(tbl_Clean[[#This Row],[Age Band]],{"25-30","31-40","41-50","51-60","61+"})</f>
        <v>1</v>
      </c>
      <c r="P803" s="20" t="str" cm="1">
        <f t="array" ref="P803">_xlfn.IFS(tbl_Clean[[#This Row],[Income]]&lt;=30000,"$10k-30k",tbl_Clean[[#This Row],[Income]]&lt;=60000,"$40k-60k",tbl_Clean[[#This Row],[Income]]&lt;=90000,"$70k-90k",TRUE,"$100k+")</f>
        <v>$10k-30k</v>
      </c>
      <c r="Q803" s="20">
        <f>_xlfn.XMATCH(tbl_Clean[[#This Row],[Income Band]],{"$10k-30k","$40k-60k","$70k-90k","$100k+"})</f>
        <v>1</v>
      </c>
      <c r="R803" s="20" t="str">
        <f>IF(tbl_Clean[[#This Row],[Cars]]&lt;=1,"0-1 Cars","2+ Cars")</f>
        <v>2+ Cars</v>
      </c>
      <c r="S803" s="20">
        <f>_xlfn.XMATCH(tbl_Clean[[#This Row],[Commute Distance]],{"0-1 Miles","1-2 Miles","2-5 Miles","5-10 Miles","10+ Miles"})</f>
        <v>1</v>
      </c>
      <c r="T803" s="20">
        <f>_xlfn.XMATCH(tbl_Clean[[#This Row],[Education]],{"Partial High School","High School","Partial College","Bachelors","Graduate Degree"})</f>
        <v>2</v>
      </c>
      <c r="U803" s="20">
        <f>IF(tbl_Clean[[#This Row],[Purchased Bike]]="Yes",1,0)</f>
        <v>1</v>
      </c>
    </row>
    <row r="804" spans="1:21" x14ac:dyDescent="0.25">
      <c r="A804" s="20">
        <v>15287</v>
      </c>
      <c r="B804" s="3" t="s">
        <v>114</v>
      </c>
      <c r="C804" s="3" t="s">
        <v>112</v>
      </c>
      <c r="D804" s="19">
        <v>50000</v>
      </c>
      <c r="E804" s="20">
        <v>1</v>
      </c>
      <c r="F804" s="3" t="s">
        <v>34</v>
      </c>
      <c r="G804" s="3" t="s">
        <v>16</v>
      </c>
      <c r="H804" s="3" t="s">
        <v>17</v>
      </c>
      <c r="I804" s="20">
        <v>0</v>
      </c>
      <c r="J804" s="3" t="s">
        <v>29</v>
      </c>
      <c r="K804" s="3" t="s">
        <v>35</v>
      </c>
      <c r="L804" s="20">
        <v>33</v>
      </c>
      <c r="M804" s="3" t="s">
        <v>17</v>
      </c>
      <c r="N804" s="20" t="str" cm="1">
        <f t="array" ref="N804">_xlfn.IFS(tbl_Clean[[#This Row],[Age]]&lt;=30,"25-30",tbl_Clean[[#This Row],[Age]]&lt;=40,"31-40",tbl_Clean[[#This Row],[Age]]&lt;=50,"41-50",tbl_Clean[[#This Row],[Age]]&lt;=60,"51-60",TRUE,"61+")</f>
        <v>31-40</v>
      </c>
      <c r="O804" s="20">
        <f>_xlfn.XMATCH(tbl_Clean[[#This Row],[Age Band]],{"25-30","31-40","41-50","51-60","61+"})</f>
        <v>2</v>
      </c>
      <c r="P804" s="20" t="str" cm="1">
        <f t="array" ref="P804">_xlfn.IFS(tbl_Clean[[#This Row],[Income]]&lt;=30000,"$10k-30k",tbl_Clean[[#This Row],[Income]]&lt;=60000,"$40k-60k",tbl_Clean[[#This Row],[Income]]&lt;=90000,"$70k-90k",TRUE,"$100k+")</f>
        <v>$40k-60k</v>
      </c>
      <c r="Q804" s="20">
        <f>_xlfn.XMATCH(tbl_Clean[[#This Row],[Income Band]],{"$10k-30k","$40k-60k","$70k-90k","$100k+"})</f>
        <v>2</v>
      </c>
      <c r="R804" s="20" t="str">
        <f>IF(tbl_Clean[[#This Row],[Cars]]&lt;=1,"0-1 Cars","2+ Cars")</f>
        <v>0-1 Cars</v>
      </c>
      <c r="S804" s="20">
        <f>_xlfn.XMATCH(tbl_Clean[[#This Row],[Commute Distance]],{"0-1 Miles","1-2 Miles","2-5 Miles","5-10 Miles","10+ Miles"})</f>
        <v>2</v>
      </c>
      <c r="T804" s="20">
        <f>_xlfn.XMATCH(tbl_Clean[[#This Row],[Education]],{"Partial High School","High School","Partial College","Bachelors","Graduate Degree"})</f>
        <v>5</v>
      </c>
      <c r="U804" s="20">
        <f>IF(tbl_Clean[[#This Row],[Purchased Bike]]="Yes",1,0)</f>
        <v>1</v>
      </c>
    </row>
    <row r="805" spans="1:21" x14ac:dyDescent="0.25">
      <c r="A805" s="20">
        <v>15532</v>
      </c>
      <c r="B805" s="3" t="s">
        <v>114</v>
      </c>
      <c r="C805" s="3" t="s">
        <v>113</v>
      </c>
      <c r="D805" s="19">
        <v>60000</v>
      </c>
      <c r="E805" s="20">
        <v>4</v>
      </c>
      <c r="F805" s="3" t="s">
        <v>15</v>
      </c>
      <c r="G805" s="3" t="s">
        <v>23</v>
      </c>
      <c r="H805" s="3" t="s">
        <v>17</v>
      </c>
      <c r="I805" s="20">
        <v>2</v>
      </c>
      <c r="J805" s="3" t="s">
        <v>24</v>
      </c>
      <c r="K805" s="3" t="s">
        <v>35</v>
      </c>
      <c r="L805" s="20">
        <v>43</v>
      </c>
      <c r="M805" s="3" t="s">
        <v>17</v>
      </c>
      <c r="N805" s="20" t="str" cm="1">
        <f t="array" ref="N805">_xlfn.IFS(tbl_Clean[[#This Row],[Age]]&lt;=30,"25-30",tbl_Clean[[#This Row],[Age]]&lt;=40,"31-40",tbl_Clean[[#This Row],[Age]]&lt;=50,"41-50",tbl_Clean[[#This Row],[Age]]&lt;=60,"51-60",TRUE,"61+")</f>
        <v>41-50</v>
      </c>
      <c r="O805" s="20">
        <f>_xlfn.XMATCH(tbl_Clean[[#This Row],[Age Band]],{"25-30","31-40","41-50","51-60","61+"})</f>
        <v>3</v>
      </c>
      <c r="P805" s="20" t="str" cm="1">
        <f t="array" ref="P805">_xlfn.IFS(tbl_Clean[[#This Row],[Income]]&lt;=30000,"$10k-30k",tbl_Clean[[#This Row],[Income]]&lt;=60000,"$40k-60k",tbl_Clean[[#This Row],[Income]]&lt;=90000,"$70k-90k",TRUE,"$100k+")</f>
        <v>$40k-60k</v>
      </c>
      <c r="Q805" s="20">
        <f>_xlfn.XMATCH(tbl_Clean[[#This Row],[Income Band]],{"$10k-30k","$40k-60k","$70k-90k","$100k+"})</f>
        <v>2</v>
      </c>
      <c r="R805" s="20" t="str">
        <f>IF(tbl_Clean[[#This Row],[Cars]]&lt;=1,"0-1 Cars","2+ Cars")</f>
        <v>2+ Cars</v>
      </c>
      <c r="S805" s="20">
        <f>_xlfn.XMATCH(tbl_Clean[[#This Row],[Commute Distance]],{"0-1 Miles","1-2 Miles","2-5 Miles","5-10 Miles","10+ Miles"})</f>
        <v>3</v>
      </c>
      <c r="T805" s="20">
        <f>_xlfn.XMATCH(tbl_Clean[[#This Row],[Education]],{"Partial High School","High School","Partial College","Bachelors","Graduate Degree"})</f>
        <v>4</v>
      </c>
      <c r="U805" s="20">
        <f>IF(tbl_Clean[[#This Row],[Purchased Bike]]="Yes",1,0)</f>
        <v>1</v>
      </c>
    </row>
    <row r="806" spans="1:21" x14ac:dyDescent="0.25">
      <c r="A806" s="20">
        <v>11255</v>
      </c>
      <c r="B806" s="3" t="s">
        <v>111</v>
      </c>
      <c r="C806" s="3" t="s">
        <v>113</v>
      </c>
      <c r="D806" s="19">
        <v>70000</v>
      </c>
      <c r="E806" s="20">
        <v>4</v>
      </c>
      <c r="F806" s="3" t="s">
        <v>34</v>
      </c>
      <c r="G806" s="3" t="s">
        <v>31</v>
      </c>
      <c r="H806" s="3" t="s">
        <v>17</v>
      </c>
      <c r="I806" s="20">
        <v>2</v>
      </c>
      <c r="J806" s="3" t="s">
        <v>26</v>
      </c>
      <c r="K806" s="3" t="s">
        <v>35</v>
      </c>
      <c r="L806" s="20">
        <v>73</v>
      </c>
      <c r="M806" s="3" t="s">
        <v>20</v>
      </c>
      <c r="N806" s="20" t="str" cm="1">
        <f t="array" ref="N806">_xlfn.IFS(tbl_Clean[[#This Row],[Age]]&lt;=30,"25-30",tbl_Clean[[#This Row],[Age]]&lt;=40,"31-40",tbl_Clean[[#This Row],[Age]]&lt;=50,"41-50",tbl_Clean[[#This Row],[Age]]&lt;=60,"51-60",TRUE,"61+")</f>
        <v>61+</v>
      </c>
      <c r="O806" s="20">
        <f>_xlfn.XMATCH(tbl_Clean[[#This Row],[Age Band]],{"25-30","31-40","41-50","51-60","61+"})</f>
        <v>5</v>
      </c>
      <c r="P806" s="20" t="str" cm="1">
        <f t="array" ref="P806">_xlfn.IFS(tbl_Clean[[#This Row],[Income]]&lt;=30000,"$10k-30k",tbl_Clean[[#This Row],[Income]]&lt;=60000,"$40k-60k",tbl_Clean[[#This Row],[Income]]&lt;=90000,"$70k-90k",TRUE,"$100k+")</f>
        <v>$70k-90k</v>
      </c>
      <c r="Q806" s="20">
        <f>_xlfn.XMATCH(tbl_Clean[[#This Row],[Income Band]],{"$10k-30k","$40k-60k","$70k-90k","$100k+"})</f>
        <v>3</v>
      </c>
      <c r="R806" s="20" t="str">
        <f>IF(tbl_Clean[[#This Row],[Cars]]&lt;=1,"0-1 Cars","2+ Cars")</f>
        <v>2+ Cars</v>
      </c>
      <c r="S806" s="20">
        <f>_xlfn.XMATCH(tbl_Clean[[#This Row],[Commute Distance]],{"0-1 Miles","1-2 Miles","2-5 Miles","5-10 Miles","10+ Miles"})</f>
        <v>4</v>
      </c>
      <c r="T806" s="20">
        <f>_xlfn.XMATCH(tbl_Clean[[#This Row],[Education]],{"Partial High School","High School","Partial College","Bachelors","Graduate Degree"})</f>
        <v>5</v>
      </c>
      <c r="U806" s="20">
        <f>IF(tbl_Clean[[#This Row],[Purchased Bike]]="Yes",1,0)</f>
        <v>0</v>
      </c>
    </row>
    <row r="807" spans="1:21" x14ac:dyDescent="0.25">
      <c r="A807" s="20">
        <v>28090</v>
      </c>
      <c r="B807" s="3" t="s">
        <v>111</v>
      </c>
      <c r="C807" s="3" t="s">
        <v>113</v>
      </c>
      <c r="D807" s="19">
        <v>40000</v>
      </c>
      <c r="E807" s="20">
        <v>0</v>
      </c>
      <c r="F807" s="3" t="s">
        <v>21</v>
      </c>
      <c r="G807" s="3" t="s">
        <v>16</v>
      </c>
      <c r="H807" s="3" t="s">
        <v>17</v>
      </c>
      <c r="I807" s="20">
        <v>1</v>
      </c>
      <c r="J807" s="3" t="s">
        <v>26</v>
      </c>
      <c r="K807" s="3" t="s">
        <v>35</v>
      </c>
      <c r="L807" s="20">
        <v>27</v>
      </c>
      <c r="M807" s="3" t="s">
        <v>20</v>
      </c>
      <c r="N807" s="20" t="str" cm="1">
        <f t="array" ref="N807">_xlfn.IFS(tbl_Clean[[#This Row],[Age]]&lt;=30,"25-30",tbl_Clean[[#This Row],[Age]]&lt;=40,"31-40",tbl_Clean[[#This Row],[Age]]&lt;=50,"41-50",tbl_Clean[[#This Row],[Age]]&lt;=60,"51-60",TRUE,"61+")</f>
        <v>25-30</v>
      </c>
      <c r="O807" s="20">
        <f>_xlfn.XMATCH(tbl_Clean[[#This Row],[Age Band]],{"25-30","31-40","41-50","51-60","61+"})</f>
        <v>1</v>
      </c>
      <c r="P807" s="20" t="str" cm="1">
        <f t="array" ref="P807">_xlfn.IFS(tbl_Clean[[#This Row],[Income]]&lt;=30000,"$10k-30k",tbl_Clean[[#This Row],[Income]]&lt;=60000,"$40k-60k",tbl_Clean[[#This Row],[Income]]&lt;=90000,"$70k-90k",TRUE,"$100k+")</f>
        <v>$40k-60k</v>
      </c>
      <c r="Q807" s="20">
        <f>_xlfn.XMATCH(tbl_Clean[[#This Row],[Income Band]],{"$10k-30k","$40k-60k","$70k-90k","$100k+"})</f>
        <v>2</v>
      </c>
      <c r="R807" s="20" t="str">
        <f>IF(tbl_Clean[[#This Row],[Cars]]&lt;=1,"0-1 Cars","2+ Cars")</f>
        <v>0-1 Cars</v>
      </c>
      <c r="S807" s="20">
        <f>_xlfn.XMATCH(tbl_Clean[[#This Row],[Commute Distance]],{"0-1 Miles","1-2 Miles","2-5 Miles","5-10 Miles","10+ Miles"})</f>
        <v>4</v>
      </c>
      <c r="T807" s="20">
        <f>_xlfn.XMATCH(tbl_Clean[[#This Row],[Education]],{"Partial High School","High School","Partial College","Bachelors","Graduate Degree"})</f>
        <v>3</v>
      </c>
      <c r="U807" s="20">
        <f>IF(tbl_Clean[[#This Row],[Purchased Bike]]="Yes",1,0)</f>
        <v>0</v>
      </c>
    </row>
    <row r="808" spans="1:21" x14ac:dyDescent="0.25">
      <c r="A808" s="20">
        <v>15255</v>
      </c>
      <c r="B808" s="3" t="s">
        <v>111</v>
      </c>
      <c r="C808" s="3" t="s">
        <v>113</v>
      </c>
      <c r="D808" s="19">
        <v>40000</v>
      </c>
      <c r="E808" s="20">
        <v>0</v>
      </c>
      <c r="F808" s="3" t="s">
        <v>30</v>
      </c>
      <c r="G808" s="3" t="s">
        <v>16</v>
      </c>
      <c r="H808" s="3" t="s">
        <v>17</v>
      </c>
      <c r="I808" s="20">
        <v>2</v>
      </c>
      <c r="J808" s="3" t="s">
        <v>26</v>
      </c>
      <c r="K808" s="3" t="s">
        <v>35</v>
      </c>
      <c r="L808" s="20">
        <v>28</v>
      </c>
      <c r="M808" s="3" t="s">
        <v>17</v>
      </c>
      <c r="N808" s="20" t="str" cm="1">
        <f t="array" ref="N808">_xlfn.IFS(tbl_Clean[[#This Row],[Age]]&lt;=30,"25-30",tbl_Clean[[#This Row],[Age]]&lt;=40,"31-40",tbl_Clean[[#This Row],[Age]]&lt;=50,"41-50",tbl_Clean[[#This Row],[Age]]&lt;=60,"51-60",TRUE,"61+")</f>
        <v>25-30</v>
      </c>
      <c r="O808" s="20">
        <f>_xlfn.XMATCH(tbl_Clean[[#This Row],[Age Band]],{"25-30","31-40","41-50","51-60","61+"})</f>
        <v>1</v>
      </c>
      <c r="P808" s="20" t="str" cm="1">
        <f t="array" ref="P808">_xlfn.IFS(tbl_Clean[[#This Row],[Income]]&lt;=30000,"$10k-30k",tbl_Clean[[#This Row],[Income]]&lt;=60000,"$40k-60k",tbl_Clean[[#This Row],[Income]]&lt;=90000,"$70k-90k",TRUE,"$100k+")</f>
        <v>$40k-60k</v>
      </c>
      <c r="Q808" s="20">
        <f>_xlfn.XMATCH(tbl_Clean[[#This Row],[Income Band]],{"$10k-30k","$40k-60k","$70k-90k","$100k+"})</f>
        <v>2</v>
      </c>
      <c r="R808" s="20" t="str">
        <f>IF(tbl_Clean[[#This Row],[Cars]]&lt;=1,"0-1 Cars","2+ Cars")</f>
        <v>2+ Cars</v>
      </c>
      <c r="S808" s="20">
        <f>_xlfn.XMATCH(tbl_Clean[[#This Row],[Commute Distance]],{"0-1 Miles","1-2 Miles","2-5 Miles","5-10 Miles","10+ Miles"})</f>
        <v>4</v>
      </c>
      <c r="T808" s="20">
        <f>_xlfn.XMATCH(tbl_Clean[[#This Row],[Education]],{"Partial High School","High School","Partial College","Bachelors","Graduate Degree"})</f>
        <v>2</v>
      </c>
      <c r="U808" s="20">
        <f>IF(tbl_Clean[[#This Row],[Purchased Bike]]="Yes",1,0)</f>
        <v>1</v>
      </c>
    </row>
    <row r="809" spans="1:21" x14ac:dyDescent="0.25">
      <c r="A809" s="20">
        <v>13154</v>
      </c>
      <c r="B809" s="3" t="s">
        <v>111</v>
      </c>
      <c r="C809" s="3" t="s">
        <v>113</v>
      </c>
      <c r="D809" s="19">
        <v>40000</v>
      </c>
      <c r="E809" s="20">
        <v>0</v>
      </c>
      <c r="F809" s="3" t="s">
        <v>30</v>
      </c>
      <c r="G809" s="3" t="s">
        <v>16</v>
      </c>
      <c r="H809" s="3" t="s">
        <v>20</v>
      </c>
      <c r="I809" s="20">
        <v>2</v>
      </c>
      <c r="J809" s="3" t="s">
        <v>18</v>
      </c>
      <c r="K809" s="3" t="s">
        <v>35</v>
      </c>
      <c r="L809" s="20">
        <v>27</v>
      </c>
      <c r="M809" s="3" t="s">
        <v>17</v>
      </c>
      <c r="N809" s="20" t="str" cm="1">
        <f t="array" ref="N809">_xlfn.IFS(tbl_Clean[[#This Row],[Age]]&lt;=30,"25-30",tbl_Clean[[#This Row],[Age]]&lt;=40,"31-40",tbl_Clean[[#This Row],[Age]]&lt;=50,"41-50",tbl_Clean[[#This Row],[Age]]&lt;=60,"51-60",TRUE,"61+")</f>
        <v>25-30</v>
      </c>
      <c r="O809" s="20">
        <f>_xlfn.XMATCH(tbl_Clean[[#This Row],[Age Band]],{"25-30","31-40","41-50","51-60","61+"})</f>
        <v>1</v>
      </c>
      <c r="P809" s="20" t="str" cm="1">
        <f t="array" ref="P809">_xlfn.IFS(tbl_Clean[[#This Row],[Income]]&lt;=30000,"$10k-30k",tbl_Clean[[#This Row],[Income]]&lt;=60000,"$40k-60k",tbl_Clean[[#This Row],[Income]]&lt;=90000,"$70k-90k",TRUE,"$100k+")</f>
        <v>$40k-60k</v>
      </c>
      <c r="Q809" s="20">
        <f>_xlfn.XMATCH(tbl_Clean[[#This Row],[Income Band]],{"$10k-30k","$40k-60k","$70k-90k","$100k+"})</f>
        <v>2</v>
      </c>
      <c r="R809" s="20" t="str">
        <f>IF(tbl_Clean[[#This Row],[Cars]]&lt;=1,"0-1 Cars","2+ Cars")</f>
        <v>2+ Cars</v>
      </c>
      <c r="S809" s="20">
        <f>_xlfn.XMATCH(tbl_Clean[[#This Row],[Commute Distance]],{"0-1 Miles","1-2 Miles","2-5 Miles","5-10 Miles","10+ Miles"})</f>
        <v>1</v>
      </c>
      <c r="T809" s="20">
        <f>_xlfn.XMATCH(tbl_Clean[[#This Row],[Education]],{"Partial High School","High School","Partial College","Bachelors","Graduate Degree"})</f>
        <v>2</v>
      </c>
      <c r="U809" s="20">
        <f>IF(tbl_Clean[[#This Row],[Purchased Bike]]="Yes",1,0)</f>
        <v>1</v>
      </c>
    </row>
    <row r="810" spans="1:21" x14ac:dyDescent="0.25">
      <c r="A810" s="20">
        <v>26778</v>
      </c>
      <c r="B810" s="3" t="s">
        <v>114</v>
      </c>
      <c r="C810" s="3" t="s">
        <v>112</v>
      </c>
      <c r="D810" s="19">
        <v>40000</v>
      </c>
      <c r="E810" s="20">
        <v>0</v>
      </c>
      <c r="F810" s="3" t="s">
        <v>30</v>
      </c>
      <c r="G810" s="3" t="s">
        <v>16</v>
      </c>
      <c r="H810" s="3" t="s">
        <v>17</v>
      </c>
      <c r="I810" s="20">
        <v>2</v>
      </c>
      <c r="J810" s="3" t="s">
        <v>26</v>
      </c>
      <c r="K810" s="3" t="s">
        <v>35</v>
      </c>
      <c r="L810" s="20">
        <v>31</v>
      </c>
      <c r="M810" s="3" t="s">
        <v>20</v>
      </c>
      <c r="N810" s="20" t="str" cm="1">
        <f t="array" ref="N810">_xlfn.IFS(tbl_Clean[[#This Row],[Age]]&lt;=30,"25-30",tbl_Clean[[#This Row],[Age]]&lt;=40,"31-40",tbl_Clean[[#This Row],[Age]]&lt;=50,"41-50",tbl_Clean[[#This Row],[Age]]&lt;=60,"51-60",TRUE,"61+")</f>
        <v>31-40</v>
      </c>
      <c r="O810" s="20">
        <f>_xlfn.XMATCH(tbl_Clean[[#This Row],[Age Band]],{"25-30","31-40","41-50","51-60","61+"})</f>
        <v>2</v>
      </c>
      <c r="P810" s="20" t="str" cm="1">
        <f t="array" ref="P810">_xlfn.IFS(tbl_Clean[[#This Row],[Income]]&lt;=30000,"$10k-30k",tbl_Clean[[#This Row],[Income]]&lt;=60000,"$40k-60k",tbl_Clean[[#This Row],[Income]]&lt;=90000,"$70k-90k",TRUE,"$100k+")</f>
        <v>$40k-60k</v>
      </c>
      <c r="Q810" s="20">
        <f>_xlfn.XMATCH(tbl_Clean[[#This Row],[Income Band]],{"$10k-30k","$40k-60k","$70k-90k","$100k+"})</f>
        <v>2</v>
      </c>
      <c r="R810" s="20" t="str">
        <f>IF(tbl_Clean[[#This Row],[Cars]]&lt;=1,"0-1 Cars","2+ Cars")</f>
        <v>2+ Cars</v>
      </c>
      <c r="S810" s="20">
        <f>_xlfn.XMATCH(tbl_Clean[[#This Row],[Commute Distance]],{"0-1 Miles","1-2 Miles","2-5 Miles","5-10 Miles","10+ Miles"})</f>
        <v>4</v>
      </c>
      <c r="T810" s="20">
        <f>_xlfn.XMATCH(tbl_Clean[[#This Row],[Education]],{"Partial High School","High School","Partial College","Bachelors","Graduate Degree"})</f>
        <v>2</v>
      </c>
      <c r="U810" s="20">
        <f>IF(tbl_Clean[[#This Row],[Purchased Bike]]="Yes",1,0)</f>
        <v>0</v>
      </c>
    </row>
    <row r="811" spans="1:21" x14ac:dyDescent="0.25">
      <c r="A811" s="20">
        <v>23248</v>
      </c>
      <c r="B811" s="3" t="s">
        <v>111</v>
      </c>
      <c r="C811" s="3" t="s">
        <v>112</v>
      </c>
      <c r="D811" s="19">
        <v>10000</v>
      </c>
      <c r="E811" s="20">
        <v>2</v>
      </c>
      <c r="F811" s="3" t="s">
        <v>30</v>
      </c>
      <c r="G811" s="3" t="s">
        <v>28</v>
      </c>
      <c r="H811" s="3" t="s">
        <v>17</v>
      </c>
      <c r="I811" s="20">
        <v>2</v>
      </c>
      <c r="J811" s="3" t="s">
        <v>29</v>
      </c>
      <c r="K811" s="3" t="s">
        <v>35</v>
      </c>
      <c r="L811" s="20">
        <v>53</v>
      </c>
      <c r="M811" s="3" t="s">
        <v>20</v>
      </c>
      <c r="N811" s="20" t="str" cm="1">
        <f t="array" ref="N811">_xlfn.IFS(tbl_Clean[[#This Row],[Age]]&lt;=30,"25-30",tbl_Clean[[#This Row],[Age]]&lt;=40,"31-40",tbl_Clean[[#This Row],[Age]]&lt;=50,"41-50",tbl_Clean[[#This Row],[Age]]&lt;=60,"51-60",TRUE,"61+")</f>
        <v>51-60</v>
      </c>
      <c r="O811" s="20">
        <f>_xlfn.XMATCH(tbl_Clean[[#This Row],[Age Band]],{"25-30","31-40","41-50","51-60","61+"})</f>
        <v>4</v>
      </c>
      <c r="P811" s="20" t="str" cm="1">
        <f t="array" ref="P811">_xlfn.IFS(tbl_Clean[[#This Row],[Income]]&lt;=30000,"$10k-30k",tbl_Clean[[#This Row],[Income]]&lt;=60000,"$40k-60k",tbl_Clean[[#This Row],[Income]]&lt;=90000,"$70k-90k",TRUE,"$100k+")</f>
        <v>$10k-30k</v>
      </c>
      <c r="Q811" s="20">
        <f>_xlfn.XMATCH(tbl_Clean[[#This Row],[Income Band]],{"$10k-30k","$40k-60k","$70k-90k","$100k+"})</f>
        <v>1</v>
      </c>
      <c r="R811" s="20" t="str">
        <f>IF(tbl_Clean[[#This Row],[Cars]]&lt;=1,"0-1 Cars","2+ Cars")</f>
        <v>2+ Cars</v>
      </c>
      <c r="S811" s="20">
        <f>_xlfn.XMATCH(tbl_Clean[[#This Row],[Commute Distance]],{"0-1 Miles","1-2 Miles","2-5 Miles","5-10 Miles","10+ Miles"})</f>
        <v>2</v>
      </c>
      <c r="T811" s="20">
        <f>_xlfn.XMATCH(tbl_Clean[[#This Row],[Education]],{"Partial High School","High School","Partial College","Bachelors","Graduate Degree"})</f>
        <v>2</v>
      </c>
      <c r="U811" s="20">
        <f>IF(tbl_Clean[[#This Row],[Purchased Bike]]="Yes",1,0)</f>
        <v>0</v>
      </c>
    </row>
    <row r="812" spans="1:21" x14ac:dyDescent="0.25">
      <c r="A812" s="20">
        <v>21417</v>
      </c>
      <c r="B812" s="3" t="s">
        <v>114</v>
      </c>
      <c r="C812" s="3" t="s">
        <v>112</v>
      </c>
      <c r="D812" s="19">
        <v>60000</v>
      </c>
      <c r="E812" s="20">
        <v>0</v>
      </c>
      <c r="F812" s="3" t="s">
        <v>21</v>
      </c>
      <c r="G812" s="3" t="s">
        <v>23</v>
      </c>
      <c r="H812" s="3" t="s">
        <v>20</v>
      </c>
      <c r="I812" s="20">
        <v>2</v>
      </c>
      <c r="J812" s="3" t="s">
        <v>29</v>
      </c>
      <c r="K812" s="3" t="s">
        <v>35</v>
      </c>
      <c r="L812" s="20">
        <v>32</v>
      </c>
      <c r="M812" s="3" t="s">
        <v>17</v>
      </c>
      <c r="N812" s="20" t="str" cm="1">
        <f t="array" ref="N812">_xlfn.IFS(tbl_Clean[[#This Row],[Age]]&lt;=30,"25-30",tbl_Clean[[#This Row],[Age]]&lt;=40,"31-40",tbl_Clean[[#This Row],[Age]]&lt;=50,"41-50",tbl_Clean[[#This Row],[Age]]&lt;=60,"51-60",TRUE,"61+")</f>
        <v>31-40</v>
      </c>
      <c r="O812" s="20">
        <f>_xlfn.XMATCH(tbl_Clean[[#This Row],[Age Band]],{"25-30","31-40","41-50","51-60","61+"})</f>
        <v>2</v>
      </c>
      <c r="P812" s="20" t="str" cm="1">
        <f t="array" ref="P812">_xlfn.IFS(tbl_Clean[[#This Row],[Income]]&lt;=30000,"$10k-30k",tbl_Clean[[#This Row],[Income]]&lt;=60000,"$40k-60k",tbl_Clean[[#This Row],[Income]]&lt;=90000,"$70k-90k",TRUE,"$100k+")</f>
        <v>$40k-60k</v>
      </c>
      <c r="Q812" s="20">
        <f>_xlfn.XMATCH(tbl_Clean[[#This Row],[Income Band]],{"$10k-30k","$40k-60k","$70k-90k","$100k+"})</f>
        <v>2</v>
      </c>
      <c r="R812" s="20" t="str">
        <f>IF(tbl_Clean[[#This Row],[Cars]]&lt;=1,"0-1 Cars","2+ Cars")</f>
        <v>2+ Cars</v>
      </c>
      <c r="S812" s="20">
        <f>_xlfn.XMATCH(tbl_Clean[[#This Row],[Commute Distance]],{"0-1 Miles","1-2 Miles","2-5 Miles","5-10 Miles","10+ Miles"})</f>
        <v>2</v>
      </c>
      <c r="T812" s="20">
        <f>_xlfn.XMATCH(tbl_Clean[[#This Row],[Education]],{"Partial High School","High School","Partial College","Bachelors","Graduate Degree"})</f>
        <v>3</v>
      </c>
      <c r="U812" s="20">
        <f>IF(tbl_Clean[[#This Row],[Purchased Bike]]="Yes",1,0)</f>
        <v>1</v>
      </c>
    </row>
    <row r="813" spans="1:21" x14ac:dyDescent="0.25">
      <c r="A813" s="20">
        <v>17668</v>
      </c>
      <c r="B813" s="3" t="s">
        <v>114</v>
      </c>
      <c r="C813" s="3" t="s">
        <v>113</v>
      </c>
      <c r="D813" s="19">
        <v>30000</v>
      </c>
      <c r="E813" s="20">
        <v>2</v>
      </c>
      <c r="F813" s="3" t="s">
        <v>30</v>
      </c>
      <c r="G813" s="3" t="s">
        <v>16</v>
      </c>
      <c r="H813" s="3" t="s">
        <v>17</v>
      </c>
      <c r="I813" s="20">
        <v>2</v>
      </c>
      <c r="J813" s="3" t="s">
        <v>29</v>
      </c>
      <c r="K813" s="3" t="s">
        <v>35</v>
      </c>
      <c r="L813" s="20">
        <v>50</v>
      </c>
      <c r="M813" s="3" t="s">
        <v>17</v>
      </c>
      <c r="N813" s="20" t="str" cm="1">
        <f t="array" ref="N813">_xlfn.IFS(tbl_Clean[[#This Row],[Age]]&lt;=30,"25-30",tbl_Clean[[#This Row],[Age]]&lt;=40,"31-40",tbl_Clean[[#This Row],[Age]]&lt;=50,"41-50",tbl_Clean[[#This Row],[Age]]&lt;=60,"51-60",TRUE,"61+")</f>
        <v>41-50</v>
      </c>
      <c r="O813" s="20">
        <f>_xlfn.XMATCH(tbl_Clean[[#This Row],[Age Band]],{"25-30","31-40","41-50","51-60","61+"})</f>
        <v>3</v>
      </c>
      <c r="P813" s="20" t="str" cm="1">
        <f t="array" ref="P813">_xlfn.IFS(tbl_Clean[[#This Row],[Income]]&lt;=30000,"$10k-30k",tbl_Clean[[#This Row],[Income]]&lt;=60000,"$40k-60k",tbl_Clean[[#This Row],[Income]]&lt;=90000,"$70k-90k",TRUE,"$100k+")</f>
        <v>$10k-30k</v>
      </c>
      <c r="Q813" s="20">
        <f>_xlfn.XMATCH(tbl_Clean[[#This Row],[Income Band]],{"$10k-30k","$40k-60k","$70k-90k","$100k+"})</f>
        <v>1</v>
      </c>
      <c r="R813" s="20" t="str">
        <f>IF(tbl_Clean[[#This Row],[Cars]]&lt;=1,"0-1 Cars","2+ Cars")</f>
        <v>2+ Cars</v>
      </c>
      <c r="S813" s="20">
        <f>_xlfn.XMATCH(tbl_Clean[[#This Row],[Commute Distance]],{"0-1 Miles","1-2 Miles","2-5 Miles","5-10 Miles","10+ Miles"})</f>
        <v>2</v>
      </c>
      <c r="T813" s="20">
        <f>_xlfn.XMATCH(tbl_Clean[[#This Row],[Education]],{"Partial High School","High School","Partial College","Bachelors","Graduate Degree"})</f>
        <v>2</v>
      </c>
      <c r="U813" s="20">
        <f>IF(tbl_Clean[[#This Row],[Purchased Bike]]="Yes",1,0)</f>
        <v>1</v>
      </c>
    </row>
    <row r="814" spans="1:21" x14ac:dyDescent="0.25">
      <c r="A814" s="20">
        <v>27994</v>
      </c>
      <c r="B814" s="3" t="s">
        <v>111</v>
      </c>
      <c r="C814" s="3" t="s">
        <v>112</v>
      </c>
      <c r="D814" s="19">
        <v>40000</v>
      </c>
      <c r="E814" s="20">
        <v>4</v>
      </c>
      <c r="F814" s="3" t="s">
        <v>30</v>
      </c>
      <c r="G814" s="3" t="s">
        <v>23</v>
      </c>
      <c r="H814" s="3" t="s">
        <v>17</v>
      </c>
      <c r="I814" s="20">
        <v>2</v>
      </c>
      <c r="J814" s="3" t="s">
        <v>26</v>
      </c>
      <c r="K814" s="3" t="s">
        <v>35</v>
      </c>
      <c r="L814" s="20">
        <v>69</v>
      </c>
      <c r="M814" s="3" t="s">
        <v>20</v>
      </c>
      <c r="N814" s="20" t="str" cm="1">
        <f t="array" ref="N814">_xlfn.IFS(tbl_Clean[[#This Row],[Age]]&lt;=30,"25-30",tbl_Clean[[#This Row],[Age]]&lt;=40,"31-40",tbl_Clean[[#This Row],[Age]]&lt;=50,"41-50",tbl_Clean[[#This Row],[Age]]&lt;=60,"51-60",TRUE,"61+")</f>
        <v>61+</v>
      </c>
      <c r="O814" s="20">
        <f>_xlfn.XMATCH(tbl_Clean[[#This Row],[Age Band]],{"25-30","31-40","41-50","51-60","61+"})</f>
        <v>5</v>
      </c>
      <c r="P814" s="20" t="str" cm="1">
        <f t="array" ref="P814">_xlfn.IFS(tbl_Clean[[#This Row],[Income]]&lt;=30000,"$10k-30k",tbl_Clean[[#This Row],[Income]]&lt;=60000,"$40k-60k",tbl_Clean[[#This Row],[Income]]&lt;=90000,"$70k-90k",TRUE,"$100k+")</f>
        <v>$40k-60k</v>
      </c>
      <c r="Q814" s="20">
        <f>_xlfn.XMATCH(tbl_Clean[[#This Row],[Income Band]],{"$10k-30k","$40k-60k","$70k-90k","$100k+"})</f>
        <v>2</v>
      </c>
      <c r="R814" s="20" t="str">
        <f>IF(tbl_Clean[[#This Row],[Cars]]&lt;=1,"0-1 Cars","2+ Cars")</f>
        <v>2+ Cars</v>
      </c>
      <c r="S814" s="20">
        <f>_xlfn.XMATCH(tbl_Clean[[#This Row],[Commute Distance]],{"0-1 Miles","1-2 Miles","2-5 Miles","5-10 Miles","10+ Miles"})</f>
        <v>4</v>
      </c>
      <c r="T814" s="20">
        <f>_xlfn.XMATCH(tbl_Clean[[#This Row],[Education]],{"Partial High School","High School","Partial College","Bachelors","Graduate Degree"})</f>
        <v>2</v>
      </c>
      <c r="U814" s="20">
        <f>IF(tbl_Clean[[#This Row],[Purchased Bike]]="Yes",1,0)</f>
        <v>0</v>
      </c>
    </row>
    <row r="815" spans="1:21" x14ac:dyDescent="0.25">
      <c r="A815" s="20">
        <v>20376</v>
      </c>
      <c r="B815" s="3" t="s">
        <v>114</v>
      </c>
      <c r="C815" s="3" t="s">
        <v>112</v>
      </c>
      <c r="D815" s="19">
        <v>70000</v>
      </c>
      <c r="E815" s="20">
        <v>3</v>
      </c>
      <c r="F815" s="3" t="s">
        <v>34</v>
      </c>
      <c r="G815" s="3" t="s">
        <v>31</v>
      </c>
      <c r="H815" s="3" t="s">
        <v>17</v>
      </c>
      <c r="I815" s="20">
        <v>2</v>
      </c>
      <c r="J815" s="3" t="s">
        <v>26</v>
      </c>
      <c r="K815" s="3" t="s">
        <v>35</v>
      </c>
      <c r="L815" s="20">
        <v>52</v>
      </c>
      <c r="M815" s="3" t="s">
        <v>17</v>
      </c>
      <c r="N815" s="20" t="str" cm="1">
        <f t="array" ref="N815">_xlfn.IFS(tbl_Clean[[#This Row],[Age]]&lt;=30,"25-30",tbl_Clean[[#This Row],[Age]]&lt;=40,"31-40",tbl_Clean[[#This Row],[Age]]&lt;=50,"41-50",tbl_Clean[[#This Row],[Age]]&lt;=60,"51-60",TRUE,"61+")</f>
        <v>51-60</v>
      </c>
      <c r="O815" s="20">
        <f>_xlfn.XMATCH(tbl_Clean[[#This Row],[Age Band]],{"25-30","31-40","41-50","51-60","61+"})</f>
        <v>4</v>
      </c>
      <c r="P815" s="20" t="str" cm="1">
        <f t="array" ref="P815">_xlfn.IFS(tbl_Clean[[#This Row],[Income]]&lt;=30000,"$10k-30k",tbl_Clean[[#This Row],[Income]]&lt;=60000,"$40k-60k",tbl_Clean[[#This Row],[Income]]&lt;=90000,"$70k-90k",TRUE,"$100k+")</f>
        <v>$70k-90k</v>
      </c>
      <c r="Q815" s="20">
        <f>_xlfn.XMATCH(tbl_Clean[[#This Row],[Income Band]],{"$10k-30k","$40k-60k","$70k-90k","$100k+"})</f>
        <v>3</v>
      </c>
      <c r="R815" s="20" t="str">
        <f>IF(tbl_Clean[[#This Row],[Cars]]&lt;=1,"0-1 Cars","2+ Cars")</f>
        <v>2+ Cars</v>
      </c>
      <c r="S815" s="20">
        <f>_xlfn.XMATCH(tbl_Clean[[#This Row],[Commute Distance]],{"0-1 Miles","1-2 Miles","2-5 Miles","5-10 Miles","10+ Miles"})</f>
        <v>4</v>
      </c>
      <c r="T815" s="20">
        <f>_xlfn.XMATCH(tbl_Clean[[#This Row],[Education]],{"Partial High School","High School","Partial College","Bachelors","Graduate Degree"})</f>
        <v>5</v>
      </c>
      <c r="U815" s="20">
        <f>IF(tbl_Clean[[#This Row],[Purchased Bike]]="Yes",1,0)</f>
        <v>1</v>
      </c>
    </row>
    <row r="816" spans="1:21" x14ac:dyDescent="0.25">
      <c r="A816" s="20">
        <v>25954</v>
      </c>
      <c r="B816" s="3" t="s">
        <v>111</v>
      </c>
      <c r="C816" s="3" t="s">
        <v>113</v>
      </c>
      <c r="D816" s="19">
        <v>60000</v>
      </c>
      <c r="E816" s="20">
        <v>0</v>
      </c>
      <c r="F816" s="3" t="s">
        <v>21</v>
      </c>
      <c r="G816" s="3" t="s">
        <v>16</v>
      </c>
      <c r="H816" s="3" t="s">
        <v>20</v>
      </c>
      <c r="I816" s="20">
        <v>2</v>
      </c>
      <c r="J816" s="3" t="s">
        <v>29</v>
      </c>
      <c r="K816" s="3" t="s">
        <v>35</v>
      </c>
      <c r="L816" s="20">
        <v>31</v>
      </c>
      <c r="M816" s="3" t="s">
        <v>20</v>
      </c>
      <c r="N816" s="20" t="str" cm="1">
        <f t="array" ref="N816">_xlfn.IFS(tbl_Clean[[#This Row],[Age]]&lt;=30,"25-30",tbl_Clean[[#This Row],[Age]]&lt;=40,"31-40",tbl_Clean[[#This Row],[Age]]&lt;=50,"41-50",tbl_Clean[[#This Row],[Age]]&lt;=60,"51-60",TRUE,"61+")</f>
        <v>31-40</v>
      </c>
      <c r="O816" s="20">
        <f>_xlfn.XMATCH(tbl_Clean[[#This Row],[Age Band]],{"25-30","31-40","41-50","51-60","61+"})</f>
        <v>2</v>
      </c>
      <c r="P816" s="20" t="str" cm="1">
        <f t="array" ref="P816">_xlfn.IFS(tbl_Clean[[#This Row],[Income]]&lt;=30000,"$10k-30k",tbl_Clean[[#This Row],[Income]]&lt;=60000,"$40k-60k",tbl_Clean[[#This Row],[Income]]&lt;=90000,"$70k-90k",TRUE,"$100k+")</f>
        <v>$40k-60k</v>
      </c>
      <c r="Q816" s="20">
        <f>_xlfn.XMATCH(tbl_Clean[[#This Row],[Income Band]],{"$10k-30k","$40k-60k","$70k-90k","$100k+"})</f>
        <v>2</v>
      </c>
      <c r="R816" s="20" t="str">
        <f>IF(tbl_Clean[[#This Row],[Cars]]&lt;=1,"0-1 Cars","2+ Cars")</f>
        <v>2+ Cars</v>
      </c>
      <c r="S816" s="20">
        <f>_xlfn.XMATCH(tbl_Clean[[#This Row],[Commute Distance]],{"0-1 Miles","1-2 Miles","2-5 Miles","5-10 Miles","10+ Miles"})</f>
        <v>2</v>
      </c>
      <c r="T816" s="20">
        <f>_xlfn.XMATCH(tbl_Clean[[#This Row],[Education]],{"Partial High School","High School","Partial College","Bachelors","Graduate Degree"})</f>
        <v>3</v>
      </c>
      <c r="U816" s="20">
        <f>IF(tbl_Clean[[#This Row],[Purchased Bike]]="Yes",1,0)</f>
        <v>0</v>
      </c>
    </row>
    <row r="817" spans="1:21" x14ac:dyDescent="0.25">
      <c r="A817" s="20">
        <v>15749</v>
      </c>
      <c r="B817" s="3" t="s">
        <v>114</v>
      </c>
      <c r="C817" s="3" t="s">
        <v>112</v>
      </c>
      <c r="D817" s="19">
        <v>70000</v>
      </c>
      <c r="E817" s="20">
        <v>4</v>
      </c>
      <c r="F817" s="3" t="s">
        <v>15</v>
      </c>
      <c r="G817" s="3" t="s">
        <v>31</v>
      </c>
      <c r="H817" s="3" t="s">
        <v>17</v>
      </c>
      <c r="I817" s="20">
        <v>2</v>
      </c>
      <c r="J817" s="3" t="s">
        <v>33</v>
      </c>
      <c r="K817" s="3" t="s">
        <v>35</v>
      </c>
      <c r="L817" s="20">
        <v>61</v>
      </c>
      <c r="M817" s="3" t="s">
        <v>20</v>
      </c>
      <c r="N817" s="20" t="str" cm="1">
        <f t="array" ref="N817">_xlfn.IFS(tbl_Clean[[#This Row],[Age]]&lt;=30,"25-30",tbl_Clean[[#This Row],[Age]]&lt;=40,"31-40",tbl_Clean[[#This Row],[Age]]&lt;=50,"41-50",tbl_Clean[[#This Row],[Age]]&lt;=60,"51-60",TRUE,"61+")</f>
        <v>61+</v>
      </c>
      <c r="O817" s="20">
        <f>_xlfn.XMATCH(tbl_Clean[[#This Row],[Age Band]],{"25-30","31-40","41-50","51-60","61+"})</f>
        <v>5</v>
      </c>
      <c r="P817" s="20" t="str" cm="1">
        <f t="array" ref="P817">_xlfn.IFS(tbl_Clean[[#This Row],[Income]]&lt;=30000,"$10k-30k",tbl_Clean[[#This Row],[Income]]&lt;=60000,"$40k-60k",tbl_Clean[[#This Row],[Income]]&lt;=90000,"$70k-90k",TRUE,"$100k+")</f>
        <v>$70k-90k</v>
      </c>
      <c r="Q817" s="20">
        <f>_xlfn.XMATCH(tbl_Clean[[#This Row],[Income Band]],{"$10k-30k","$40k-60k","$70k-90k","$100k+"})</f>
        <v>3</v>
      </c>
      <c r="R817" s="20" t="str">
        <f>IF(tbl_Clean[[#This Row],[Cars]]&lt;=1,"0-1 Cars","2+ Cars")</f>
        <v>2+ Cars</v>
      </c>
      <c r="S817" s="20">
        <f>_xlfn.XMATCH(tbl_Clean[[#This Row],[Commute Distance]],{"0-1 Miles","1-2 Miles","2-5 Miles","5-10 Miles","10+ Miles"})</f>
        <v>5</v>
      </c>
      <c r="T817" s="20">
        <f>_xlfn.XMATCH(tbl_Clean[[#This Row],[Education]],{"Partial High School","High School","Partial College","Bachelors","Graduate Degree"})</f>
        <v>4</v>
      </c>
      <c r="U817" s="20">
        <f>IF(tbl_Clean[[#This Row],[Purchased Bike]]="Yes",1,0)</f>
        <v>0</v>
      </c>
    </row>
    <row r="818" spans="1:21" x14ac:dyDescent="0.25">
      <c r="A818" s="20">
        <v>25899</v>
      </c>
      <c r="B818" s="3" t="s">
        <v>111</v>
      </c>
      <c r="C818" s="3" t="s">
        <v>112</v>
      </c>
      <c r="D818" s="19">
        <v>70000</v>
      </c>
      <c r="E818" s="20">
        <v>2</v>
      </c>
      <c r="F818" s="3" t="s">
        <v>30</v>
      </c>
      <c r="G818" s="3" t="s">
        <v>23</v>
      </c>
      <c r="H818" s="3" t="s">
        <v>17</v>
      </c>
      <c r="I818" s="20">
        <v>2</v>
      </c>
      <c r="J818" s="3" t="s">
        <v>33</v>
      </c>
      <c r="K818" s="3" t="s">
        <v>35</v>
      </c>
      <c r="L818" s="20">
        <v>53</v>
      </c>
      <c r="M818" s="3" t="s">
        <v>20</v>
      </c>
      <c r="N818" s="20" t="str" cm="1">
        <f t="array" ref="N818">_xlfn.IFS(tbl_Clean[[#This Row],[Age]]&lt;=30,"25-30",tbl_Clean[[#This Row],[Age]]&lt;=40,"31-40",tbl_Clean[[#This Row],[Age]]&lt;=50,"41-50",tbl_Clean[[#This Row],[Age]]&lt;=60,"51-60",TRUE,"61+")</f>
        <v>51-60</v>
      </c>
      <c r="O818" s="20">
        <f>_xlfn.XMATCH(tbl_Clean[[#This Row],[Age Band]],{"25-30","31-40","41-50","51-60","61+"})</f>
        <v>4</v>
      </c>
      <c r="P818" s="20" t="str" cm="1">
        <f t="array" ref="P818">_xlfn.IFS(tbl_Clean[[#This Row],[Income]]&lt;=30000,"$10k-30k",tbl_Clean[[#This Row],[Income]]&lt;=60000,"$40k-60k",tbl_Clean[[#This Row],[Income]]&lt;=90000,"$70k-90k",TRUE,"$100k+")</f>
        <v>$70k-90k</v>
      </c>
      <c r="Q818" s="20">
        <f>_xlfn.XMATCH(tbl_Clean[[#This Row],[Income Band]],{"$10k-30k","$40k-60k","$70k-90k","$100k+"})</f>
        <v>3</v>
      </c>
      <c r="R818" s="20" t="str">
        <f>IF(tbl_Clean[[#This Row],[Cars]]&lt;=1,"0-1 Cars","2+ Cars")</f>
        <v>2+ Cars</v>
      </c>
      <c r="S818" s="20">
        <f>_xlfn.XMATCH(tbl_Clean[[#This Row],[Commute Distance]],{"0-1 Miles","1-2 Miles","2-5 Miles","5-10 Miles","10+ Miles"})</f>
        <v>5</v>
      </c>
      <c r="T818" s="20">
        <f>_xlfn.XMATCH(tbl_Clean[[#This Row],[Education]],{"Partial High School","High School","Partial College","Bachelors","Graduate Degree"})</f>
        <v>2</v>
      </c>
      <c r="U818" s="20">
        <f>IF(tbl_Clean[[#This Row],[Purchased Bike]]="Yes",1,0)</f>
        <v>0</v>
      </c>
    </row>
    <row r="819" spans="1:21" x14ac:dyDescent="0.25">
      <c r="A819" s="20">
        <v>13351</v>
      </c>
      <c r="B819" s="3" t="s">
        <v>114</v>
      </c>
      <c r="C819" s="3" t="s">
        <v>112</v>
      </c>
      <c r="D819" s="19">
        <v>70000</v>
      </c>
      <c r="E819" s="20">
        <v>4</v>
      </c>
      <c r="F819" s="3" t="s">
        <v>15</v>
      </c>
      <c r="G819" s="3" t="s">
        <v>31</v>
      </c>
      <c r="H819" s="3" t="s">
        <v>17</v>
      </c>
      <c r="I819" s="20">
        <v>2</v>
      </c>
      <c r="J819" s="3" t="s">
        <v>29</v>
      </c>
      <c r="K819" s="3" t="s">
        <v>35</v>
      </c>
      <c r="L819" s="20">
        <v>62</v>
      </c>
      <c r="M819" s="3" t="s">
        <v>17</v>
      </c>
      <c r="N819" s="20" t="str" cm="1">
        <f t="array" ref="N819">_xlfn.IFS(tbl_Clean[[#This Row],[Age]]&lt;=30,"25-30",tbl_Clean[[#This Row],[Age]]&lt;=40,"31-40",tbl_Clean[[#This Row],[Age]]&lt;=50,"41-50",tbl_Clean[[#This Row],[Age]]&lt;=60,"51-60",TRUE,"61+")</f>
        <v>61+</v>
      </c>
      <c r="O819" s="20">
        <f>_xlfn.XMATCH(tbl_Clean[[#This Row],[Age Band]],{"25-30","31-40","41-50","51-60","61+"})</f>
        <v>5</v>
      </c>
      <c r="P819" s="20" t="str" cm="1">
        <f t="array" ref="P819">_xlfn.IFS(tbl_Clean[[#This Row],[Income]]&lt;=30000,"$10k-30k",tbl_Clean[[#This Row],[Income]]&lt;=60000,"$40k-60k",tbl_Clean[[#This Row],[Income]]&lt;=90000,"$70k-90k",TRUE,"$100k+")</f>
        <v>$70k-90k</v>
      </c>
      <c r="Q819" s="20">
        <f>_xlfn.XMATCH(tbl_Clean[[#This Row],[Income Band]],{"$10k-30k","$40k-60k","$70k-90k","$100k+"})</f>
        <v>3</v>
      </c>
      <c r="R819" s="20" t="str">
        <f>IF(tbl_Clean[[#This Row],[Cars]]&lt;=1,"0-1 Cars","2+ Cars")</f>
        <v>2+ Cars</v>
      </c>
      <c r="S819" s="20">
        <f>_xlfn.XMATCH(tbl_Clean[[#This Row],[Commute Distance]],{"0-1 Miles","1-2 Miles","2-5 Miles","5-10 Miles","10+ Miles"})</f>
        <v>2</v>
      </c>
      <c r="T819" s="20">
        <f>_xlfn.XMATCH(tbl_Clean[[#This Row],[Education]],{"Partial High School","High School","Partial College","Bachelors","Graduate Degree"})</f>
        <v>4</v>
      </c>
      <c r="U819" s="20">
        <f>IF(tbl_Clean[[#This Row],[Purchased Bike]]="Yes",1,0)</f>
        <v>1</v>
      </c>
    </row>
    <row r="820" spans="1:21" x14ac:dyDescent="0.25">
      <c r="A820" s="20">
        <v>23333</v>
      </c>
      <c r="B820" s="3" t="s">
        <v>111</v>
      </c>
      <c r="C820" s="3" t="s">
        <v>113</v>
      </c>
      <c r="D820" s="19">
        <v>40000</v>
      </c>
      <c r="E820" s="20">
        <v>0</v>
      </c>
      <c r="F820" s="3" t="s">
        <v>21</v>
      </c>
      <c r="G820" s="3" t="s">
        <v>16</v>
      </c>
      <c r="H820" s="3" t="s">
        <v>20</v>
      </c>
      <c r="I820" s="20">
        <v>2</v>
      </c>
      <c r="J820" s="3" t="s">
        <v>29</v>
      </c>
      <c r="K820" s="3" t="s">
        <v>35</v>
      </c>
      <c r="L820" s="20">
        <v>30</v>
      </c>
      <c r="M820" s="3" t="s">
        <v>20</v>
      </c>
      <c r="N820" s="20" t="str" cm="1">
        <f t="array" ref="N820">_xlfn.IFS(tbl_Clean[[#This Row],[Age]]&lt;=30,"25-30",tbl_Clean[[#This Row],[Age]]&lt;=40,"31-40",tbl_Clean[[#This Row],[Age]]&lt;=50,"41-50",tbl_Clean[[#This Row],[Age]]&lt;=60,"51-60",TRUE,"61+")</f>
        <v>25-30</v>
      </c>
      <c r="O820" s="20">
        <f>_xlfn.XMATCH(tbl_Clean[[#This Row],[Age Band]],{"25-30","31-40","41-50","51-60","61+"})</f>
        <v>1</v>
      </c>
      <c r="P820" s="20" t="str" cm="1">
        <f t="array" ref="P820">_xlfn.IFS(tbl_Clean[[#This Row],[Income]]&lt;=30000,"$10k-30k",tbl_Clean[[#This Row],[Income]]&lt;=60000,"$40k-60k",tbl_Clean[[#This Row],[Income]]&lt;=90000,"$70k-90k",TRUE,"$100k+")</f>
        <v>$40k-60k</v>
      </c>
      <c r="Q820" s="20">
        <f>_xlfn.XMATCH(tbl_Clean[[#This Row],[Income Band]],{"$10k-30k","$40k-60k","$70k-90k","$100k+"})</f>
        <v>2</v>
      </c>
      <c r="R820" s="20" t="str">
        <f>IF(tbl_Clean[[#This Row],[Cars]]&lt;=1,"0-1 Cars","2+ Cars")</f>
        <v>2+ Cars</v>
      </c>
      <c r="S820" s="20">
        <f>_xlfn.XMATCH(tbl_Clean[[#This Row],[Commute Distance]],{"0-1 Miles","1-2 Miles","2-5 Miles","5-10 Miles","10+ Miles"})</f>
        <v>2</v>
      </c>
      <c r="T820" s="20">
        <f>_xlfn.XMATCH(tbl_Clean[[#This Row],[Education]],{"Partial High School","High School","Partial College","Bachelors","Graduate Degree"})</f>
        <v>3</v>
      </c>
      <c r="U820" s="20">
        <f>IF(tbl_Clean[[#This Row],[Purchased Bike]]="Yes",1,0)</f>
        <v>0</v>
      </c>
    </row>
    <row r="821" spans="1:21" x14ac:dyDescent="0.25">
      <c r="A821" s="20">
        <v>21660</v>
      </c>
      <c r="B821" s="3" t="s">
        <v>111</v>
      </c>
      <c r="C821" s="3" t="s">
        <v>112</v>
      </c>
      <c r="D821" s="19">
        <v>60000</v>
      </c>
      <c r="E821" s="20">
        <v>3</v>
      </c>
      <c r="F821" s="3" t="s">
        <v>34</v>
      </c>
      <c r="G821" s="3" t="s">
        <v>23</v>
      </c>
      <c r="H821" s="3" t="s">
        <v>17</v>
      </c>
      <c r="I821" s="20">
        <v>0</v>
      </c>
      <c r="J821" s="3" t="s">
        <v>24</v>
      </c>
      <c r="K821" s="3" t="s">
        <v>35</v>
      </c>
      <c r="L821" s="20">
        <v>43</v>
      </c>
      <c r="M821" s="3" t="s">
        <v>17</v>
      </c>
      <c r="N821" s="20" t="str" cm="1">
        <f t="array" ref="N821">_xlfn.IFS(tbl_Clean[[#This Row],[Age]]&lt;=30,"25-30",tbl_Clean[[#This Row],[Age]]&lt;=40,"31-40",tbl_Clean[[#This Row],[Age]]&lt;=50,"41-50",tbl_Clean[[#This Row],[Age]]&lt;=60,"51-60",TRUE,"61+")</f>
        <v>41-50</v>
      </c>
      <c r="O821" s="20">
        <f>_xlfn.XMATCH(tbl_Clean[[#This Row],[Age Band]],{"25-30","31-40","41-50","51-60","61+"})</f>
        <v>3</v>
      </c>
      <c r="P821" s="20" t="str" cm="1">
        <f t="array" ref="P821">_xlfn.IFS(tbl_Clean[[#This Row],[Income]]&lt;=30000,"$10k-30k",tbl_Clean[[#This Row],[Income]]&lt;=60000,"$40k-60k",tbl_Clean[[#This Row],[Income]]&lt;=90000,"$70k-90k",TRUE,"$100k+")</f>
        <v>$40k-60k</v>
      </c>
      <c r="Q821" s="20">
        <f>_xlfn.XMATCH(tbl_Clean[[#This Row],[Income Band]],{"$10k-30k","$40k-60k","$70k-90k","$100k+"})</f>
        <v>2</v>
      </c>
      <c r="R821" s="20" t="str">
        <f>IF(tbl_Clean[[#This Row],[Cars]]&lt;=1,"0-1 Cars","2+ Cars")</f>
        <v>0-1 Cars</v>
      </c>
      <c r="S821" s="20">
        <f>_xlfn.XMATCH(tbl_Clean[[#This Row],[Commute Distance]],{"0-1 Miles","1-2 Miles","2-5 Miles","5-10 Miles","10+ Miles"})</f>
        <v>3</v>
      </c>
      <c r="T821" s="20">
        <f>_xlfn.XMATCH(tbl_Clean[[#This Row],[Education]],{"Partial High School","High School","Partial College","Bachelors","Graduate Degree"})</f>
        <v>5</v>
      </c>
      <c r="U821" s="20">
        <f>IF(tbl_Clean[[#This Row],[Purchased Bike]]="Yes",1,0)</f>
        <v>1</v>
      </c>
    </row>
    <row r="822" spans="1:21" x14ac:dyDescent="0.25">
      <c r="A822" s="20">
        <v>17012</v>
      </c>
      <c r="B822" s="3" t="s">
        <v>111</v>
      </c>
      <c r="C822" s="3" t="s">
        <v>112</v>
      </c>
      <c r="D822" s="19">
        <v>60000</v>
      </c>
      <c r="E822" s="20">
        <v>3</v>
      </c>
      <c r="F822" s="3" t="s">
        <v>34</v>
      </c>
      <c r="G822" s="3" t="s">
        <v>23</v>
      </c>
      <c r="H822" s="3" t="s">
        <v>17</v>
      </c>
      <c r="I822" s="20">
        <v>0</v>
      </c>
      <c r="J822" s="3" t="s">
        <v>24</v>
      </c>
      <c r="K822" s="3" t="s">
        <v>35</v>
      </c>
      <c r="L822" s="20">
        <v>42</v>
      </c>
      <c r="M822" s="3" t="s">
        <v>17</v>
      </c>
      <c r="N822" s="20" t="str" cm="1">
        <f t="array" ref="N822">_xlfn.IFS(tbl_Clean[[#This Row],[Age]]&lt;=30,"25-30",tbl_Clean[[#This Row],[Age]]&lt;=40,"31-40",tbl_Clean[[#This Row],[Age]]&lt;=50,"41-50",tbl_Clean[[#This Row],[Age]]&lt;=60,"51-60",TRUE,"61+")</f>
        <v>41-50</v>
      </c>
      <c r="O822" s="20">
        <f>_xlfn.XMATCH(tbl_Clean[[#This Row],[Age Band]],{"25-30","31-40","41-50","51-60","61+"})</f>
        <v>3</v>
      </c>
      <c r="P822" s="20" t="str" cm="1">
        <f t="array" ref="P822">_xlfn.IFS(tbl_Clean[[#This Row],[Income]]&lt;=30000,"$10k-30k",tbl_Clean[[#This Row],[Income]]&lt;=60000,"$40k-60k",tbl_Clean[[#This Row],[Income]]&lt;=90000,"$70k-90k",TRUE,"$100k+")</f>
        <v>$40k-60k</v>
      </c>
      <c r="Q822" s="20">
        <f>_xlfn.XMATCH(tbl_Clean[[#This Row],[Income Band]],{"$10k-30k","$40k-60k","$70k-90k","$100k+"})</f>
        <v>2</v>
      </c>
      <c r="R822" s="20" t="str">
        <f>IF(tbl_Clean[[#This Row],[Cars]]&lt;=1,"0-1 Cars","2+ Cars")</f>
        <v>0-1 Cars</v>
      </c>
      <c r="S822" s="20">
        <f>_xlfn.XMATCH(tbl_Clean[[#This Row],[Commute Distance]],{"0-1 Miles","1-2 Miles","2-5 Miles","5-10 Miles","10+ Miles"})</f>
        <v>3</v>
      </c>
      <c r="T822" s="20">
        <f>_xlfn.XMATCH(tbl_Clean[[#This Row],[Education]],{"Partial High School","High School","Partial College","Bachelors","Graduate Degree"})</f>
        <v>5</v>
      </c>
      <c r="U822" s="20">
        <f>IF(tbl_Clean[[#This Row],[Purchased Bike]]="Yes",1,0)</f>
        <v>1</v>
      </c>
    </row>
    <row r="823" spans="1:21" x14ac:dyDescent="0.25">
      <c r="A823" s="20">
        <v>24514</v>
      </c>
      <c r="B823" s="3" t="s">
        <v>111</v>
      </c>
      <c r="C823" s="3" t="s">
        <v>113</v>
      </c>
      <c r="D823" s="19">
        <v>40000</v>
      </c>
      <c r="E823" s="20">
        <v>0</v>
      </c>
      <c r="F823" s="3" t="s">
        <v>21</v>
      </c>
      <c r="G823" s="3" t="s">
        <v>16</v>
      </c>
      <c r="H823" s="3" t="s">
        <v>17</v>
      </c>
      <c r="I823" s="20">
        <v>1</v>
      </c>
      <c r="J823" s="3" t="s">
        <v>26</v>
      </c>
      <c r="K823" s="3" t="s">
        <v>35</v>
      </c>
      <c r="L823" s="20">
        <v>30</v>
      </c>
      <c r="M823" s="3" t="s">
        <v>20</v>
      </c>
      <c r="N823" s="20" t="str" cm="1">
        <f t="array" ref="N823">_xlfn.IFS(tbl_Clean[[#This Row],[Age]]&lt;=30,"25-30",tbl_Clean[[#This Row],[Age]]&lt;=40,"31-40",tbl_Clean[[#This Row],[Age]]&lt;=50,"41-50",tbl_Clean[[#This Row],[Age]]&lt;=60,"51-60",TRUE,"61+")</f>
        <v>25-30</v>
      </c>
      <c r="O823" s="20">
        <f>_xlfn.XMATCH(tbl_Clean[[#This Row],[Age Band]],{"25-30","31-40","41-50","51-60","61+"})</f>
        <v>1</v>
      </c>
      <c r="P823" s="20" t="str" cm="1">
        <f t="array" ref="P823">_xlfn.IFS(tbl_Clean[[#This Row],[Income]]&lt;=30000,"$10k-30k",tbl_Clean[[#This Row],[Income]]&lt;=60000,"$40k-60k",tbl_Clean[[#This Row],[Income]]&lt;=90000,"$70k-90k",TRUE,"$100k+")</f>
        <v>$40k-60k</v>
      </c>
      <c r="Q823" s="20">
        <f>_xlfn.XMATCH(tbl_Clean[[#This Row],[Income Band]],{"$10k-30k","$40k-60k","$70k-90k","$100k+"})</f>
        <v>2</v>
      </c>
      <c r="R823" s="20" t="str">
        <f>IF(tbl_Clean[[#This Row],[Cars]]&lt;=1,"0-1 Cars","2+ Cars")</f>
        <v>0-1 Cars</v>
      </c>
      <c r="S823" s="20">
        <f>_xlfn.XMATCH(tbl_Clean[[#This Row],[Commute Distance]],{"0-1 Miles","1-2 Miles","2-5 Miles","5-10 Miles","10+ Miles"})</f>
        <v>4</v>
      </c>
      <c r="T823" s="20">
        <f>_xlfn.XMATCH(tbl_Clean[[#This Row],[Education]],{"Partial High School","High School","Partial College","Bachelors","Graduate Degree"})</f>
        <v>3</v>
      </c>
      <c r="U823" s="20">
        <f>IF(tbl_Clean[[#This Row],[Purchased Bike]]="Yes",1,0)</f>
        <v>0</v>
      </c>
    </row>
    <row r="824" spans="1:21" x14ac:dyDescent="0.25">
      <c r="A824" s="20">
        <v>27505</v>
      </c>
      <c r="B824" s="3" t="s">
        <v>114</v>
      </c>
      <c r="C824" s="3" t="s">
        <v>112</v>
      </c>
      <c r="D824" s="19">
        <v>40000</v>
      </c>
      <c r="E824" s="20">
        <v>0</v>
      </c>
      <c r="F824" s="3" t="s">
        <v>30</v>
      </c>
      <c r="G824" s="3" t="s">
        <v>16</v>
      </c>
      <c r="H824" s="3" t="s">
        <v>17</v>
      </c>
      <c r="I824" s="20">
        <v>2</v>
      </c>
      <c r="J824" s="3" t="s">
        <v>26</v>
      </c>
      <c r="K824" s="3" t="s">
        <v>35</v>
      </c>
      <c r="L824" s="20">
        <v>30</v>
      </c>
      <c r="M824" s="3" t="s">
        <v>20</v>
      </c>
      <c r="N824" s="20" t="str" cm="1">
        <f t="array" ref="N824">_xlfn.IFS(tbl_Clean[[#This Row],[Age]]&lt;=30,"25-30",tbl_Clean[[#This Row],[Age]]&lt;=40,"31-40",tbl_Clean[[#This Row],[Age]]&lt;=50,"41-50",tbl_Clean[[#This Row],[Age]]&lt;=60,"51-60",TRUE,"61+")</f>
        <v>25-30</v>
      </c>
      <c r="O824" s="20">
        <f>_xlfn.XMATCH(tbl_Clean[[#This Row],[Age Band]],{"25-30","31-40","41-50","51-60","61+"})</f>
        <v>1</v>
      </c>
      <c r="P824" s="20" t="str" cm="1">
        <f t="array" ref="P824">_xlfn.IFS(tbl_Clean[[#This Row],[Income]]&lt;=30000,"$10k-30k",tbl_Clean[[#This Row],[Income]]&lt;=60000,"$40k-60k",tbl_Clean[[#This Row],[Income]]&lt;=90000,"$70k-90k",TRUE,"$100k+")</f>
        <v>$40k-60k</v>
      </c>
      <c r="Q824" s="20">
        <f>_xlfn.XMATCH(tbl_Clean[[#This Row],[Income Band]],{"$10k-30k","$40k-60k","$70k-90k","$100k+"})</f>
        <v>2</v>
      </c>
      <c r="R824" s="20" t="str">
        <f>IF(tbl_Clean[[#This Row],[Cars]]&lt;=1,"0-1 Cars","2+ Cars")</f>
        <v>2+ Cars</v>
      </c>
      <c r="S824" s="20">
        <f>_xlfn.XMATCH(tbl_Clean[[#This Row],[Commute Distance]],{"0-1 Miles","1-2 Miles","2-5 Miles","5-10 Miles","10+ Miles"})</f>
        <v>4</v>
      </c>
      <c r="T824" s="20">
        <f>_xlfn.XMATCH(tbl_Clean[[#This Row],[Education]],{"Partial High School","High School","Partial College","Bachelors","Graduate Degree"})</f>
        <v>2</v>
      </c>
      <c r="U824" s="20">
        <f>IF(tbl_Clean[[#This Row],[Purchased Bike]]="Yes",1,0)</f>
        <v>0</v>
      </c>
    </row>
    <row r="825" spans="1:21" x14ac:dyDescent="0.25">
      <c r="A825" s="20">
        <v>29243</v>
      </c>
      <c r="B825" s="3" t="s">
        <v>114</v>
      </c>
      <c r="C825" s="3" t="s">
        <v>113</v>
      </c>
      <c r="D825" s="19">
        <v>110000</v>
      </c>
      <c r="E825" s="20">
        <v>1</v>
      </c>
      <c r="F825" s="3" t="s">
        <v>15</v>
      </c>
      <c r="G825" s="3" t="s">
        <v>31</v>
      </c>
      <c r="H825" s="3" t="s">
        <v>17</v>
      </c>
      <c r="I825" s="20">
        <v>1</v>
      </c>
      <c r="J825" s="3" t="s">
        <v>26</v>
      </c>
      <c r="K825" s="3" t="s">
        <v>35</v>
      </c>
      <c r="L825" s="20">
        <v>43</v>
      </c>
      <c r="M825" s="3" t="s">
        <v>20</v>
      </c>
      <c r="N825" s="20" t="str" cm="1">
        <f t="array" ref="N825">_xlfn.IFS(tbl_Clean[[#This Row],[Age]]&lt;=30,"25-30",tbl_Clean[[#This Row],[Age]]&lt;=40,"31-40",tbl_Clean[[#This Row],[Age]]&lt;=50,"41-50",tbl_Clean[[#This Row],[Age]]&lt;=60,"51-60",TRUE,"61+")</f>
        <v>41-50</v>
      </c>
      <c r="O825" s="20">
        <f>_xlfn.XMATCH(tbl_Clean[[#This Row],[Age Band]],{"25-30","31-40","41-50","51-60","61+"})</f>
        <v>3</v>
      </c>
      <c r="P825" s="20" t="str" cm="1">
        <f t="array" ref="P825">_xlfn.IFS(tbl_Clean[[#This Row],[Income]]&lt;=30000,"$10k-30k",tbl_Clean[[#This Row],[Income]]&lt;=60000,"$40k-60k",tbl_Clean[[#This Row],[Income]]&lt;=90000,"$70k-90k",TRUE,"$100k+")</f>
        <v>$100k+</v>
      </c>
      <c r="Q825" s="20">
        <f>_xlfn.XMATCH(tbl_Clean[[#This Row],[Income Band]],{"$10k-30k","$40k-60k","$70k-90k","$100k+"})</f>
        <v>4</v>
      </c>
      <c r="R825" s="20" t="str">
        <f>IF(tbl_Clean[[#This Row],[Cars]]&lt;=1,"0-1 Cars","2+ Cars")</f>
        <v>0-1 Cars</v>
      </c>
      <c r="S825" s="20">
        <f>_xlfn.XMATCH(tbl_Clean[[#This Row],[Commute Distance]],{"0-1 Miles","1-2 Miles","2-5 Miles","5-10 Miles","10+ Miles"})</f>
        <v>4</v>
      </c>
      <c r="T825" s="20">
        <f>_xlfn.XMATCH(tbl_Clean[[#This Row],[Education]],{"Partial High School","High School","Partial College","Bachelors","Graduate Degree"})</f>
        <v>4</v>
      </c>
      <c r="U825" s="20">
        <f>IF(tbl_Clean[[#This Row],[Purchased Bike]]="Yes",1,0)</f>
        <v>0</v>
      </c>
    </row>
    <row r="826" spans="1:21" x14ac:dyDescent="0.25">
      <c r="A826" s="20">
        <v>26582</v>
      </c>
      <c r="B826" s="3" t="s">
        <v>111</v>
      </c>
      <c r="C826" s="3" t="s">
        <v>113</v>
      </c>
      <c r="D826" s="19">
        <v>60000</v>
      </c>
      <c r="E826" s="20">
        <v>0</v>
      </c>
      <c r="F826" s="3" t="s">
        <v>21</v>
      </c>
      <c r="G826" s="3" t="s">
        <v>16</v>
      </c>
      <c r="H826" s="3" t="s">
        <v>17</v>
      </c>
      <c r="I826" s="20">
        <v>2</v>
      </c>
      <c r="J826" s="3" t="s">
        <v>26</v>
      </c>
      <c r="K826" s="3" t="s">
        <v>35</v>
      </c>
      <c r="L826" s="20">
        <v>33</v>
      </c>
      <c r="M826" s="3" t="s">
        <v>17</v>
      </c>
      <c r="N826" s="20" t="str" cm="1">
        <f t="array" ref="N826">_xlfn.IFS(tbl_Clean[[#This Row],[Age]]&lt;=30,"25-30",tbl_Clean[[#This Row],[Age]]&lt;=40,"31-40",tbl_Clean[[#This Row],[Age]]&lt;=50,"41-50",tbl_Clean[[#This Row],[Age]]&lt;=60,"51-60",TRUE,"61+")</f>
        <v>31-40</v>
      </c>
      <c r="O826" s="20">
        <f>_xlfn.XMATCH(tbl_Clean[[#This Row],[Age Band]],{"25-30","31-40","41-50","51-60","61+"})</f>
        <v>2</v>
      </c>
      <c r="P826" s="20" t="str" cm="1">
        <f t="array" ref="P826">_xlfn.IFS(tbl_Clean[[#This Row],[Income]]&lt;=30000,"$10k-30k",tbl_Clean[[#This Row],[Income]]&lt;=60000,"$40k-60k",tbl_Clean[[#This Row],[Income]]&lt;=90000,"$70k-90k",TRUE,"$100k+")</f>
        <v>$40k-60k</v>
      </c>
      <c r="Q826" s="20">
        <f>_xlfn.XMATCH(tbl_Clean[[#This Row],[Income Band]],{"$10k-30k","$40k-60k","$70k-90k","$100k+"})</f>
        <v>2</v>
      </c>
      <c r="R826" s="20" t="str">
        <f>IF(tbl_Clean[[#This Row],[Cars]]&lt;=1,"0-1 Cars","2+ Cars")</f>
        <v>2+ Cars</v>
      </c>
      <c r="S826" s="20">
        <f>_xlfn.XMATCH(tbl_Clean[[#This Row],[Commute Distance]],{"0-1 Miles","1-2 Miles","2-5 Miles","5-10 Miles","10+ Miles"})</f>
        <v>4</v>
      </c>
      <c r="T826" s="20">
        <f>_xlfn.XMATCH(tbl_Clean[[#This Row],[Education]],{"Partial High School","High School","Partial College","Bachelors","Graduate Degree"})</f>
        <v>3</v>
      </c>
      <c r="U826" s="20">
        <f>IF(tbl_Clean[[#This Row],[Purchased Bike]]="Yes",1,0)</f>
        <v>1</v>
      </c>
    </row>
    <row r="827" spans="1:21" x14ac:dyDescent="0.25">
      <c r="A827" s="20">
        <v>14271</v>
      </c>
      <c r="B827" s="3" t="s">
        <v>111</v>
      </c>
      <c r="C827" s="3" t="s">
        <v>113</v>
      </c>
      <c r="D827" s="19">
        <v>30000</v>
      </c>
      <c r="E827" s="20">
        <v>0</v>
      </c>
      <c r="F827" s="3" t="s">
        <v>30</v>
      </c>
      <c r="G827" s="3" t="s">
        <v>16</v>
      </c>
      <c r="H827" s="3" t="s">
        <v>17</v>
      </c>
      <c r="I827" s="20">
        <v>2</v>
      </c>
      <c r="J827" s="3" t="s">
        <v>26</v>
      </c>
      <c r="K827" s="3" t="s">
        <v>35</v>
      </c>
      <c r="L827" s="20">
        <v>32</v>
      </c>
      <c r="M827" s="3" t="s">
        <v>20</v>
      </c>
      <c r="N827" s="20" t="str" cm="1">
        <f t="array" ref="N827">_xlfn.IFS(tbl_Clean[[#This Row],[Age]]&lt;=30,"25-30",tbl_Clean[[#This Row],[Age]]&lt;=40,"31-40",tbl_Clean[[#This Row],[Age]]&lt;=50,"41-50",tbl_Clean[[#This Row],[Age]]&lt;=60,"51-60",TRUE,"61+")</f>
        <v>31-40</v>
      </c>
      <c r="O827" s="20">
        <f>_xlfn.XMATCH(tbl_Clean[[#This Row],[Age Band]],{"25-30","31-40","41-50","51-60","61+"})</f>
        <v>2</v>
      </c>
      <c r="P827" s="20" t="str" cm="1">
        <f t="array" ref="P827">_xlfn.IFS(tbl_Clean[[#This Row],[Income]]&lt;=30000,"$10k-30k",tbl_Clean[[#This Row],[Income]]&lt;=60000,"$40k-60k",tbl_Clean[[#This Row],[Income]]&lt;=90000,"$70k-90k",TRUE,"$100k+")</f>
        <v>$10k-30k</v>
      </c>
      <c r="Q827" s="20">
        <f>_xlfn.XMATCH(tbl_Clean[[#This Row],[Income Band]],{"$10k-30k","$40k-60k","$70k-90k","$100k+"})</f>
        <v>1</v>
      </c>
      <c r="R827" s="20" t="str">
        <f>IF(tbl_Clean[[#This Row],[Cars]]&lt;=1,"0-1 Cars","2+ Cars")</f>
        <v>2+ Cars</v>
      </c>
      <c r="S827" s="20">
        <f>_xlfn.XMATCH(tbl_Clean[[#This Row],[Commute Distance]],{"0-1 Miles","1-2 Miles","2-5 Miles","5-10 Miles","10+ Miles"})</f>
        <v>4</v>
      </c>
      <c r="T827" s="20">
        <f>_xlfn.XMATCH(tbl_Clean[[#This Row],[Education]],{"Partial High School","High School","Partial College","Bachelors","Graduate Degree"})</f>
        <v>2</v>
      </c>
      <c r="U827" s="20">
        <f>IF(tbl_Clean[[#This Row],[Purchased Bike]]="Yes",1,0)</f>
        <v>0</v>
      </c>
    </row>
    <row r="828" spans="1:21" x14ac:dyDescent="0.25">
      <c r="A828" s="20">
        <v>23041</v>
      </c>
      <c r="B828" s="3" t="s">
        <v>114</v>
      </c>
      <c r="C828" s="3" t="s">
        <v>112</v>
      </c>
      <c r="D828" s="19">
        <v>70000</v>
      </c>
      <c r="E828" s="20">
        <v>4</v>
      </c>
      <c r="F828" s="3" t="s">
        <v>30</v>
      </c>
      <c r="G828" s="3" t="s">
        <v>23</v>
      </c>
      <c r="H828" s="3" t="s">
        <v>17</v>
      </c>
      <c r="I828" s="20">
        <v>0</v>
      </c>
      <c r="J828" s="3" t="s">
        <v>26</v>
      </c>
      <c r="K828" s="3" t="s">
        <v>35</v>
      </c>
      <c r="L828" s="20">
        <v>50</v>
      </c>
      <c r="M828" s="3" t="s">
        <v>17</v>
      </c>
      <c r="N828" s="20" t="str" cm="1">
        <f t="array" ref="N828">_xlfn.IFS(tbl_Clean[[#This Row],[Age]]&lt;=30,"25-30",tbl_Clean[[#This Row],[Age]]&lt;=40,"31-40",tbl_Clean[[#This Row],[Age]]&lt;=50,"41-50",tbl_Clean[[#This Row],[Age]]&lt;=60,"51-60",TRUE,"61+")</f>
        <v>41-50</v>
      </c>
      <c r="O828" s="20">
        <f>_xlfn.XMATCH(tbl_Clean[[#This Row],[Age Band]],{"25-30","31-40","41-50","51-60","61+"})</f>
        <v>3</v>
      </c>
      <c r="P828" s="20" t="str" cm="1">
        <f t="array" ref="P828">_xlfn.IFS(tbl_Clean[[#This Row],[Income]]&lt;=30000,"$10k-30k",tbl_Clean[[#This Row],[Income]]&lt;=60000,"$40k-60k",tbl_Clean[[#This Row],[Income]]&lt;=90000,"$70k-90k",TRUE,"$100k+")</f>
        <v>$70k-90k</v>
      </c>
      <c r="Q828" s="20">
        <f>_xlfn.XMATCH(tbl_Clean[[#This Row],[Income Band]],{"$10k-30k","$40k-60k","$70k-90k","$100k+"})</f>
        <v>3</v>
      </c>
      <c r="R828" s="20" t="str">
        <f>IF(tbl_Clean[[#This Row],[Cars]]&lt;=1,"0-1 Cars","2+ Cars")</f>
        <v>0-1 Cars</v>
      </c>
      <c r="S828" s="20">
        <f>_xlfn.XMATCH(tbl_Clean[[#This Row],[Commute Distance]],{"0-1 Miles","1-2 Miles","2-5 Miles","5-10 Miles","10+ Miles"})</f>
        <v>4</v>
      </c>
      <c r="T828" s="20">
        <f>_xlfn.XMATCH(tbl_Clean[[#This Row],[Education]],{"Partial High School","High School","Partial College","Bachelors","Graduate Degree"})</f>
        <v>2</v>
      </c>
      <c r="U828" s="20">
        <f>IF(tbl_Clean[[#This Row],[Purchased Bike]]="Yes",1,0)</f>
        <v>1</v>
      </c>
    </row>
    <row r="829" spans="1:21" x14ac:dyDescent="0.25">
      <c r="A829" s="20">
        <v>29048</v>
      </c>
      <c r="B829" s="3" t="s">
        <v>114</v>
      </c>
      <c r="C829" s="3" t="s">
        <v>113</v>
      </c>
      <c r="D829" s="19">
        <v>110000</v>
      </c>
      <c r="E829" s="20">
        <v>2</v>
      </c>
      <c r="F829" s="3" t="s">
        <v>15</v>
      </c>
      <c r="G829" s="3" t="s">
        <v>31</v>
      </c>
      <c r="H829" s="3" t="s">
        <v>20</v>
      </c>
      <c r="I829" s="20">
        <v>3</v>
      </c>
      <c r="J829" s="3" t="s">
        <v>18</v>
      </c>
      <c r="K829" s="3" t="s">
        <v>35</v>
      </c>
      <c r="L829" s="20">
        <v>37</v>
      </c>
      <c r="M829" s="3" t="s">
        <v>17</v>
      </c>
      <c r="N829" s="20" t="str" cm="1">
        <f t="array" ref="N829">_xlfn.IFS(tbl_Clean[[#This Row],[Age]]&lt;=30,"25-30",tbl_Clean[[#This Row],[Age]]&lt;=40,"31-40",tbl_Clean[[#This Row],[Age]]&lt;=50,"41-50",tbl_Clean[[#This Row],[Age]]&lt;=60,"51-60",TRUE,"61+")</f>
        <v>31-40</v>
      </c>
      <c r="O829" s="20">
        <f>_xlfn.XMATCH(tbl_Clean[[#This Row],[Age Band]],{"25-30","31-40","41-50","51-60","61+"})</f>
        <v>2</v>
      </c>
      <c r="P829" s="20" t="str" cm="1">
        <f t="array" ref="P829">_xlfn.IFS(tbl_Clean[[#This Row],[Income]]&lt;=30000,"$10k-30k",tbl_Clean[[#This Row],[Income]]&lt;=60000,"$40k-60k",tbl_Clean[[#This Row],[Income]]&lt;=90000,"$70k-90k",TRUE,"$100k+")</f>
        <v>$100k+</v>
      </c>
      <c r="Q829" s="20">
        <f>_xlfn.XMATCH(tbl_Clean[[#This Row],[Income Band]],{"$10k-30k","$40k-60k","$70k-90k","$100k+"})</f>
        <v>4</v>
      </c>
      <c r="R829" s="20" t="str">
        <f>IF(tbl_Clean[[#This Row],[Cars]]&lt;=1,"0-1 Cars","2+ Cars")</f>
        <v>2+ Cars</v>
      </c>
      <c r="S829" s="20">
        <f>_xlfn.XMATCH(tbl_Clean[[#This Row],[Commute Distance]],{"0-1 Miles","1-2 Miles","2-5 Miles","5-10 Miles","10+ Miles"})</f>
        <v>1</v>
      </c>
      <c r="T829" s="20">
        <f>_xlfn.XMATCH(tbl_Clean[[#This Row],[Education]],{"Partial High School","High School","Partial College","Bachelors","Graduate Degree"})</f>
        <v>4</v>
      </c>
      <c r="U829" s="20">
        <f>IF(tbl_Clean[[#This Row],[Purchased Bike]]="Yes",1,0)</f>
        <v>1</v>
      </c>
    </row>
    <row r="830" spans="1:21" x14ac:dyDescent="0.25">
      <c r="A830" s="20">
        <v>24433</v>
      </c>
      <c r="B830" s="3" t="s">
        <v>111</v>
      </c>
      <c r="C830" s="3" t="s">
        <v>113</v>
      </c>
      <c r="D830" s="19">
        <v>70000</v>
      </c>
      <c r="E830" s="20">
        <v>3</v>
      </c>
      <c r="F830" s="3" t="s">
        <v>30</v>
      </c>
      <c r="G830" s="3" t="s">
        <v>23</v>
      </c>
      <c r="H830" s="3" t="s">
        <v>20</v>
      </c>
      <c r="I830" s="20">
        <v>1</v>
      </c>
      <c r="J830" s="3" t="s">
        <v>29</v>
      </c>
      <c r="K830" s="3" t="s">
        <v>35</v>
      </c>
      <c r="L830" s="20">
        <v>52</v>
      </c>
      <c r="M830" s="3" t="s">
        <v>17</v>
      </c>
      <c r="N830" s="20" t="str" cm="1">
        <f t="array" ref="N830">_xlfn.IFS(tbl_Clean[[#This Row],[Age]]&lt;=30,"25-30",tbl_Clean[[#This Row],[Age]]&lt;=40,"31-40",tbl_Clean[[#This Row],[Age]]&lt;=50,"41-50",tbl_Clean[[#This Row],[Age]]&lt;=60,"51-60",TRUE,"61+")</f>
        <v>51-60</v>
      </c>
      <c r="O830" s="20">
        <f>_xlfn.XMATCH(tbl_Clean[[#This Row],[Age Band]],{"25-30","31-40","41-50","51-60","61+"})</f>
        <v>4</v>
      </c>
      <c r="P830" s="20" t="str" cm="1">
        <f t="array" ref="P830">_xlfn.IFS(tbl_Clean[[#This Row],[Income]]&lt;=30000,"$10k-30k",tbl_Clean[[#This Row],[Income]]&lt;=60000,"$40k-60k",tbl_Clean[[#This Row],[Income]]&lt;=90000,"$70k-90k",TRUE,"$100k+")</f>
        <v>$70k-90k</v>
      </c>
      <c r="Q830" s="20">
        <f>_xlfn.XMATCH(tbl_Clean[[#This Row],[Income Band]],{"$10k-30k","$40k-60k","$70k-90k","$100k+"})</f>
        <v>3</v>
      </c>
      <c r="R830" s="20" t="str">
        <f>IF(tbl_Clean[[#This Row],[Cars]]&lt;=1,"0-1 Cars","2+ Cars")</f>
        <v>0-1 Cars</v>
      </c>
      <c r="S830" s="20">
        <f>_xlfn.XMATCH(tbl_Clean[[#This Row],[Commute Distance]],{"0-1 Miles","1-2 Miles","2-5 Miles","5-10 Miles","10+ Miles"})</f>
        <v>2</v>
      </c>
      <c r="T830" s="20">
        <f>_xlfn.XMATCH(tbl_Clean[[#This Row],[Education]],{"Partial High School","High School","Partial College","Bachelors","Graduate Degree"})</f>
        <v>2</v>
      </c>
      <c r="U830" s="20">
        <f>IF(tbl_Clean[[#This Row],[Purchased Bike]]="Yes",1,0)</f>
        <v>1</v>
      </c>
    </row>
    <row r="831" spans="1:21" x14ac:dyDescent="0.25">
      <c r="A831" s="20">
        <v>15501</v>
      </c>
      <c r="B831" s="3" t="s">
        <v>111</v>
      </c>
      <c r="C831" s="3" t="s">
        <v>113</v>
      </c>
      <c r="D831" s="19">
        <v>70000</v>
      </c>
      <c r="E831" s="20">
        <v>4</v>
      </c>
      <c r="F831" s="3" t="s">
        <v>34</v>
      </c>
      <c r="G831" s="3" t="s">
        <v>23</v>
      </c>
      <c r="H831" s="3" t="s">
        <v>17</v>
      </c>
      <c r="I831" s="20">
        <v>0</v>
      </c>
      <c r="J831" s="3" t="s">
        <v>24</v>
      </c>
      <c r="K831" s="3" t="s">
        <v>35</v>
      </c>
      <c r="L831" s="20">
        <v>36</v>
      </c>
      <c r="M831" s="3" t="s">
        <v>17</v>
      </c>
      <c r="N831" s="20" t="str" cm="1">
        <f t="array" ref="N831">_xlfn.IFS(tbl_Clean[[#This Row],[Age]]&lt;=30,"25-30",tbl_Clean[[#This Row],[Age]]&lt;=40,"31-40",tbl_Clean[[#This Row],[Age]]&lt;=50,"41-50",tbl_Clean[[#This Row],[Age]]&lt;=60,"51-60",TRUE,"61+")</f>
        <v>31-40</v>
      </c>
      <c r="O831" s="20">
        <f>_xlfn.XMATCH(tbl_Clean[[#This Row],[Age Band]],{"25-30","31-40","41-50","51-60","61+"})</f>
        <v>2</v>
      </c>
      <c r="P831" s="20" t="str" cm="1">
        <f t="array" ref="P831">_xlfn.IFS(tbl_Clean[[#This Row],[Income]]&lt;=30000,"$10k-30k",tbl_Clean[[#This Row],[Income]]&lt;=60000,"$40k-60k",tbl_Clean[[#This Row],[Income]]&lt;=90000,"$70k-90k",TRUE,"$100k+")</f>
        <v>$70k-90k</v>
      </c>
      <c r="Q831" s="20">
        <f>_xlfn.XMATCH(tbl_Clean[[#This Row],[Income Band]],{"$10k-30k","$40k-60k","$70k-90k","$100k+"})</f>
        <v>3</v>
      </c>
      <c r="R831" s="20" t="str">
        <f>IF(tbl_Clean[[#This Row],[Cars]]&lt;=1,"0-1 Cars","2+ Cars")</f>
        <v>0-1 Cars</v>
      </c>
      <c r="S831" s="20">
        <f>_xlfn.XMATCH(tbl_Clean[[#This Row],[Commute Distance]],{"0-1 Miles","1-2 Miles","2-5 Miles","5-10 Miles","10+ Miles"})</f>
        <v>3</v>
      </c>
      <c r="T831" s="20">
        <f>_xlfn.XMATCH(tbl_Clean[[#This Row],[Education]],{"Partial High School","High School","Partial College","Bachelors","Graduate Degree"})</f>
        <v>5</v>
      </c>
      <c r="U831" s="20">
        <f>IF(tbl_Clean[[#This Row],[Purchased Bike]]="Yes",1,0)</f>
        <v>1</v>
      </c>
    </row>
    <row r="832" spans="1:21" x14ac:dyDescent="0.25">
      <c r="A832" s="20">
        <v>13911</v>
      </c>
      <c r="B832" s="3" t="s">
        <v>114</v>
      </c>
      <c r="C832" s="3" t="s">
        <v>112</v>
      </c>
      <c r="D832" s="19">
        <v>80000</v>
      </c>
      <c r="E832" s="20">
        <v>3</v>
      </c>
      <c r="F832" s="3" t="s">
        <v>15</v>
      </c>
      <c r="G832" s="3" t="s">
        <v>16</v>
      </c>
      <c r="H832" s="3" t="s">
        <v>17</v>
      </c>
      <c r="I832" s="20">
        <v>2</v>
      </c>
      <c r="J832" s="3" t="s">
        <v>24</v>
      </c>
      <c r="K832" s="3" t="s">
        <v>35</v>
      </c>
      <c r="L832" s="20">
        <v>41</v>
      </c>
      <c r="M832" s="3" t="s">
        <v>17</v>
      </c>
      <c r="N832" s="20" t="str" cm="1">
        <f t="array" ref="N832">_xlfn.IFS(tbl_Clean[[#This Row],[Age]]&lt;=30,"25-30",tbl_Clean[[#This Row],[Age]]&lt;=40,"31-40",tbl_Clean[[#This Row],[Age]]&lt;=50,"41-50",tbl_Clean[[#This Row],[Age]]&lt;=60,"51-60",TRUE,"61+")</f>
        <v>41-50</v>
      </c>
      <c r="O832" s="20">
        <f>_xlfn.XMATCH(tbl_Clean[[#This Row],[Age Band]],{"25-30","31-40","41-50","51-60","61+"})</f>
        <v>3</v>
      </c>
      <c r="P832" s="20" t="str" cm="1">
        <f t="array" ref="P832">_xlfn.IFS(tbl_Clean[[#This Row],[Income]]&lt;=30000,"$10k-30k",tbl_Clean[[#This Row],[Income]]&lt;=60000,"$40k-60k",tbl_Clean[[#This Row],[Income]]&lt;=90000,"$70k-90k",TRUE,"$100k+")</f>
        <v>$70k-90k</v>
      </c>
      <c r="Q832" s="20">
        <f>_xlfn.XMATCH(tbl_Clean[[#This Row],[Income Band]],{"$10k-30k","$40k-60k","$70k-90k","$100k+"})</f>
        <v>3</v>
      </c>
      <c r="R832" s="20" t="str">
        <f>IF(tbl_Clean[[#This Row],[Cars]]&lt;=1,"0-1 Cars","2+ Cars")</f>
        <v>2+ Cars</v>
      </c>
      <c r="S832" s="20">
        <f>_xlfn.XMATCH(tbl_Clean[[#This Row],[Commute Distance]],{"0-1 Miles","1-2 Miles","2-5 Miles","5-10 Miles","10+ Miles"})</f>
        <v>3</v>
      </c>
      <c r="T832" s="20">
        <f>_xlfn.XMATCH(tbl_Clean[[#This Row],[Education]],{"Partial High School","High School","Partial College","Bachelors","Graduate Degree"})</f>
        <v>4</v>
      </c>
      <c r="U832" s="20">
        <f>IF(tbl_Clean[[#This Row],[Purchased Bike]]="Yes",1,0)</f>
        <v>1</v>
      </c>
    </row>
    <row r="833" spans="1:21" x14ac:dyDescent="0.25">
      <c r="A833" s="20">
        <v>20421</v>
      </c>
      <c r="B833" s="3" t="s">
        <v>114</v>
      </c>
      <c r="C833" s="3" t="s">
        <v>112</v>
      </c>
      <c r="D833" s="19">
        <v>40000</v>
      </c>
      <c r="E833" s="20">
        <v>0</v>
      </c>
      <c r="F833" s="3" t="s">
        <v>32</v>
      </c>
      <c r="G833" s="3" t="s">
        <v>22</v>
      </c>
      <c r="H833" s="3" t="s">
        <v>17</v>
      </c>
      <c r="I833" s="20">
        <v>2</v>
      </c>
      <c r="J833" s="3" t="s">
        <v>26</v>
      </c>
      <c r="K833" s="3" t="s">
        <v>35</v>
      </c>
      <c r="L833" s="20">
        <v>26</v>
      </c>
      <c r="M833" s="3" t="s">
        <v>20</v>
      </c>
      <c r="N833" s="20" t="str" cm="1">
        <f t="array" ref="N833">_xlfn.IFS(tbl_Clean[[#This Row],[Age]]&lt;=30,"25-30",tbl_Clean[[#This Row],[Age]]&lt;=40,"31-40",tbl_Clean[[#This Row],[Age]]&lt;=50,"41-50",tbl_Clean[[#This Row],[Age]]&lt;=60,"51-60",TRUE,"61+")</f>
        <v>25-30</v>
      </c>
      <c r="O833" s="20">
        <f>_xlfn.XMATCH(tbl_Clean[[#This Row],[Age Band]],{"25-30","31-40","41-50","51-60","61+"})</f>
        <v>1</v>
      </c>
      <c r="P833" s="20" t="str" cm="1">
        <f t="array" ref="P833">_xlfn.IFS(tbl_Clean[[#This Row],[Income]]&lt;=30000,"$10k-30k",tbl_Clean[[#This Row],[Income]]&lt;=60000,"$40k-60k",tbl_Clean[[#This Row],[Income]]&lt;=90000,"$70k-90k",TRUE,"$100k+")</f>
        <v>$40k-60k</v>
      </c>
      <c r="Q833" s="20">
        <f>_xlfn.XMATCH(tbl_Clean[[#This Row],[Income Band]],{"$10k-30k","$40k-60k","$70k-90k","$100k+"})</f>
        <v>2</v>
      </c>
      <c r="R833" s="20" t="str">
        <f>IF(tbl_Clean[[#This Row],[Cars]]&lt;=1,"0-1 Cars","2+ Cars")</f>
        <v>2+ Cars</v>
      </c>
      <c r="S833" s="20">
        <f>_xlfn.XMATCH(tbl_Clean[[#This Row],[Commute Distance]],{"0-1 Miles","1-2 Miles","2-5 Miles","5-10 Miles","10+ Miles"})</f>
        <v>4</v>
      </c>
      <c r="T833" s="20">
        <f>_xlfn.XMATCH(tbl_Clean[[#This Row],[Education]],{"Partial High School","High School","Partial College","Bachelors","Graduate Degree"})</f>
        <v>1</v>
      </c>
      <c r="U833" s="20">
        <f>IF(tbl_Clean[[#This Row],[Purchased Bike]]="Yes",1,0)</f>
        <v>0</v>
      </c>
    </row>
    <row r="834" spans="1:21" x14ac:dyDescent="0.25">
      <c r="A834" s="20">
        <v>16009</v>
      </c>
      <c r="B834" s="3" t="s">
        <v>114</v>
      </c>
      <c r="C834" s="3" t="s">
        <v>113</v>
      </c>
      <c r="D834" s="19">
        <v>170000</v>
      </c>
      <c r="E834" s="20">
        <v>1</v>
      </c>
      <c r="F834" s="3" t="s">
        <v>34</v>
      </c>
      <c r="G834" s="3" t="s">
        <v>31</v>
      </c>
      <c r="H834" s="3" t="s">
        <v>20</v>
      </c>
      <c r="I834" s="20">
        <v>4</v>
      </c>
      <c r="J834" s="3" t="s">
        <v>18</v>
      </c>
      <c r="K834" s="3" t="s">
        <v>35</v>
      </c>
      <c r="L834" s="20">
        <v>66</v>
      </c>
      <c r="M834" s="3" t="s">
        <v>20</v>
      </c>
      <c r="N834" s="20" t="str" cm="1">
        <f t="array" ref="N834">_xlfn.IFS(tbl_Clean[[#This Row],[Age]]&lt;=30,"25-30",tbl_Clean[[#This Row],[Age]]&lt;=40,"31-40",tbl_Clean[[#This Row],[Age]]&lt;=50,"41-50",tbl_Clean[[#This Row],[Age]]&lt;=60,"51-60",TRUE,"61+")</f>
        <v>61+</v>
      </c>
      <c r="O834" s="20">
        <f>_xlfn.XMATCH(tbl_Clean[[#This Row],[Age Band]],{"25-30","31-40","41-50","51-60","61+"})</f>
        <v>5</v>
      </c>
      <c r="P834" s="20" t="str" cm="1">
        <f t="array" ref="P834">_xlfn.IFS(tbl_Clean[[#This Row],[Income]]&lt;=30000,"$10k-30k",tbl_Clean[[#This Row],[Income]]&lt;=60000,"$40k-60k",tbl_Clean[[#This Row],[Income]]&lt;=90000,"$70k-90k",TRUE,"$100k+")</f>
        <v>$100k+</v>
      </c>
      <c r="Q834" s="20">
        <f>_xlfn.XMATCH(tbl_Clean[[#This Row],[Income Band]],{"$10k-30k","$40k-60k","$70k-90k","$100k+"})</f>
        <v>4</v>
      </c>
      <c r="R834" s="20" t="str">
        <f>IF(tbl_Clean[[#This Row],[Cars]]&lt;=1,"0-1 Cars","2+ Cars")</f>
        <v>2+ Cars</v>
      </c>
      <c r="S834" s="20">
        <f>_xlfn.XMATCH(tbl_Clean[[#This Row],[Commute Distance]],{"0-1 Miles","1-2 Miles","2-5 Miles","5-10 Miles","10+ Miles"})</f>
        <v>1</v>
      </c>
      <c r="T834" s="20">
        <f>_xlfn.XMATCH(tbl_Clean[[#This Row],[Education]],{"Partial High School","High School","Partial College","Bachelors","Graduate Degree"})</f>
        <v>5</v>
      </c>
      <c r="U834" s="20">
        <f>IF(tbl_Clean[[#This Row],[Purchased Bike]]="Yes",1,0)</f>
        <v>0</v>
      </c>
    </row>
    <row r="835" spans="1:21" x14ac:dyDescent="0.25">
      <c r="A835" s="20">
        <v>18411</v>
      </c>
      <c r="B835" s="3" t="s">
        <v>111</v>
      </c>
      <c r="C835" s="3" t="s">
        <v>113</v>
      </c>
      <c r="D835" s="19">
        <v>60000</v>
      </c>
      <c r="E835" s="20">
        <v>2</v>
      </c>
      <c r="F835" s="3" t="s">
        <v>30</v>
      </c>
      <c r="G835" s="3" t="s">
        <v>23</v>
      </c>
      <c r="H835" s="3" t="s">
        <v>20</v>
      </c>
      <c r="I835" s="20">
        <v>2</v>
      </c>
      <c r="J835" s="3" t="s">
        <v>26</v>
      </c>
      <c r="K835" s="3" t="s">
        <v>35</v>
      </c>
      <c r="L835" s="20">
        <v>51</v>
      </c>
      <c r="M835" s="3" t="s">
        <v>20</v>
      </c>
      <c r="N835" s="20" t="str" cm="1">
        <f t="array" ref="N835">_xlfn.IFS(tbl_Clean[[#This Row],[Age]]&lt;=30,"25-30",tbl_Clean[[#This Row],[Age]]&lt;=40,"31-40",tbl_Clean[[#This Row],[Age]]&lt;=50,"41-50",tbl_Clean[[#This Row],[Age]]&lt;=60,"51-60",TRUE,"61+")</f>
        <v>51-60</v>
      </c>
      <c r="O835" s="20">
        <f>_xlfn.XMATCH(tbl_Clean[[#This Row],[Age Band]],{"25-30","31-40","41-50","51-60","61+"})</f>
        <v>4</v>
      </c>
      <c r="P835" s="20" t="str" cm="1">
        <f t="array" ref="P835">_xlfn.IFS(tbl_Clean[[#This Row],[Income]]&lt;=30000,"$10k-30k",tbl_Clean[[#This Row],[Income]]&lt;=60000,"$40k-60k",tbl_Clean[[#This Row],[Income]]&lt;=90000,"$70k-90k",TRUE,"$100k+")</f>
        <v>$40k-60k</v>
      </c>
      <c r="Q835" s="20">
        <f>_xlfn.XMATCH(tbl_Clean[[#This Row],[Income Band]],{"$10k-30k","$40k-60k","$70k-90k","$100k+"})</f>
        <v>2</v>
      </c>
      <c r="R835" s="20" t="str">
        <f>IF(tbl_Clean[[#This Row],[Cars]]&lt;=1,"0-1 Cars","2+ Cars")</f>
        <v>2+ Cars</v>
      </c>
      <c r="S835" s="20">
        <f>_xlfn.XMATCH(tbl_Clean[[#This Row],[Commute Distance]],{"0-1 Miles","1-2 Miles","2-5 Miles","5-10 Miles","10+ Miles"})</f>
        <v>4</v>
      </c>
      <c r="T835" s="20">
        <f>_xlfn.XMATCH(tbl_Clean[[#This Row],[Education]],{"Partial High School","High School","Partial College","Bachelors","Graduate Degree"})</f>
        <v>2</v>
      </c>
      <c r="U835" s="20">
        <f>IF(tbl_Clean[[#This Row],[Purchased Bike]]="Yes",1,0)</f>
        <v>0</v>
      </c>
    </row>
    <row r="836" spans="1:21" x14ac:dyDescent="0.25">
      <c r="A836" s="20">
        <v>19163</v>
      </c>
      <c r="B836" s="3" t="s">
        <v>111</v>
      </c>
      <c r="C836" s="3" t="s">
        <v>112</v>
      </c>
      <c r="D836" s="19">
        <v>70000</v>
      </c>
      <c r="E836" s="20">
        <v>4</v>
      </c>
      <c r="F836" s="3" t="s">
        <v>15</v>
      </c>
      <c r="G836" s="3" t="s">
        <v>23</v>
      </c>
      <c r="H836" s="3" t="s">
        <v>17</v>
      </c>
      <c r="I836" s="20">
        <v>2</v>
      </c>
      <c r="J836" s="3" t="s">
        <v>18</v>
      </c>
      <c r="K836" s="3" t="s">
        <v>35</v>
      </c>
      <c r="L836" s="20">
        <v>43</v>
      </c>
      <c r="M836" s="3" t="s">
        <v>17</v>
      </c>
      <c r="N836" s="20" t="str" cm="1">
        <f t="array" ref="N836">_xlfn.IFS(tbl_Clean[[#This Row],[Age]]&lt;=30,"25-30",tbl_Clean[[#This Row],[Age]]&lt;=40,"31-40",tbl_Clean[[#This Row],[Age]]&lt;=50,"41-50",tbl_Clean[[#This Row],[Age]]&lt;=60,"51-60",TRUE,"61+")</f>
        <v>41-50</v>
      </c>
      <c r="O836" s="20">
        <f>_xlfn.XMATCH(tbl_Clean[[#This Row],[Age Band]],{"25-30","31-40","41-50","51-60","61+"})</f>
        <v>3</v>
      </c>
      <c r="P836" s="20" t="str" cm="1">
        <f t="array" ref="P836">_xlfn.IFS(tbl_Clean[[#This Row],[Income]]&lt;=30000,"$10k-30k",tbl_Clean[[#This Row],[Income]]&lt;=60000,"$40k-60k",tbl_Clean[[#This Row],[Income]]&lt;=90000,"$70k-90k",TRUE,"$100k+")</f>
        <v>$70k-90k</v>
      </c>
      <c r="Q836" s="20">
        <f>_xlfn.XMATCH(tbl_Clean[[#This Row],[Income Band]],{"$10k-30k","$40k-60k","$70k-90k","$100k+"})</f>
        <v>3</v>
      </c>
      <c r="R836" s="20" t="str">
        <f>IF(tbl_Clean[[#This Row],[Cars]]&lt;=1,"0-1 Cars","2+ Cars")</f>
        <v>2+ Cars</v>
      </c>
      <c r="S836" s="20">
        <f>_xlfn.XMATCH(tbl_Clean[[#This Row],[Commute Distance]],{"0-1 Miles","1-2 Miles","2-5 Miles","5-10 Miles","10+ Miles"})</f>
        <v>1</v>
      </c>
      <c r="T836" s="20">
        <f>_xlfn.XMATCH(tbl_Clean[[#This Row],[Education]],{"Partial High School","High School","Partial College","Bachelors","Graduate Degree"})</f>
        <v>4</v>
      </c>
      <c r="U836" s="20">
        <f>IF(tbl_Clean[[#This Row],[Purchased Bike]]="Yes",1,0)</f>
        <v>1</v>
      </c>
    </row>
    <row r="837" spans="1:21" x14ac:dyDescent="0.25">
      <c r="A837" s="20">
        <v>18572</v>
      </c>
      <c r="B837" s="3" t="s">
        <v>111</v>
      </c>
      <c r="C837" s="3" t="s">
        <v>112</v>
      </c>
      <c r="D837" s="19">
        <v>60000</v>
      </c>
      <c r="E837" s="20">
        <v>0</v>
      </c>
      <c r="F837" s="3" t="s">
        <v>34</v>
      </c>
      <c r="G837" s="3" t="s">
        <v>23</v>
      </c>
      <c r="H837" s="3" t="s">
        <v>17</v>
      </c>
      <c r="I837" s="20">
        <v>0</v>
      </c>
      <c r="J837" s="3" t="s">
        <v>18</v>
      </c>
      <c r="K837" s="3" t="s">
        <v>35</v>
      </c>
      <c r="L837" s="20">
        <v>39</v>
      </c>
      <c r="M837" s="3" t="s">
        <v>20</v>
      </c>
      <c r="N837" s="20" t="str" cm="1">
        <f t="array" ref="N837">_xlfn.IFS(tbl_Clean[[#This Row],[Age]]&lt;=30,"25-30",tbl_Clean[[#This Row],[Age]]&lt;=40,"31-40",tbl_Clean[[#This Row],[Age]]&lt;=50,"41-50",tbl_Clean[[#This Row],[Age]]&lt;=60,"51-60",TRUE,"61+")</f>
        <v>31-40</v>
      </c>
      <c r="O837" s="20">
        <f>_xlfn.XMATCH(tbl_Clean[[#This Row],[Age Band]],{"25-30","31-40","41-50","51-60","61+"})</f>
        <v>2</v>
      </c>
      <c r="P837" s="20" t="str" cm="1">
        <f t="array" ref="P837">_xlfn.IFS(tbl_Clean[[#This Row],[Income]]&lt;=30000,"$10k-30k",tbl_Clean[[#This Row],[Income]]&lt;=60000,"$40k-60k",tbl_Clean[[#This Row],[Income]]&lt;=90000,"$70k-90k",TRUE,"$100k+")</f>
        <v>$40k-60k</v>
      </c>
      <c r="Q837" s="20">
        <f>_xlfn.XMATCH(tbl_Clean[[#This Row],[Income Band]],{"$10k-30k","$40k-60k","$70k-90k","$100k+"})</f>
        <v>2</v>
      </c>
      <c r="R837" s="20" t="str">
        <f>IF(tbl_Clean[[#This Row],[Cars]]&lt;=1,"0-1 Cars","2+ Cars")</f>
        <v>0-1 Cars</v>
      </c>
      <c r="S837" s="20">
        <f>_xlfn.XMATCH(tbl_Clean[[#This Row],[Commute Distance]],{"0-1 Miles","1-2 Miles","2-5 Miles","5-10 Miles","10+ Miles"})</f>
        <v>1</v>
      </c>
      <c r="T837" s="20">
        <f>_xlfn.XMATCH(tbl_Clean[[#This Row],[Education]],{"Partial High School","High School","Partial College","Bachelors","Graduate Degree"})</f>
        <v>5</v>
      </c>
      <c r="U837" s="20">
        <f>IF(tbl_Clean[[#This Row],[Purchased Bike]]="Yes",1,0)</f>
        <v>0</v>
      </c>
    </row>
    <row r="838" spans="1:21" x14ac:dyDescent="0.25">
      <c r="A838" s="20">
        <v>27540</v>
      </c>
      <c r="B838" s="3" t="s">
        <v>114</v>
      </c>
      <c r="C838" s="3" t="s">
        <v>112</v>
      </c>
      <c r="D838" s="19">
        <v>70000</v>
      </c>
      <c r="E838" s="20">
        <v>0</v>
      </c>
      <c r="F838" s="3" t="s">
        <v>15</v>
      </c>
      <c r="G838" s="3" t="s">
        <v>23</v>
      </c>
      <c r="H838" s="3" t="s">
        <v>20</v>
      </c>
      <c r="I838" s="20">
        <v>1</v>
      </c>
      <c r="J838" s="3" t="s">
        <v>18</v>
      </c>
      <c r="K838" s="3" t="s">
        <v>35</v>
      </c>
      <c r="L838" s="20">
        <v>37</v>
      </c>
      <c r="M838" s="3" t="s">
        <v>17</v>
      </c>
      <c r="N838" s="20" t="str" cm="1">
        <f t="array" ref="N838">_xlfn.IFS(tbl_Clean[[#This Row],[Age]]&lt;=30,"25-30",tbl_Clean[[#This Row],[Age]]&lt;=40,"31-40",tbl_Clean[[#This Row],[Age]]&lt;=50,"41-50",tbl_Clean[[#This Row],[Age]]&lt;=60,"51-60",TRUE,"61+")</f>
        <v>31-40</v>
      </c>
      <c r="O838" s="20">
        <f>_xlfn.XMATCH(tbl_Clean[[#This Row],[Age Band]],{"25-30","31-40","41-50","51-60","61+"})</f>
        <v>2</v>
      </c>
      <c r="P838" s="20" t="str" cm="1">
        <f t="array" ref="P838">_xlfn.IFS(tbl_Clean[[#This Row],[Income]]&lt;=30000,"$10k-30k",tbl_Clean[[#This Row],[Income]]&lt;=60000,"$40k-60k",tbl_Clean[[#This Row],[Income]]&lt;=90000,"$70k-90k",TRUE,"$100k+")</f>
        <v>$70k-90k</v>
      </c>
      <c r="Q838" s="20">
        <f>_xlfn.XMATCH(tbl_Clean[[#This Row],[Income Band]],{"$10k-30k","$40k-60k","$70k-90k","$100k+"})</f>
        <v>3</v>
      </c>
      <c r="R838" s="20" t="str">
        <f>IF(tbl_Clean[[#This Row],[Cars]]&lt;=1,"0-1 Cars","2+ Cars")</f>
        <v>0-1 Cars</v>
      </c>
      <c r="S838" s="20">
        <f>_xlfn.XMATCH(tbl_Clean[[#This Row],[Commute Distance]],{"0-1 Miles","1-2 Miles","2-5 Miles","5-10 Miles","10+ Miles"})</f>
        <v>1</v>
      </c>
      <c r="T838" s="20">
        <f>_xlfn.XMATCH(tbl_Clean[[#This Row],[Education]],{"Partial High School","High School","Partial College","Bachelors","Graduate Degree"})</f>
        <v>4</v>
      </c>
      <c r="U838" s="20">
        <f>IF(tbl_Clean[[#This Row],[Purchased Bike]]="Yes",1,0)</f>
        <v>1</v>
      </c>
    </row>
    <row r="839" spans="1:21" x14ac:dyDescent="0.25">
      <c r="A839" s="20">
        <v>19889</v>
      </c>
      <c r="B839" s="3" t="s">
        <v>114</v>
      </c>
      <c r="C839" s="3" t="s">
        <v>112</v>
      </c>
      <c r="D839" s="19">
        <v>70000</v>
      </c>
      <c r="E839" s="20">
        <v>2</v>
      </c>
      <c r="F839" s="3" t="s">
        <v>32</v>
      </c>
      <c r="G839" s="3" t="s">
        <v>16</v>
      </c>
      <c r="H839" s="3" t="s">
        <v>20</v>
      </c>
      <c r="I839" s="20">
        <v>2</v>
      </c>
      <c r="J839" s="3" t="s">
        <v>24</v>
      </c>
      <c r="K839" s="3" t="s">
        <v>35</v>
      </c>
      <c r="L839" s="20">
        <v>54</v>
      </c>
      <c r="M839" s="3" t="s">
        <v>17</v>
      </c>
      <c r="N839" s="20" t="str" cm="1">
        <f t="array" ref="N839">_xlfn.IFS(tbl_Clean[[#This Row],[Age]]&lt;=30,"25-30",tbl_Clean[[#This Row],[Age]]&lt;=40,"31-40",tbl_Clean[[#This Row],[Age]]&lt;=50,"41-50",tbl_Clean[[#This Row],[Age]]&lt;=60,"51-60",TRUE,"61+")</f>
        <v>51-60</v>
      </c>
      <c r="O839" s="20">
        <f>_xlfn.XMATCH(tbl_Clean[[#This Row],[Age Band]],{"25-30","31-40","41-50","51-60","61+"})</f>
        <v>4</v>
      </c>
      <c r="P839" s="20" t="str" cm="1">
        <f t="array" ref="P839">_xlfn.IFS(tbl_Clean[[#This Row],[Income]]&lt;=30000,"$10k-30k",tbl_Clean[[#This Row],[Income]]&lt;=60000,"$40k-60k",tbl_Clean[[#This Row],[Income]]&lt;=90000,"$70k-90k",TRUE,"$100k+")</f>
        <v>$70k-90k</v>
      </c>
      <c r="Q839" s="20">
        <f>_xlfn.XMATCH(tbl_Clean[[#This Row],[Income Band]],{"$10k-30k","$40k-60k","$70k-90k","$100k+"})</f>
        <v>3</v>
      </c>
      <c r="R839" s="20" t="str">
        <f>IF(tbl_Clean[[#This Row],[Cars]]&lt;=1,"0-1 Cars","2+ Cars")</f>
        <v>2+ Cars</v>
      </c>
      <c r="S839" s="20">
        <f>_xlfn.XMATCH(tbl_Clean[[#This Row],[Commute Distance]],{"0-1 Miles","1-2 Miles","2-5 Miles","5-10 Miles","10+ Miles"})</f>
        <v>3</v>
      </c>
      <c r="T839" s="20">
        <f>_xlfn.XMATCH(tbl_Clean[[#This Row],[Education]],{"Partial High School","High School","Partial College","Bachelors","Graduate Degree"})</f>
        <v>1</v>
      </c>
      <c r="U839" s="20">
        <f>IF(tbl_Clean[[#This Row],[Purchased Bike]]="Yes",1,0)</f>
        <v>1</v>
      </c>
    </row>
    <row r="840" spans="1:21" x14ac:dyDescent="0.25">
      <c r="A840" s="20">
        <v>12922</v>
      </c>
      <c r="B840" s="3" t="s">
        <v>114</v>
      </c>
      <c r="C840" s="3" t="s">
        <v>112</v>
      </c>
      <c r="D840" s="19">
        <v>60000</v>
      </c>
      <c r="E840" s="20">
        <v>3</v>
      </c>
      <c r="F840" s="3" t="s">
        <v>15</v>
      </c>
      <c r="G840" s="3" t="s">
        <v>16</v>
      </c>
      <c r="H840" s="3" t="s">
        <v>17</v>
      </c>
      <c r="I840" s="20">
        <v>0</v>
      </c>
      <c r="J840" s="3" t="s">
        <v>24</v>
      </c>
      <c r="K840" s="3" t="s">
        <v>35</v>
      </c>
      <c r="L840" s="20">
        <v>40</v>
      </c>
      <c r="M840" s="3" t="s">
        <v>17</v>
      </c>
      <c r="N840" s="20" t="str" cm="1">
        <f t="array" ref="N840">_xlfn.IFS(tbl_Clean[[#This Row],[Age]]&lt;=30,"25-30",tbl_Clean[[#This Row],[Age]]&lt;=40,"31-40",tbl_Clean[[#This Row],[Age]]&lt;=50,"41-50",tbl_Clean[[#This Row],[Age]]&lt;=60,"51-60",TRUE,"61+")</f>
        <v>31-40</v>
      </c>
      <c r="O840" s="20">
        <f>_xlfn.XMATCH(tbl_Clean[[#This Row],[Age Band]],{"25-30","31-40","41-50","51-60","61+"})</f>
        <v>2</v>
      </c>
      <c r="P840" s="20" t="str" cm="1">
        <f t="array" ref="P840">_xlfn.IFS(tbl_Clean[[#This Row],[Income]]&lt;=30000,"$10k-30k",tbl_Clean[[#This Row],[Income]]&lt;=60000,"$40k-60k",tbl_Clean[[#This Row],[Income]]&lt;=90000,"$70k-90k",TRUE,"$100k+")</f>
        <v>$40k-60k</v>
      </c>
      <c r="Q840" s="20">
        <f>_xlfn.XMATCH(tbl_Clean[[#This Row],[Income Band]],{"$10k-30k","$40k-60k","$70k-90k","$100k+"})</f>
        <v>2</v>
      </c>
      <c r="R840" s="20" t="str">
        <f>IF(tbl_Clean[[#This Row],[Cars]]&lt;=1,"0-1 Cars","2+ Cars")</f>
        <v>0-1 Cars</v>
      </c>
      <c r="S840" s="20">
        <f>_xlfn.XMATCH(tbl_Clean[[#This Row],[Commute Distance]],{"0-1 Miles","1-2 Miles","2-5 Miles","5-10 Miles","10+ Miles"})</f>
        <v>3</v>
      </c>
      <c r="T840" s="20">
        <f>_xlfn.XMATCH(tbl_Clean[[#This Row],[Education]],{"Partial High School","High School","Partial College","Bachelors","Graduate Degree"})</f>
        <v>4</v>
      </c>
      <c r="U840" s="20">
        <f>IF(tbl_Clean[[#This Row],[Purchased Bike]]="Yes",1,0)</f>
        <v>1</v>
      </c>
    </row>
    <row r="841" spans="1:21" x14ac:dyDescent="0.25">
      <c r="A841" s="20">
        <v>18891</v>
      </c>
      <c r="B841" s="3" t="s">
        <v>111</v>
      </c>
      <c r="C841" s="3" t="s">
        <v>112</v>
      </c>
      <c r="D841" s="19">
        <v>40000</v>
      </c>
      <c r="E841" s="20">
        <v>0</v>
      </c>
      <c r="F841" s="3" t="s">
        <v>21</v>
      </c>
      <c r="G841" s="3" t="s">
        <v>16</v>
      </c>
      <c r="H841" s="3" t="s">
        <v>17</v>
      </c>
      <c r="I841" s="20">
        <v>2</v>
      </c>
      <c r="J841" s="3" t="s">
        <v>26</v>
      </c>
      <c r="K841" s="3" t="s">
        <v>35</v>
      </c>
      <c r="L841" s="20">
        <v>28</v>
      </c>
      <c r="M841" s="3" t="s">
        <v>20</v>
      </c>
      <c r="N841" s="20" t="str" cm="1">
        <f t="array" ref="N841">_xlfn.IFS(tbl_Clean[[#This Row],[Age]]&lt;=30,"25-30",tbl_Clean[[#This Row],[Age]]&lt;=40,"31-40",tbl_Clean[[#This Row],[Age]]&lt;=50,"41-50",tbl_Clean[[#This Row],[Age]]&lt;=60,"51-60",TRUE,"61+")</f>
        <v>25-30</v>
      </c>
      <c r="O841" s="20">
        <f>_xlfn.XMATCH(tbl_Clean[[#This Row],[Age Band]],{"25-30","31-40","41-50","51-60","61+"})</f>
        <v>1</v>
      </c>
      <c r="P841" s="20" t="str" cm="1">
        <f t="array" ref="P841">_xlfn.IFS(tbl_Clean[[#This Row],[Income]]&lt;=30000,"$10k-30k",tbl_Clean[[#This Row],[Income]]&lt;=60000,"$40k-60k",tbl_Clean[[#This Row],[Income]]&lt;=90000,"$70k-90k",TRUE,"$100k+")</f>
        <v>$40k-60k</v>
      </c>
      <c r="Q841" s="20">
        <f>_xlfn.XMATCH(tbl_Clean[[#This Row],[Income Band]],{"$10k-30k","$40k-60k","$70k-90k","$100k+"})</f>
        <v>2</v>
      </c>
      <c r="R841" s="20" t="str">
        <f>IF(tbl_Clean[[#This Row],[Cars]]&lt;=1,"0-1 Cars","2+ Cars")</f>
        <v>2+ Cars</v>
      </c>
      <c r="S841" s="20">
        <f>_xlfn.XMATCH(tbl_Clean[[#This Row],[Commute Distance]],{"0-1 Miles","1-2 Miles","2-5 Miles","5-10 Miles","10+ Miles"})</f>
        <v>4</v>
      </c>
      <c r="T841" s="20">
        <f>_xlfn.XMATCH(tbl_Clean[[#This Row],[Education]],{"Partial High School","High School","Partial College","Bachelors","Graduate Degree"})</f>
        <v>3</v>
      </c>
      <c r="U841" s="20">
        <f>IF(tbl_Clean[[#This Row],[Purchased Bike]]="Yes",1,0)</f>
        <v>0</v>
      </c>
    </row>
    <row r="842" spans="1:21" x14ac:dyDescent="0.25">
      <c r="A842" s="20">
        <v>16773</v>
      </c>
      <c r="B842" s="3" t="s">
        <v>111</v>
      </c>
      <c r="C842" s="3" t="s">
        <v>113</v>
      </c>
      <c r="D842" s="19">
        <v>60000</v>
      </c>
      <c r="E842" s="20">
        <v>1</v>
      </c>
      <c r="F842" s="3" t="s">
        <v>34</v>
      </c>
      <c r="G842" s="3" t="s">
        <v>16</v>
      </c>
      <c r="H842" s="3" t="s">
        <v>17</v>
      </c>
      <c r="I842" s="20">
        <v>0</v>
      </c>
      <c r="J842" s="3" t="s">
        <v>18</v>
      </c>
      <c r="K842" s="3" t="s">
        <v>35</v>
      </c>
      <c r="L842" s="20">
        <v>33</v>
      </c>
      <c r="M842" s="3" t="s">
        <v>20</v>
      </c>
      <c r="N842" s="20" t="str" cm="1">
        <f t="array" ref="N842">_xlfn.IFS(tbl_Clean[[#This Row],[Age]]&lt;=30,"25-30",tbl_Clean[[#This Row],[Age]]&lt;=40,"31-40",tbl_Clean[[#This Row],[Age]]&lt;=50,"41-50",tbl_Clean[[#This Row],[Age]]&lt;=60,"51-60",TRUE,"61+")</f>
        <v>31-40</v>
      </c>
      <c r="O842" s="20">
        <f>_xlfn.XMATCH(tbl_Clean[[#This Row],[Age Band]],{"25-30","31-40","41-50","51-60","61+"})</f>
        <v>2</v>
      </c>
      <c r="P842" s="20" t="str" cm="1">
        <f t="array" ref="P842">_xlfn.IFS(tbl_Clean[[#This Row],[Income]]&lt;=30000,"$10k-30k",tbl_Clean[[#This Row],[Income]]&lt;=60000,"$40k-60k",tbl_Clean[[#This Row],[Income]]&lt;=90000,"$70k-90k",TRUE,"$100k+")</f>
        <v>$40k-60k</v>
      </c>
      <c r="Q842" s="20">
        <f>_xlfn.XMATCH(tbl_Clean[[#This Row],[Income Band]],{"$10k-30k","$40k-60k","$70k-90k","$100k+"})</f>
        <v>2</v>
      </c>
      <c r="R842" s="20" t="str">
        <f>IF(tbl_Clean[[#This Row],[Cars]]&lt;=1,"0-1 Cars","2+ Cars")</f>
        <v>0-1 Cars</v>
      </c>
      <c r="S842" s="20">
        <f>_xlfn.XMATCH(tbl_Clean[[#This Row],[Commute Distance]],{"0-1 Miles","1-2 Miles","2-5 Miles","5-10 Miles","10+ Miles"})</f>
        <v>1</v>
      </c>
      <c r="T842" s="20">
        <f>_xlfn.XMATCH(tbl_Clean[[#This Row],[Education]],{"Partial High School","High School","Partial College","Bachelors","Graduate Degree"})</f>
        <v>5</v>
      </c>
      <c r="U842" s="20">
        <f>IF(tbl_Clean[[#This Row],[Purchased Bike]]="Yes",1,0)</f>
        <v>0</v>
      </c>
    </row>
    <row r="843" spans="1:21" x14ac:dyDescent="0.25">
      <c r="A843" s="20">
        <v>19143</v>
      </c>
      <c r="B843" s="3" t="s">
        <v>114</v>
      </c>
      <c r="C843" s="3" t="s">
        <v>112</v>
      </c>
      <c r="D843" s="19">
        <v>80000</v>
      </c>
      <c r="E843" s="20">
        <v>3</v>
      </c>
      <c r="F843" s="3" t="s">
        <v>15</v>
      </c>
      <c r="G843" s="3" t="s">
        <v>16</v>
      </c>
      <c r="H843" s="3" t="s">
        <v>17</v>
      </c>
      <c r="I843" s="20">
        <v>2</v>
      </c>
      <c r="J843" s="3" t="s">
        <v>24</v>
      </c>
      <c r="K843" s="3" t="s">
        <v>35</v>
      </c>
      <c r="L843" s="20">
        <v>41</v>
      </c>
      <c r="M843" s="3" t="s">
        <v>17</v>
      </c>
      <c r="N843" s="20" t="str" cm="1">
        <f t="array" ref="N843">_xlfn.IFS(tbl_Clean[[#This Row],[Age]]&lt;=30,"25-30",tbl_Clean[[#This Row],[Age]]&lt;=40,"31-40",tbl_Clean[[#This Row],[Age]]&lt;=50,"41-50",tbl_Clean[[#This Row],[Age]]&lt;=60,"51-60",TRUE,"61+")</f>
        <v>41-50</v>
      </c>
      <c r="O843" s="20">
        <f>_xlfn.XMATCH(tbl_Clean[[#This Row],[Age Band]],{"25-30","31-40","41-50","51-60","61+"})</f>
        <v>3</v>
      </c>
      <c r="P843" s="20" t="str" cm="1">
        <f t="array" ref="P843">_xlfn.IFS(tbl_Clean[[#This Row],[Income]]&lt;=30000,"$10k-30k",tbl_Clean[[#This Row],[Income]]&lt;=60000,"$40k-60k",tbl_Clean[[#This Row],[Income]]&lt;=90000,"$70k-90k",TRUE,"$100k+")</f>
        <v>$70k-90k</v>
      </c>
      <c r="Q843" s="20">
        <f>_xlfn.XMATCH(tbl_Clean[[#This Row],[Income Band]],{"$10k-30k","$40k-60k","$70k-90k","$100k+"})</f>
        <v>3</v>
      </c>
      <c r="R843" s="20" t="str">
        <f>IF(tbl_Clean[[#This Row],[Cars]]&lt;=1,"0-1 Cars","2+ Cars")</f>
        <v>2+ Cars</v>
      </c>
      <c r="S843" s="20">
        <f>_xlfn.XMATCH(tbl_Clean[[#This Row],[Commute Distance]],{"0-1 Miles","1-2 Miles","2-5 Miles","5-10 Miles","10+ Miles"})</f>
        <v>3</v>
      </c>
      <c r="T843" s="20">
        <f>_xlfn.XMATCH(tbl_Clean[[#This Row],[Education]],{"Partial High School","High School","Partial College","Bachelors","Graduate Degree"})</f>
        <v>4</v>
      </c>
      <c r="U843" s="20">
        <f>IF(tbl_Clean[[#This Row],[Purchased Bike]]="Yes",1,0)</f>
        <v>1</v>
      </c>
    </row>
    <row r="844" spans="1:21" x14ac:dyDescent="0.25">
      <c r="A844" s="20">
        <v>23882</v>
      </c>
      <c r="B844" s="3" t="s">
        <v>114</v>
      </c>
      <c r="C844" s="3" t="s">
        <v>112</v>
      </c>
      <c r="D844" s="19">
        <v>80000</v>
      </c>
      <c r="E844" s="20">
        <v>3</v>
      </c>
      <c r="F844" s="3" t="s">
        <v>34</v>
      </c>
      <c r="G844" s="3" t="s">
        <v>23</v>
      </c>
      <c r="H844" s="3" t="s">
        <v>17</v>
      </c>
      <c r="I844" s="20">
        <v>0</v>
      </c>
      <c r="J844" s="3" t="s">
        <v>18</v>
      </c>
      <c r="K844" s="3" t="s">
        <v>35</v>
      </c>
      <c r="L844" s="20">
        <v>37</v>
      </c>
      <c r="M844" s="3" t="s">
        <v>17</v>
      </c>
      <c r="N844" s="20" t="str" cm="1">
        <f t="array" ref="N844">_xlfn.IFS(tbl_Clean[[#This Row],[Age]]&lt;=30,"25-30",tbl_Clean[[#This Row],[Age]]&lt;=40,"31-40",tbl_Clean[[#This Row],[Age]]&lt;=50,"41-50",tbl_Clean[[#This Row],[Age]]&lt;=60,"51-60",TRUE,"61+")</f>
        <v>31-40</v>
      </c>
      <c r="O844" s="20">
        <f>_xlfn.XMATCH(tbl_Clean[[#This Row],[Age Band]],{"25-30","31-40","41-50","51-60","61+"})</f>
        <v>2</v>
      </c>
      <c r="P844" s="20" t="str" cm="1">
        <f t="array" ref="P844">_xlfn.IFS(tbl_Clean[[#This Row],[Income]]&lt;=30000,"$10k-30k",tbl_Clean[[#This Row],[Income]]&lt;=60000,"$40k-60k",tbl_Clean[[#This Row],[Income]]&lt;=90000,"$70k-90k",TRUE,"$100k+")</f>
        <v>$70k-90k</v>
      </c>
      <c r="Q844" s="20">
        <f>_xlfn.XMATCH(tbl_Clean[[#This Row],[Income Band]],{"$10k-30k","$40k-60k","$70k-90k","$100k+"})</f>
        <v>3</v>
      </c>
      <c r="R844" s="20" t="str">
        <f>IF(tbl_Clean[[#This Row],[Cars]]&lt;=1,"0-1 Cars","2+ Cars")</f>
        <v>0-1 Cars</v>
      </c>
      <c r="S844" s="20">
        <f>_xlfn.XMATCH(tbl_Clean[[#This Row],[Commute Distance]],{"0-1 Miles","1-2 Miles","2-5 Miles","5-10 Miles","10+ Miles"})</f>
        <v>1</v>
      </c>
      <c r="T844" s="20">
        <f>_xlfn.XMATCH(tbl_Clean[[#This Row],[Education]],{"Partial High School","High School","Partial College","Bachelors","Graduate Degree"})</f>
        <v>5</v>
      </c>
      <c r="U844" s="20">
        <f>IF(tbl_Clean[[#This Row],[Purchased Bike]]="Yes",1,0)</f>
        <v>1</v>
      </c>
    </row>
    <row r="845" spans="1:21" x14ac:dyDescent="0.25">
      <c r="A845" s="20">
        <v>11233</v>
      </c>
      <c r="B845" s="3" t="s">
        <v>111</v>
      </c>
      <c r="C845" s="3" t="s">
        <v>113</v>
      </c>
      <c r="D845" s="19">
        <v>70000</v>
      </c>
      <c r="E845" s="20">
        <v>4</v>
      </c>
      <c r="F845" s="3" t="s">
        <v>21</v>
      </c>
      <c r="G845" s="3" t="s">
        <v>23</v>
      </c>
      <c r="H845" s="3" t="s">
        <v>17</v>
      </c>
      <c r="I845" s="20">
        <v>2</v>
      </c>
      <c r="J845" s="3" t="s">
        <v>33</v>
      </c>
      <c r="K845" s="3" t="s">
        <v>35</v>
      </c>
      <c r="L845" s="20">
        <v>53</v>
      </c>
      <c r="M845" s="3" t="s">
        <v>20</v>
      </c>
      <c r="N845" s="20" t="str" cm="1">
        <f t="array" ref="N845">_xlfn.IFS(tbl_Clean[[#This Row],[Age]]&lt;=30,"25-30",tbl_Clean[[#This Row],[Age]]&lt;=40,"31-40",tbl_Clean[[#This Row],[Age]]&lt;=50,"41-50",tbl_Clean[[#This Row],[Age]]&lt;=60,"51-60",TRUE,"61+")</f>
        <v>51-60</v>
      </c>
      <c r="O845" s="20">
        <f>_xlfn.XMATCH(tbl_Clean[[#This Row],[Age Band]],{"25-30","31-40","41-50","51-60","61+"})</f>
        <v>4</v>
      </c>
      <c r="P845" s="20" t="str" cm="1">
        <f t="array" ref="P845">_xlfn.IFS(tbl_Clean[[#This Row],[Income]]&lt;=30000,"$10k-30k",tbl_Clean[[#This Row],[Income]]&lt;=60000,"$40k-60k",tbl_Clean[[#This Row],[Income]]&lt;=90000,"$70k-90k",TRUE,"$100k+")</f>
        <v>$70k-90k</v>
      </c>
      <c r="Q845" s="20">
        <f>_xlfn.XMATCH(tbl_Clean[[#This Row],[Income Band]],{"$10k-30k","$40k-60k","$70k-90k","$100k+"})</f>
        <v>3</v>
      </c>
      <c r="R845" s="20" t="str">
        <f>IF(tbl_Clean[[#This Row],[Cars]]&lt;=1,"0-1 Cars","2+ Cars")</f>
        <v>2+ Cars</v>
      </c>
      <c r="S845" s="20">
        <f>_xlfn.XMATCH(tbl_Clean[[#This Row],[Commute Distance]],{"0-1 Miles","1-2 Miles","2-5 Miles","5-10 Miles","10+ Miles"})</f>
        <v>5</v>
      </c>
      <c r="T845" s="20">
        <f>_xlfn.XMATCH(tbl_Clean[[#This Row],[Education]],{"Partial High School","High School","Partial College","Bachelors","Graduate Degree"})</f>
        <v>3</v>
      </c>
      <c r="U845" s="20">
        <f>IF(tbl_Clean[[#This Row],[Purchased Bike]]="Yes",1,0)</f>
        <v>0</v>
      </c>
    </row>
    <row r="846" spans="1:21" x14ac:dyDescent="0.25">
      <c r="A846" s="20">
        <v>12056</v>
      </c>
      <c r="B846" s="3" t="s">
        <v>111</v>
      </c>
      <c r="C846" s="3" t="s">
        <v>113</v>
      </c>
      <c r="D846" s="19">
        <v>120000</v>
      </c>
      <c r="E846" s="20">
        <v>2</v>
      </c>
      <c r="F846" s="3" t="s">
        <v>34</v>
      </c>
      <c r="G846" s="3" t="s">
        <v>31</v>
      </c>
      <c r="H846" s="3" t="s">
        <v>17</v>
      </c>
      <c r="I846" s="20">
        <v>3</v>
      </c>
      <c r="J846" s="3" t="s">
        <v>26</v>
      </c>
      <c r="K846" s="3" t="s">
        <v>35</v>
      </c>
      <c r="L846" s="20">
        <v>64</v>
      </c>
      <c r="M846" s="3" t="s">
        <v>20</v>
      </c>
      <c r="N846" s="20" t="str" cm="1">
        <f t="array" ref="N846">_xlfn.IFS(tbl_Clean[[#This Row],[Age]]&lt;=30,"25-30",tbl_Clean[[#This Row],[Age]]&lt;=40,"31-40",tbl_Clean[[#This Row],[Age]]&lt;=50,"41-50",tbl_Clean[[#This Row],[Age]]&lt;=60,"51-60",TRUE,"61+")</f>
        <v>61+</v>
      </c>
      <c r="O846" s="20">
        <f>_xlfn.XMATCH(tbl_Clean[[#This Row],[Age Band]],{"25-30","31-40","41-50","51-60","61+"})</f>
        <v>5</v>
      </c>
      <c r="P846" s="20" t="str" cm="1">
        <f t="array" ref="P846">_xlfn.IFS(tbl_Clean[[#This Row],[Income]]&lt;=30000,"$10k-30k",tbl_Clean[[#This Row],[Income]]&lt;=60000,"$40k-60k",tbl_Clean[[#This Row],[Income]]&lt;=90000,"$70k-90k",TRUE,"$100k+")</f>
        <v>$100k+</v>
      </c>
      <c r="Q846" s="20">
        <f>_xlfn.XMATCH(tbl_Clean[[#This Row],[Income Band]],{"$10k-30k","$40k-60k","$70k-90k","$100k+"})</f>
        <v>4</v>
      </c>
      <c r="R846" s="20" t="str">
        <f>IF(tbl_Clean[[#This Row],[Cars]]&lt;=1,"0-1 Cars","2+ Cars")</f>
        <v>2+ Cars</v>
      </c>
      <c r="S846" s="20">
        <f>_xlfn.XMATCH(tbl_Clean[[#This Row],[Commute Distance]],{"0-1 Miles","1-2 Miles","2-5 Miles","5-10 Miles","10+ Miles"})</f>
        <v>4</v>
      </c>
      <c r="T846" s="20">
        <f>_xlfn.XMATCH(tbl_Clean[[#This Row],[Education]],{"Partial High School","High School","Partial College","Bachelors","Graduate Degree"})</f>
        <v>5</v>
      </c>
      <c r="U846" s="20">
        <f>IF(tbl_Clean[[#This Row],[Purchased Bike]]="Yes",1,0)</f>
        <v>0</v>
      </c>
    </row>
    <row r="847" spans="1:21" x14ac:dyDescent="0.25">
      <c r="A847" s="20">
        <v>15555</v>
      </c>
      <c r="B847" s="3" t="s">
        <v>111</v>
      </c>
      <c r="C847" s="3" t="s">
        <v>112</v>
      </c>
      <c r="D847" s="19">
        <v>60000</v>
      </c>
      <c r="E847" s="20">
        <v>1</v>
      </c>
      <c r="F847" s="3" t="s">
        <v>21</v>
      </c>
      <c r="G847" s="3" t="s">
        <v>16</v>
      </c>
      <c r="H847" s="3" t="s">
        <v>17</v>
      </c>
      <c r="I847" s="20">
        <v>1</v>
      </c>
      <c r="J847" s="3" t="s">
        <v>24</v>
      </c>
      <c r="K847" s="3" t="s">
        <v>35</v>
      </c>
      <c r="L847" s="20">
        <v>45</v>
      </c>
      <c r="M847" s="3" t="s">
        <v>17</v>
      </c>
      <c r="N847" s="20" t="str" cm="1">
        <f t="array" ref="N847">_xlfn.IFS(tbl_Clean[[#This Row],[Age]]&lt;=30,"25-30",tbl_Clean[[#This Row],[Age]]&lt;=40,"31-40",tbl_Clean[[#This Row],[Age]]&lt;=50,"41-50",tbl_Clean[[#This Row],[Age]]&lt;=60,"51-60",TRUE,"61+")</f>
        <v>41-50</v>
      </c>
      <c r="O847" s="20">
        <f>_xlfn.XMATCH(tbl_Clean[[#This Row],[Age Band]],{"25-30","31-40","41-50","51-60","61+"})</f>
        <v>3</v>
      </c>
      <c r="P847" s="20" t="str" cm="1">
        <f t="array" ref="P847">_xlfn.IFS(tbl_Clean[[#This Row],[Income]]&lt;=30000,"$10k-30k",tbl_Clean[[#This Row],[Income]]&lt;=60000,"$40k-60k",tbl_Clean[[#This Row],[Income]]&lt;=90000,"$70k-90k",TRUE,"$100k+")</f>
        <v>$40k-60k</v>
      </c>
      <c r="Q847" s="20">
        <f>_xlfn.XMATCH(tbl_Clean[[#This Row],[Income Band]],{"$10k-30k","$40k-60k","$70k-90k","$100k+"})</f>
        <v>2</v>
      </c>
      <c r="R847" s="20" t="str">
        <f>IF(tbl_Clean[[#This Row],[Cars]]&lt;=1,"0-1 Cars","2+ Cars")</f>
        <v>0-1 Cars</v>
      </c>
      <c r="S847" s="20">
        <f>_xlfn.XMATCH(tbl_Clean[[#This Row],[Commute Distance]],{"0-1 Miles","1-2 Miles","2-5 Miles","5-10 Miles","10+ Miles"})</f>
        <v>3</v>
      </c>
      <c r="T847" s="20">
        <f>_xlfn.XMATCH(tbl_Clean[[#This Row],[Education]],{"Partial High School","High School","Partial College","Bachelors","Graduate Degree"})</f>
        <v>3</v>
      </c>
      <c r="U847" s="20">
        <f>IF(tbl_Clean[[#This Row],[Purchased Bike]]="Yes",1,0)</f>
        <v>1</v>
      </c>
    </row>
    <row r="848" spans="1:21" x14ac:dyDescent="0.25">
      <c r="A848" s="20">
        <v>18423</v>
      </c>
      <c r="B848" s="3" t="s">
        <v>114</v>
      </c>
      <c r="C848" s="3" t="s">
        <v>113</v>
      </c>
      <c r="D848" s="19">
        <v>80000</v>
      </c>
      <c r="E848" s="20">
        <v>2</v>
      </c>
      <c r="F848" s="3" t="s">
        <v>32</v>
      </c>
      <c r="G848" s="3" t="s">
        <v>16</v>
      </c>
      <c r="H848" s="3" t="s">
        <v>20</v>
      </c>
      <c r="I848" s="20">
        <v>2</v>
      </c>
      <c r="J848" s="3" t="s">
        <v>29</v>
      </c>
      <c r="K848" s="3" t="s">
        <v>35</v>
      </c>
      <c r="L848" s="20">
        <v>52</v>
      </c>
      <c r="M848" s="3" t="s">
        <v>20</v>
      </c>
      <c r="N848" s="20" t="str" cm="1">
        <f t="array" ref="N848">_xlfn.IFS(tbl_Clean[[#This Row],[Age]]&lt;=30,"25-30",tbl_Clean[[#This Row],[Age]]&lt;=40,"31-40",tbl_Clean[[#This Row],[Age]]&lt;=50,"41-50",tbl_Clean[[#This Row],[Age]]&lt;=60,"51-60",TRUE,"61+")</f>
        <v>51-60</v>
      </c>
      <c r="O848" s="20">
        <f>_xlfn.XMATCH(tbl_Clean[[#This Row],[Age Band]],{"25-30","31-40","41-50","51-60","61+"})</f>
        <v>4</v>
      </c>
      <c r="P848" s="20" t="str" cm="1">
        <f t="array" ref="P848">_xlfn.IFS(tbl_Clean[[#This Row],[Income]]&lt;=30000,"$10k-30k",tbl_Clean[[#This Row],[Income]]&lt;=60000,"$40k-60k",tbl_Clean[[#This Row],[Income]]&lt;=90000,"$70k-90k",TRUE,"$100k+")</f>
        <v>$70k-90k</v>
      </c>
      <c r="Q848" s="20">
        <f>_xlfn.XMATCH(tbl_Clean[[#This Row],[Income Band]],{"$10k-30k","$40k-60k","$70k-90k","$100k+"})</f>
        <v>3</v>
      </c>
      <c r="R848" s="20" t="str">
        <f>IF(tbl_Clean[[#This Row],[Cars]]&lt;=1,"0-1 Cars","2+ Cars")</f>
        <v>2+ Cars</v>
      </c>
      <c r="S848" s="20">
        <f>_xlfn.XMATCH(tbl_Clean[[#This Row],[Commute Distance]],{"0-1 Miles","1-2 Miles","2-5 Miles","5-10 Miles","10+ Miles"})</f>
        <v>2</v>
      </c>
      <c r="T848" s="20">
        <f>_xlfn.XMATCH(tbl_Clean[[#This Row],[Education]],{"Partial High School","High School","Partial College","Bachelors","Graduate Degree"})</f>
        <v>1</v>
      </c>
      <c r="U848" s="20">
        <f>IF(tbl_Clean[[#This Row],[Purchased Bike]]="Yes",1,0)</f>
        <v>0</v>
      </c>
    </row>
    <row r="849" spans="1:21" x14ac:dyDescent="0.25">
      <c r="A849" s="20">
        <v>22743</v>
      </c>
      <c r="B849" s="3" t="s">
        <v>111</v>
      </c>
      <c r="C849" s="3" t="s">
        <v>112</v>
      </c>
      <c r="D849" s="19">
        <v>40000</v>
      </c>
      <c r="E849" s="20">
        <v>5</v>
      </c>
      <c r="F849" s="3" t="s">
        <v>30</v>
      </c>
      <c r="G849" s="3" t="s">
        <v>23</v>
      </c>
      <c r="H849" s="3" t="s">
        <v>17</v>
      </c>
      <c r="I849" s="20">
        <v>2</v>
      </c>
      <c r="J849" s="3" t="s">
        <v>33</v>
      </c>
      <c r="K849" s="3" t="s">
        <v>35</v>
      </c>
      <c r="L849" s="20">
        <v>60</v>
      </c>
      <c r="M849" s="3" t="s">
        <v>20</v>
      </c>
      <c r="N849" s="20" t="str" cm="1">
        <f t="array" ref="N849">_xlfn.IFS(tbl_Clean[[#This Row],[Age]]&lt;=30,"25-30",tbl_Clean[[#This Row],[Age]]&lt;=40,"31-40",tbl_Clean[[#This Row],[Age]]&lt;=50,"41-50",tbl_Clean[[#This Row],[Age]]&lt;=60,"51-60",TRUE,"61+")</f>
        <v>51-60</v>
      </c>
      <c r="O849" s="20">
        <f>_xlfn.XMATCH(tbl_Clean[[#This Row],[Age Band]],{"25-30","31-40","41-50","51-60","61+"})</f>
        <v>4</v>
      </c>
      <c r="P849" s="20" t="str" cm="1">
        <f t="array" ref="P849">_xlfn.IFS(tbl_Clean[[#This Row],[Income]]&lt;=30000,"$10k-30k",tbl_Clean[[#This Row],[Income]]&lt;=60000,"$40k-60k",tbl_Clean[[#This Row],[Income]]&lt;=90000,"$70k-90k",TRUE,"$100k+")</f>
        <v>$40k-60k</v>
      </c>
      <c r="Q849" s="20">
        <f>_xlfn.XMATCH(tbl_Clean[[#This Row],[Income Band]],{"$10k-30k","$40k-60k","$70k-90k","$100k+"})</f>
        <v>2</v>
      </c>
      <c r="R849" s="20" t="str">
        <f>IF(tbl_Clean[[#This Row],[Cars]]&lt;=1,"0-1 Cars","2+ Cars")</f>
        <v>2+ Cars</v>
      </c>
      <c r="S849" s="20">
        <f>_xlfn.XMATCH(tbl_Clean[[#This Row],[Commute Distance]],{"0-1 Miles","1-2 Miles","2-5 Miles","5-10 Miles","10+ Miles"})</f>
        <v>5</v>
      </c>
      <c r="T849" s="20">
        <f>_xlfn.XMATCH(tbl_Clean[[#This Row],[Education]],{"Partial High School","High School","Partial College","Bachelors","Graduate Degree"})</f>
        <v>2</v>
      </c>
      <c r="U849" s="20">
        <f>IF(tbl_Clean[[#This Row],[Purchased Bike]]="Yes",1,0)</f>
        <v>0</v>
      </c>
    </row>
    <row r="850" spans="1:21" x14ac:dyDescent="0.25">
      <c r="A850" s="20">
        <v>25343</v>
      </c>
      <c r="B850" s="3" t="s">
        <v>114</v>
      </c>
      <c r="C850" s="3" t="s">
        <v>112</v>
      </c>
      <c r="D850" s="19">
        <v>20000</v>
      </c>
      <c r="E850" s="20">
        <v>3</v>
      </c>
      <c r="F850" s="3" t="s">
        <v>32</v>
      </c>
      <c r="G850" s="3" t="s">
        <v>22</v>
      </c>
      <c r="H850" s="3" t="s">
        <v>17</v>
      </c>
      <c r="I850" s="20">
        <v>2</v>
      </c>
      <c r="J850" s="3" t="s">
        <v>29</v>
      </c>
      <c r="K850" s="3" t="s">
        <v>35</v>
      </c>
      <c r="L850" s="20">
        <v>50</v>
      </c>
      <c r="M850" s="3" t="s">
        <v>20</v>
      </c>
      <c r="N850" s="20" t="str" cm="1">
        <f t="array" ref="N850">_xlfn.IFS(tbl_Clean[[#This Row],[Age]]&lt;=30,"25-30",tbl_Clean[[#This Row],[Age]]&lt;=40,"31-40",tbl_Clean[[#This Row],[Age]]&lt;=50,"41-50",tbl_Clean[[#This Row],[Age]]&lt;=60,"51-60",TRUE,"61+")</f>
        <v>41-50</v>
      </c>
      <c r="O850" s="20">
        <f>_xlfn.XMATCH(tbl_Clean[[#This Row],[Age Band]],{"25-30","31-40","41-50","51-60","61+"})</f>
        <v>3</v>
      </c>
      <c r="P850" s="20" t="str" cm="1">
        <f t="array" ref="P850">_xlfn.IFS(tbl_Clean[[#This Row],[Income]]&lt;=30000,"$10k-30k",tbl_Clean[[#This Row],[Income]]&lt;=60000,"$40k-60k",tbl_Clean[[#This Row],[Income]]&lt;=90000,"$70k-90k",TRUE,"$100k+")</f>
        <v>$10k-30k</v>
      </c>
      <c r="Q850" s="20">
        <f>_xlfn.XMATCH(tbl_Clean[[#This Row],[Income Band]],{"$10k-30k","$40k-60k","$70k-90k","$100k+"})</f>
        <v>1</v>
      </c>
      <c r="R850" s="20" t="str">
        <f>IF(tbl_Clean[[#This Row],[Cars]]&lt;=1,"0-1 Cars","2+ Cars")</f>
        <v>2+ Cars</v>
      </c>
      <c r="S850" s="20">
        <f>_xlfn.XMATCH(tbl_Clean[[#This Row],[Commute Distance]],{"0-1 Miles","1-2 Miles","2-5 Miles","5-10 Miles","10+ Miles"})</f>
        <v>2</v>
      </c>
      <c r="T850" s="20">
        <f>_xlfn.XMATCH(tbl_Clean[[#This Row],[Education]],{"Partial High School","High School","Partial College","Bachelors","Graduate Degree"})</f>
        <v>1</v>
      </c>
      <c r="U850" s="20">
        <f>IF(tbl_Clean[[#This Row],[Purchased Bike]]="Yes",1,0)</f>
        <v>0</v>
      </c>
    </row>
    <row r="851" spans="1:21" x14ac:dyDescent="0.25">
      <c r="A851" s="20">
        <v>13390</v>
      </c>
      <c r="B851" s="3" t="s">
        <v>111</v>
      </c>
      <c r="C851" s="3" t="s">
        <v>112</v>
      </c>
      <c r="D851" s="19">
        <v>70000</v>
      </c>
      <c r="E851" s="20">
        <v>4</v>
      </c>
      <c r="F851" s="3" t="s">
        <v>21</v>
      </c>
      <c r="G851" s="3" t="s">
        <v>23</v>
      </c>
      <c r="H851" s="3" t="s">
        <v>20</v>
      </c>
      <c r="I851" s="20">
        <v>1</v>
      </c>
      <c r="J851" s="3" t="s">
        <v>29</v>
      </c>
      <c r="K851" s="3" t="s">
        <v>35</v>
      </c>
      <c r="L851" s="20">
        <v>56</v>
      </c>
      <c r="M851" s="3" t="s">
        <v>20</v>
      </c>
      <c r="N851" s="20" t="str" cm="1">
        <f t="array" ref="N851">_xlfn.IFS(tbl_Clean[[#This Row],[Age]]&lt;=30,"25-30",tbl_Clean[[#This Row],[Age]]&lt;=40,"31-40",tbl_Clean[[#This Row],[Age]]&lt;=50,"41-50",tbl_Clean[[#This Row],[Age]]&lt;=60,"51-60",TRUE,"61+")</f>
        <v>51-60</v>
      </c>
      <c r="O851" s="20">
        <f>_xlfn.XMATCH(tbl_Clean[[#This Row],[Age Band]],{"25-30","31-40","41-50","51-60","61+"})</f>
        <v>4</v>
      </c>
      <c r="P851" s="20" t="str" cm="1">
        <f t="array" ref="P851">_xlfn.IFS(tbl_Clean[[#This Row],[Income]]&lt;=30000,"$10k-30k",tbl_Clean[[#This Row],[Income]]&lt;=60000,"$40k-60k",tbl_Clean[[#This Row],[Income]]&lt;=90000,"$70k-90k",TRUE,"$100k+")</f>
        <v>$70k-90k</v>
      </c>
      <c r="Q851" s="20">
        <f>_xlfn.XMATCH(tbl_Clean[[#This Row],[Income Band]],{"$10k-30k","$40k-60k","$70k-90k","$100k+"})</f>
        <v>3</v>
      </c>
      <c r="R851" s="20" t="str">
        <f>IF(tbl_Clean[[#This Row],[Cars]]&lt;=1,"0-1 Cars","2+ Cars")</f>
        <v>0-1 Cars</v>
      </c>
      <c r="S851" s="20">
        <f>_xlfn.XMATCH(tbl_Clean[[#This Row],[Commute Distance]],{"0-1 Miles","1-2 Miles","2-5 Miles","5-10 Miles","10+ Miles"})</f>
        <v>2</v>
      </c>
      <c r="T851" s="20">
        <f>_xlfn.XMATCH(tbl_Clean[[#This Row],[Education]],{"Partial High School","High School","Partial College","Bachelors","Graduate Degree"})</f>
        <v>3</v>
      </c>
      <c r="U851" s="20">
        <f>IF(tbl_Clean[[#This Row],[Purchased Bike]]="Yes",1,0)</f>
        <v>0</v>
      </c>
    </row>
    <row r="852" spans="1:21" x14ac:dyDescent="0.25">
      <c r="A852" s="20">
        <v>17482</v>
      </c>
      <c r="B852" s="3" t="s">
        <v>114</v>
      </c>
      <c r="C852" s="3" t="s">
        <v>112</v>
      </c>
      <c r="D852" s="19">
        <v>40000</v>
      </c>
      <c r="E852" s="20">
        <v>0</v>
      </c>
      <c r="F852" s="3" t="s">
        <v>32</v>
      </c>
      <c r="G852" s="3" t="s">
        <v>22</v>
      </c>
      <c r="H852" s="3" t="s">
        <v>17</v>
      </c>
      <c r="I852" s="20">
        <v>2</v>
      </c>
      <c r="J852" s="3" t="s">
        <v>26</v>
      </c>
      <c r="K852" s="3" t="s">
        <v>35</v>
      </c>
      <c r="L852" s="20">
        <v>29</v>
      </c>
      <c r="M852" s="3" t="s">
        <v>20</v>
      </c>
      <c r="N852" s="20" t="str" cm="1">
        <f t="array" ref="N852">_xlfn.IFS(tbl_Clean[[#This Row],[Age]]&lt;=30,"25-30",tbl_Clean[[#This Row],[Age]]&lt;=40,"31-40",tbl_Clean[[#This Row],[Age]]&lt;=50,"41-50",tbl_Clean[[#This Row],[Age]]&lt;=60,"51-60",TRUE,"61+")</f>
        <v>25-30</v>
      </c>
      <c r="O852" s="20">
        <f>_xlfn.XMATCH(tbl_Clean[[#This Row],[Age Band]],{"25-30","31-40","41-50","51-60","61+"})</f>
        <v>1</v>
      </c>
      <c r="P852" s="20" t="str" cm="1">
        <f t="array" ref="P852">_xlfn.IFS(tbl_Clean[[#This Row],[Income]]&lt;=30000,"$10k-30k",tbl_Clean[[#This Row],[Income]]&lt;=60000,"$40k-60k",tbl_Clean[[#This Row],[Income]]&lt;=90000,"$70k-90k",TRUE,"$100k+")</f>
        <v>$40k-60k</v>
      </c>
      <c r="Q852" s="20">
        <f>_xlfn.XMATCH(tbl_Clean[[#This Row],[Income Band]],{"$10k-30k","$40k-60k","$70k-90k","$100k+"})</f>
        <v>2</v>
      </c>
      <c r="R852" s="20" t="str">
        <f>IF(tbl_Clean[[#This Row],[Cars]]&lt;=1,"0-1 Cars","2+ Cars")</f>
        <v>2+ Cars</v>
      </c>
      <c r="S852" s="20">
        <f>_xlfn.XMATCH(tbl_Clean[[#This Row],[Commute Distance]],{"0-1 Miles","1-2 Miles","2-5 Miles","5-10 Miles","10+ Miles"})</f>
        <v>4</v>
      </c>
      <c r="T852" s="20">
        <f>_xlfn.XMATCH(tbl_Clean[[#This Row],[Education]],{"Partial High School","High School","Partial College","Bachelors","Graduate Degree"})</f>
        <v>1</v>
      </c>
      <c r="U852" s="20">
        <f>IF(tbl_Clean[[#This Row],[Purchased Bike]]="Yes",1,0)</f>
        <v>0</v>
      </c>
    </row>
    <row r="853" spans="1:21" x14ac:dyDescent="0.25">
      <c r="A853" s="20">
        <v>13176</v>
      </c>
      <c r="B853" s="3" t="s">
        <v>114</v>
      </c>
      <c r="C853" s="3" t="s">
        <v>113</v>
      </c>
      <c r="D853" s="19">
        <v>130000</v>
      </c>
      <c r="E853" s="20">
        <v>0</v>
      </c>
      <c r="F853" s="3" t="s">
        <v>34</v>
      </c>
      <c r="G853" s="3" t="s">
        <v>31</v>
      </c>
      <c r="H853" s="3" t="s">
        <v>20</v>
      </c>
      <c r="I853" s="20">
        <v>2</v>
      </c>
      <c r="J853" s="3" t="s">
        <v>18</v>
      </c>
      <c r="K853" s="3" t="s">
        <v>35</v>
      </c>
      <c r="L853" s="20">
        <v>38</v>
      </c>
      <c r="M853" s="3" t="s">
        <v>17</v>
      </c>
      <c r="N853" s="20" t="str" cm="1">
        <f t="array" ref="N853">_xlfn.IFS(tbl_Clean[[#This Row],[Age]]&lt;=30,"25-30",tbl_Clean[[#This Row],[Age]]&lt;=40,"31-40",tbl_Clean[[#This Row],[Age]]&lt;=50,"41-50",tbl_Clean[[#This Row],[Age]]&lt;=60,"51-60",TRUE,"61+")</f>
        <v>31-40</v>
      </c>
      <c r="O853" s="20">
        <f>_xlfn.XMATCH(tbl_Clean[[#This Row],[Age Band]],{"25-30","31-40","41-50","51-60","61+"})</f>
        <v>2</v>
      </c>
      <c r="P853" s="20" t="str" cm="1">
        <f t="array" ref="P853">_xlfn.IFS(tbl_Clean[[#This Row],[Income]]&lt;=30000,"$10k-30k",tbl_Clean[[#This Row],[Income]]&lt;=60000,"$40k-60k",tbl_Clean[[#This Row],[Income]]&lt;=90000,"$70k-90k",TRUE,"$100k+")</f>
        <v>$100k+</v>
      </c>
      <c r="Q853" s="20">
        <f>_xlfn.XMATCH(tbl_Clean[[#This Row],[Income Band]],{"$10k-30k","$40k-60k","$70k-90k","$100k+"})</f>
        <v>4</v>
      </c>
      <c r="R853" s="20" t="str">
        <f>IF(tbl_Clean[[#This Row],[Cars]]&lt;=1,"0-1 Cars","2+ Cars")</f>
        <v>2+ Cars</v>
      </c>
      <c r="S853" s="20">
        <f>_xlfn.XMATCH(tbl_Clean[[#This Row],[Commute Distance]],{"0-1 Miles","1-2 Miles","2-5 Miles","5-10 Miles","10+ Miles"})</f>
        <v>1</v>
      </c>
      <c r="T853" s="20">
        <f>_xlfn.XMATCH(tbl_Clean[[#This Row],[Education]],{"Partial High School","High School","Partial College","Bachelors","Graduate Degree"})</f>
        <v>5</v>
      </c>
      <c r="U853" s="20">
        <f>IF(tbl_Clean[[#This Row],[Purchased Bike]]="Yes",1,0)</f>
        <v>1</v>
      </c>
    </row>
    <row r="854" spans="1:21" x14ac:dyDescent="0.25">
      <c r="A854" s="20">
        <v>20504</v>
      </c>
      <c r="B854" s="3" t="s">
        <v>111</v>
      </c>
      <c r="C854" s="3" t="s">
        <v>112</v>
      </c>
      <c r="D854" s="19">
        <v>40000</v>
      </c>
      <c r="E854" s="20">
        <v>5</v>
      </c>
      <c r="F854" s="3" t="s">
        <v>30</v>
      </c>
      <c r="G854" s="3" t="s">
        <v>23</v>
      </c>
      <c r="H854" s="3" t="s">
        <v>20</v>
      </c>
      <c r="I854" s="20">
        <v>2</v>
      </c>
      <c r="J854" s="3" t="s">
        <v>24</v>
      </c>
      <c r="K854" s="3" t="s">
        <v>35</v>
      </c>
      <c r="L854" s="20">
        <v>60</v>
      </c>
      <c r="M854" s="3" t="s">
        <v>20</v>
      </c>
      <c r="N854" s="20" t="str" cm="1">
        <f t="array" ref="N854">_xlfn.IFS(tbl_Clean[[#This Row],[Age]]&lt;=30,"25-30",tbl_Clean[[#This Row],[Age]]&lt;=40,"31-40",tbl_Clean[[#This Row],[Age]]&lt;=50,"41-50",tbl_Clean[[#This Row],[Age]]&lt;=60,"51-60",TRUE,"61+")</f>
        <v>51-60</v>
      </c>
      <c r="O854" s="20">
        <f>_xlfn.XMATCH(tbl_Clean[[#This Row],[Age Band]],{"25-30","31-40","41-50","51-60","61+"})</f>
        <v>4</v>
      </c>
      <c r="P854" s="20" t="str" cm="1">
        <f t="array" ref="P854">_xlfn.IFS(tbl_Clean[[#This Row],[Income]]&lt;=30000,"$10k-30k",tbl_Clean[[#This Row],[Income]]&lt;=60000,"$40k-60k",tbl_Clean[[#This Row],[Income]]&lt;=90000,"$70k-90k",TRUE,"$100k+")</f>
        <v>$40k-60k</v>
      </c>
      <c r="Q854" s="20">
        <f>_xlfn.XMATCH(tbl_Clean[[#This Row],[Income Band]],{"$10k-30k","$40k-60k","$70k-90k","$100k+"})</f>
        <v>2</v>
      </c>
      <c r="R854" s="20" t="str">
        <f>IF(tbl_Clean[[#This Row],[Cars]]&lt;=1,"0-1 Cars","2+ Cars")</f>
        <v>2+ Cars</v>
      </c>
      <c r="S854" s="20">
        <f>_xlfn.XMATCH(tbl_Clean[[#This Row],[Commute Distance]],{"0-1 Miles","1-2 Miles","2-5 Miles","5-10 Miles","10+ Miles"})</f>
        <v>3</v>
      </c>
      <c r="T854" s="20">
        <f>_xlfn.XMATCH(tbl_Clean[[#This Row],[Education]],{"Partial High School","High School","Partial College","Bachelors","Graduate Degree"})</f>
        <v>2</v>
      </c>
      <c r="U854" s="20">
        <f>IF(tbl_Clean[[#This Row],[Purchased Bike]]="Yes",1,0)</f>
        <v>0</v>
      </c>
    </row>
    <row r="855" spans="1:21" x14ac:dyDescent="0.25">
      <c r="A855" s="20">
        <v>12205</v>
      </c>
      <c r="B855" s="3" t="s">
        <v>114</v>
      </c>
      <c r="C855" s="3" t="s">
        <v>112</v>
      </c>
      <c r="D855" s="19">
        <v>130000</v>
      </c>
      <c r="E855" s="20">
        <v>2</v>
      </c>
      <c r="F855" s="3" t="s">
        <v>15</v>
      </c>
      <c r="G855" s="3" t="s">
        <v>31</v>
      </c>
      <c r="H855" s="3" t="s">
        <v>20</v>
      </c>
      <c r="I855" s="20">
        <v>4</v>
      </c>
      <c r="J855" s="3" t="s">
        <v>18</v>
      </c>
      <c r="K855" s="3" t="s">
        <v>35</v>
      </c>
      <c r="L855" s="20">
        <v>67</v>
      </c>
      <c r="M855" s="3" t="s">
        <v>20</v>
      </c>
      <c r="N855" s="20" t="str" cm="1">
        <f t="array" ref="N855">_xlfn.IFS(tbl_Clean[[#This Row],[Age]]&lt;=30,"25-30",tbl_Clean[[#This Row],[Age]]&lt;=40,"31-40",tbl_Clean[[#This Row],[Age]]&lt;=50,"41-50",tbl_Clean[[#This Row],[Age]]&lt;=60,"51-60",TRUE,"61+")</f>
        <v>61+</v>
      </c>
      <c r="O855" s="20">
        <f>_xlfn.XMATCH(tbl_Clean[[#This Row],[Age Band]],{"25-30","31-40","41-50","51-60","61+"})</f>
        <v>5</v>
      </c>
      <c r="P855" s="20" t="str" cm="1">
        <f t="array" ref="P855">_xlfn.IFS(tbl_Clean[[#This Row],[Income]]&lt;=30000,"$10k-30k",tbl_Clean[[#This Row],[Income]]&lt;=60000,"$40k-60k",tbl_Clean[[#This Row],[Income]]&lt;=90000,"$70k-90k",TRUE,"$100k+")</f>
        <v>$100k+</v>
      </c>
      <c r="Q855" s="20">
        <f>_xlfn.XMATCH(tbl_Clean[[#This Row],[Income Band]],{"$10k-30k","$40k-60k","$70k-90k","$100k+"})</f>
        <v>4</v>
      </c>
      <c r="R855" s="20" t="str">
        <f>IF(tbl_Clean[[#This Row],[Cars]]&lt;=1,"0-1 Cars","2+ Cars")</f>
        <v>2+ Cars</v>
      </c>
      <c r="S855" s="20">
        <f>_xlfn.XMATCH(tbl_Clean[[#This Row],[Commute Distance]],{"0-1 Miles","1-2 Miles","2-5 Miles","5-10 Miles","10+ Miles"})</f>
        <v>1</v>
      </c>
      <c r="T855" s="20">
        <f>_xlfn.XMATCH(tbl_Clean[[#This Row],[Education]],{"Partial High School","High School","Partial College","Bachelors","Graduate Degree"})</f>
        <v>4</v>
      </c>
      <c r="U855" s="20">
        <f>IF(tbl_Clean[[#This Row],[Purchased Bike]]="Yes",1,0)</f>
        <v>0</v>
      </c>
    </row>
    <row r="856" spans="1:21" x14ac:dyDescent="0.25">
      <c r="A856" s="20">
        <v>16751</v>
      </c>
      <c r="B856" s="3" t="s">
        <v>111</v>
      </c>
      <c r="C856" s="3" t="s">
        <v>113</v>
      </c>
      <c r="D856" s="19">
        <v>60000</v>
      </c>
      <c r="E856" s="20">
        <v>0</v>
      </c>
      <c r="F856" s="3" t="s">
        <v>21</v>
      </c>
      <c r="G856" s="3" t="s">
        <v>16</v>
      </c>
      <c r="H856" s="3" t="s">
        <v>17</v>
      </c>
      <c r="I856" s="20">
        <v>1</v>
      </c>
      <c r="J856" s="3" t="s">
        <v>26</v>
      </c>
      <c r="K856" s="3" t="s">
        <v>35</v>
      </c>
      <c r="L856" s="20">
        <v>32</v>
      </c>
      <c r="M856" s="3" t="s">
        <v>17</v>
      </c>
      <c r="N856" s="20" t="str" cm="1">
        <f t="array" ref="N856">_xlfn.IFS(tbl_Clean[[#This Row],[Age]]&lt;=30,"25-30",tbl_Clean[[#This Row],[Age]]&lt;=40,"31-40",tbl_Clean[[#This Row],[Age]]&lt;=50,"41-50",tbl_Clean[[#This Row],[Age]]&lt;=60,"51-60",TRUE,"61+")</f>
        <v>31-40</v>
      </c>
      <c r="O856" s="20">
        <f>_xlfn.XMATCH(tbl_Clean[[#This Row],[Age Band]],{"25-30","31-40","41-50","51-60","61+"})</f>
        <v>2</v>
      </c>
      <c r="P856" s="20" t="str" cm="1">
        <f t="array" ref="P856">_xlfn.IFS(tbl_Clean[[#This Row],[Income]]&lt;=30000,"$10k-30k",tbl_Clean[[#This Row],[Income]]&lt;=60000,"$40k-60k",tbl_Clean[[#This Row],[Income]]&lt;=90000,"$70k-90k",TRUE,"$100k+")</f>
        <v>$40k-60k</v>
      </c>
      <c r="Q856" s="20">
        <f>_xlfn.XMATCH(tbl_Clean[[#This Row],[Income Band]],{"$10k-30k","$40k-60k","$70k-90k","$100k+"})</f>
        <v>2</v>
      </c>
      <c r="R856" s="20" t="str">
        <f>IF(tbl_Clean[[#This Row],[Cars]]&lt;=1,"0-1 Cars","2+ Cars")</f>
        <v>0-1 Cars</v>
      </c>
      <c r="S856" s="20">
        <f>_xlfn.XMATCH(tbl_Clean[[#This Row],[Commute Distance]],{"0-1 Miles","1-2 Miles","2-5 Miles","5-10 Miles","10+ Miles"})</f>
        <v>4</v>
      </c>
      <c r="T856" s="20">
        <f>_xlfn.XMATCH(tbl_Clean[[#This Row],[Education]],{"Partial High School","High School","Partial College","Bachelors","Graduate Degree"})</f>
        <v>3</v>
      </c>
      <c r="U856" s="20">
        <f>IF(tbl_Clean[[#This Row],[Purchased Bike]]="Yes",1,0)</f>
        <v>1</v>
      </c>
    </row>
    <row r="857" spans="1:21" x14ac:dyDescent="0.25">
      <c r="A857" s="20">
        <v>21613</v>
      </c>
      <c r="B857" s="3" t="s">
        <v>114</v>
      </c>
      <c r="C857" s="3" t="s">
        <v>113</v>
      </c>
      <c r="D857" s="19">
        <v>50000</v>
      </c>
      <c r="E857" s="20">
        <v>2</v>
      </c>
      <c r="F857" s="3" t="s">
        <v>15</v>
      </c>
      <c r="G857" s="3" t="s">
        <v>16</v>
      </c>
      <c r="H857" s="3" t="s">
        <v>20</v>
      </c>
      <c r="I857" s="20">
        <v>1</v>
      </c>
      <c r="J857" s="3" t="s">
        <v>18</v>
      </c>
      <c r="K857" s="3" t="s">
        <v>35</v>
      </c>
      <c r="L857" s="20">
        <v>39</v>
      </c>
      <c r="M857" s="3" t="s">
        <v>17</v>
      </c>
      <c r="N857" s="20" t="str" cm="1">
        <f t="array" ref="N857">_xlfn.IFS(tbl_Clean[[#This Row],[Age]]&lt;=30,"25-30",tbl_Clean[[#This Row],[Age]]&lt;=40,"31-40",tbl_Clean[[#This Row],[Age]]&lt;=50,"41-50",tbl_Clean[[#This Row],[Age]]&lt;=60,"51-60",TRUE,"61+")</f>
        <v>31-40</v>
      </c>
      <c r="O857" s="20">
        <f>_xlfn.XMATCH(tbl_Clean[[#This Row],[Age Band]],{"25-30","31-40","41-50","51-60","61+"})</f>
        <v>2</v>
      </c>
      <c r="P857" s="20" t="str" cm="1">
        <f t="array" ref="P857">_xlfn.IFS(tbl_Clean[[#This Row],[Income]]&lt;=30000,"$10k-30k",tbl_Clean[[#This Row],[Income]]&lt;=60000,"$40k-60k",tbl_Clean[[#This Row],[Income]]&lt;=90000,"$70k-90k",TRUE,"$100k+")</f>
        <v>$40k-60k</v>
      </c>
      <c r="Q857" s="20">
        <f>_xlfn.XMATCH(tbl_Clean[[#This Row],[Income Band]],{"$10k-30k","$40k-60k","$70k-90k","$100k+"})</f>
        <v>2</v>
      </c>
      <c r="R857" s="20" t="str">
        <f>IF(tbl_Clean[[#This Row],[Cars]]&lt;=1,"0-1 Cars","2+ Cars")</f>
        <v>0-1 Cars</v>
      </c>
      <c r="S857" s="20">
        <f>_xlfn.XMATCH(tbl_Clean[[#This Row],[Commute Distance]],{"0-1 Miles","1-2 Miles","2-5 Miles","5-10 Miles","10+ Miles"})</f>
        <v>1</v>
      </c>
      <c r="T857" s="20">
        <f>_xlfn.XMATCH(tbl_Clean[[#This Row],[Education]],{"Partial High School","High School","Partial College","Bachelors","Graduate Degree"})</f>
        <v>4</v>
      </c>
      <c r="U857" s="20">
        <f>IF(tbl_Clean[[#This Row],[Purchased Bike]]="Yes",1,0)</f>
        <v>1</v>
      </c>
    </row>
    <row r="858" spans="1:21" x14ac:dyDescent="0.25">
      <c r="A858" s="20">
        <v>24801</v>
      </c>
      <c r="B858" s="3" t="s">
        <v>114</v>
      </c>
      <c r="C858" s="3" t="s">
        <v>113</v>
      </c>
      <c r="D858" s="19">
        <v>60000</v>
      </c>
      <c r="E858" s="20">
        <v>1</v>
      </c>
      <c r="F858" s="3" t="s">
        <v>34</v>
      </c>
      <c r="G858" s="3" t="s">
        <v>23</v>
      </c>
      <c r="H858" s="3" t="s">
        <v>17</v>
      </c>
      <c r="I858" s="20">
        <v>0</v>
      </c>
      <c r="J858" s="3" t="s">
        <v>24</v>
      </c>
      <c r="K858" s="3" t="s">
        <v>35</v>
      </c>
      <c r="L858" s="20">
        <v>35</v>
      </c>
      <c r="M858" s="3" t="s">
        <v>17</v>
      </c>
      <c r="N858" s="20" t="str" cm="1">
        <f t="array" ref="N858">_xlfn.IFS(tbl_Clean[[#This Row],[Age]]&lt;=30,"25-30",tbl_Clean[[#This Row],[Age]]&lt;=40,"31-40",tbl_Clean[[#This Row],[Age]]&lt;=50,"41-50",tbl_Clean[[#This Row],[Age]]&lt;=60,"51-60",TRUE,"61+")</f>
        <v>31-40</v>
      </c>
      <c r="O858" s="20">
        <f>_xlfn.XMATCH(tbl_Clean[[#This Row],[Age Band]],{"25-30","31-40","41-50","51-60","61+"})</f>
        <v>2</v>
      </c>
      <c r="P858" s="20" t="str" cm="1">
        <f t="array" ref="P858">_xlfn.IFS(tbl_Clean[[#This Row],[Income]]&lt;=30000,"$10k-30k",tbl_Clean[[#This Row],[Income]]&lt;=60000,"$40k-60k",tbl_Clean[[#This Row],[Income]]&lt;=90000,"$70k-90k",TRUE,"$100k+")</f>
        <v>$40k-60k</v>
      </c>
      <c r="Q858" s="20">
        <f>_xlfn.XMATCH(tbl_Clean[[#This Row],[Income Band]],{"$10k-30k","$40k-60k","$70k-90k","$100k+"})</f>
        <v>2</v>
      </c>
      <c r="R858" s="20" t="str">
        <f>IF(tbl_Clean[[#This Row],[Cars]]&lt;=1,"0-1 Cars","2+ Cars")</f>
        <v>0-1 Cars</v>
      </c>
      <c r="S858" s="20">
        <f>_xlfn.XMATCH(tbl_Clean[[#This Row],[Commute Distance]],{"0-1 Miles","1-2 Miles","2-5 Miles","5-10 Miles","10+ Miles"})</f>
        <v>3</v>
      </c>
      <c r="T858" s="20">
        <f>_xlfn.XMATCH(tbl_Clean[[#This Row],[Education]],{"Partial High School","High School","Partial College","Bachelors","Graduate Degree"})</f>
        <v>5</v>
      </c>
      <c r="U858" s="20">
        <f>IF(tbl_Clean[[#This Row],[Purchased Bike]]="Yes",1,0)</f>
        <v>1</v>
      </c>
    </row>
    <row r="859" spans="1:21" x14ac:dyDescent="0.25">
      <c r="A859" s="20">
        <v>17519</v>
      </c>
      <c r="B859" s="3" t="s">
        <v>111</v>
      </c>
      <c r="C859" s="3" t="s">
        <v>112</v>
      </c>
      <c r="D859" s="19">
        <v>60000</v>
      </c>
      <c r="E859" s="20">
        <v>0</v>
      </c>
      <c r="F859" s="3" t="s">
        <v>21</v>
      </c>
      <c r="G859" s="3" t="s">
        <v>23</v>
      </c>
      <c r="H859" s="3" t="s">
        <v>17</v>
      </c>
      <c r="I859" s="20">
        <v>2</v>
      </c>
      <c r="J859" s="3" t="s">
        <v>26</v>
      </c>
      <c r="K859" s="3" t="s">
        <v>35</v>
      </c>
      <c r="L859" s="20">
        <v>32</v>
      </c>
      <c r="M859" s="3" t="s">
        <v>20</v>
      </c>
      <c r="N859" s="20" t="str" cm="1">
        <f t="array" ref="N859">_xlfn.IFS(tbl_Clean[[#This Row],[Age]]&lt;=30,"25-30",tbl_Clean[[#This Row],[Age]]&lt;=40,"31-40",tbl_Clean[[#This Row],[Age]]&lt;=50,"41-50",tbl_Clean[[#This Row],[Age]]&lt;=60,"51-60",TRUE,"61+")</f>
        <v>31-40</v>
      </c>
      <c r="O859" s="20">
        <f>_xlfn.XMATCH(tbl_Clean[[#This Row],[Age Band]],{"25-30","31-40","41-50","51-60","61+"})</f>
        <v>2</v>
      </c>
      <c r="P859" s="20" t="str" cm="1">
        <f t="array" ref="P859">_xlfn.IFS(tbl_Clean[[#This Row],[Income]]&lt;=30000,"$10k-30k",tbl_Clean[[#This Row],[Income]]&lt;=60000,"$40k-60k",tbl_Clean[[#This Row],[Income]]&lt;=90000,"$70k-90k",TRUE,"$100k+")</f>
        <v>$40k-60k</v>
      </c>
      <c r="Q859" s="20">
        <f>_xlfn.XMATCH(tbl_Clean[[#This Row],[Income Band]],{"$10k-30k","$40k-60k","$70k-90k","$100k+"})</f>
        <v>2</v>
      </c>
      <c r="R859" s="20" t="str">
        <f>IF(tbl_Clean[[#This Row],[Cars]]&lt;=1,"0-1 Cars","2+ Cars")</f>
        <v>2+ Cars</v>
      </c>
      <c r="S859" s="20">
        <f>_xlfn.XMATCH(tbl_Clean[[#This Row],[Commute Distance]],{"0-1 Miles","1-2 Miles","2-5 Miles","5-10 Miles","10+ Miles"})</f>
        <v>4</v>
      </c>
      <c r="T859" s="20">
        <f>_xlfn.XMATCH(tbl_Clean[[#This Row],[Education]],{"Partial High School","High School","Partial College","Bachelors","Graduate Degree"})</f>
        <v>3</v>
      </c>
      <c r="U859" s="20">
        <f>IF(tbl_Clean[[#This Row],[Purchased Bike]]="Yes",1,0)</f>
        <v>0</v>
      </c>
    </row>
    <row r="860" spans="1:21" x14ac:dyDescent="0.25">
      <c r="A860" s="20">
        <v>18347</v>
      </c>
      <c r="B860" s="3" t="s">
        <v>114</v>
      </c>
      <c r="C860" s="3" t="s">
        <v>112</v>
      </c>
      <c r="D860" s="19">
        <v>30000</v>
      </c>
      <c r="E860" s="20">
        <v>0</v>
      </c>
      <c r="F860" s="3" t="s">
        <v>21</v>
      </c>
      <c r="G860" s="3" t="s">
        <v>16</v>
      </c>
      <c r="H860" s="3" t="s">
        <v>20</v>
      </c>
      <c r="I860" s="20">
        <v>1</v>
      </c>
      <c r="J860" s="3" t="s">
        <v>29</v>
      </c>
      <c r="K860" s="3" t="s">
        <v>35</v>
      </c>
      <c r="L860" s="20">
        <v>31</v>
      </c>
      <c r="M860" s="3" t="s">
        <v>20</v>
      </c>
      <c r="N860" s="20" t="str" cm="1">
        <f t="array" ref="N860">_xlfn.IFS(tbl_Clean[[#This Row],[Age]]&lt;=30,"25-30",tbl_Clean[[#This Row],[Age]]&lt;=40,"31-40",tbl_Clean[[#This Row],[Age]]&lt;=50,"41-50",tbl_Clean[[#This Row],[Age]]&lt;=60,"51-60",TRUE,"61+")</f>
        <v>31-40</v>
      </c>
      <c r="O860" s="20">
        <f>_xlfn.XMATCH(tbl_Clean[[#This Row],[Age Band]],{"25-30","31-40","41-50","51-60","61+"})</f>
        <v>2</v>
      </c>
      <c r="P860" s="20" t="str" cm="1">
        <f t="array" ref="P860">_xlfn.IFS(tbl_Clean[[#This Row],[Income]]&lt;=30000,"$10k-30k",tbl_Clean[[#This Row],[Income]]&lt;=60000,"$40k-60k",tbl_Clean[[#This Row],[Income]]&lt;=90000,"$70k-90k",TRUE,"$100k+")</f>
        <v>$10k-30k</v>
      </c>
      <c r="Q860" s="20">
        <f>_xlfn.XMATCH(tbl_Clean[[#This Row],[Income Band]],{"$10k-30k","$40k-60k","$70k-90k","$100k+"})</f>
        <v>1</v>
      </c>
      <c r="R860" s="20" t="str">
        <f>IF(tbl_Clean[[#This Row],[Cars]]&lt;=1,"0-1 Cars","2+ Cars")</f>
        <v>0-1 Cars</v>
      </c>
      <c r="S860" s="20">
        <f>_xlfn.XMATCH(tbl_Clean[[#This Row],[Commute Distance]],{"0-1 Miles","1-2 Miles","2-5 Miles","5-10 Miles","10+ Miles"})</f>
        <v>2</v>
      </c>
      <c r="T860" s="20">
        <f>_xlfn.XMATCH(tbl_Clean[[#This Row],[Education]],{"Partial High School","High School","Partial College","Bachelors","Graduate Degree"})</f>
        <v>3</v>
      </c>
      <c r="U860" s="20">
        <f>IF(tbl_Clean[[#This Row],[Purchased Bike]]="Yes",1,0)</f>
        <v>0</v>
      </c>
    </row>
    <row r="861" spans="1:21" x14ac:dyDescent="0.25">
      <c r="A861" s="20">
        <v>29052</v>
      </c>
      <c r="B861" s="3" t="s">
        <v>114</v>
      </c>
      <c r="C861" s="3" t="s">
        <v>113</v>
      </c>
      <c r="D861" s="19">
        <v>40000</v>
      </c>
      <c r="E861" s="20">
        <v>0</v>
      </c>
      <c r="F861" s="3" t="s">
        <v>21</v>
      </c>
      <c r="G861" s="3" t="s">
        <v>16</v>
      </c>
      <c r="H861" s="3" t="s">
        <v>17</v>
      </c>
      <c r="I861" s="20">
        <v>1</v>
      </c>
      <c r="J861" s="3" t="s">
        <v>26</v>
      </c>
      <c r="K861" s="3" t="s">
        <v>35</v>
      </c>
      <c r="L861" s="20">
        <v>27</v>
      </c>
      <c r="M861" s="3" t="s">
        <v>20</v>
      </c>
      <c r="N861" s="20" t="str" cm="1">
        <f t="array" ref="N861">_xlfn.IFS(tbl_Clean[[#This Row],[Age]]&lt;=30,"25-30",tbl_Clean[[#This Row],[Age]]&lt;=40,"31-40",tbl_Clean[[#This Row],[Age]]&lt;=50,"41-50",tbl_Clean[[#This Row],[Age]]&lt;=60,"51-60",TRUE,"61+")</f>
        <v>25-30</v>
      </c>
      <c r="O861" s="20">
        <f>_xlfn.XMATCH(tbl_Clean[[#This Row],[Age Band]],{"25-30","31-40","41-50","51-60","61+"})</f>
        <v>1</v>
      </c>
      <c r="P861" s="20" t="str" cm="1">
        <f t="array" ref="P861">_xlfn.IFS(tbl_Clean[[#This Row],[Income]]&lt;=30000,"$10k-30k",tbl_Clean[[#This Row],[Income]]&lt;=60000,"$40k-60k",tbl_Clean[[#This Row],[Income]]&lt;=90000,"$70k-90k",TRUE,"$100k+")</f>
        <v>$40k-60k</v>
      </c>
      <c r="Q861" s="20">
        <f>_xlfn.XMATCH(tbl_Clean[[#This Row],[Income Band]],{"$10k-30k","$40k-60k","$70k-90k","$100k+"})</f>
        <v>2</v>
      </c>
      <c r="R861" s="20" t="str">
        <f>IF(tbl_Clean[[#This Row],[Cars]]&lt;=1,"0-1 Cars","2+ Cars")</f>
        <v>0-1 Cars</v>
      </c>
      <c r="S861" s="20">
        <f>_xlfn.XMATCH(tbl_Clean[[#This Row],[Commute Distance]],{"0-1 Miles","1-2 Miles","2-5 Miles","5-10 Miles","10+ Miles"})</f>
        <v>4</v>
      </c>
      <c r="T861" s="20">
        <f>_xlfn.XMATCH(tbl_Clean[[#This Row],[Education]],{"Partial High School","High School","Partial College","Bachelors","Graduate Degree"})</f>
        <v>3</v>
      </c>
      <c r="U861" s="20">
        <f>IF(tbl_Clean[[#This Row],[Purchased Bike]]="Yes",1,0)</f>
        <v>0</v>
      </c>
    </row>
    <row r="862" spans="1:21" x14ac:dyDescent="0.25">
      <c r="A862" s="20">
        <v>11745</v>
      </c>
      <c r="B862" s="3" t="s">
        <v>111</v>
      </c>
      <c r="C862" s="3" t="s">
        <v>112</v>
      </c>
      <c r="D862" s="19">
        <v>60000</v>
      </c>
      <c r="E862" s="20">
        <v>1</v>
      </c>
      <c r="F862" s="3" t="s">
        <v>15</v>
      </c>
      <c r="G862" s="3" t="s">
        <v>23</v>
      </c>
      <c r="H862" s="3" t="s">
        <v>17</v>
      </c>
      <c r="I862" s="20">
        <v>1</v>
      </c>
      <c r="J862" s="3" t="s">
        <v>18</v>
      </c>
      <c r="K862" s="3" t="s">
        <v>35</v>
      </c>
      <c r="L862" s="20">
        <v>47</v>
      </c>
      <c r="M862" s="3" t="s">
        <v>17</v>
      </c>
      <c r="N862" s="20" t="str" cm="1">
        <f t="array" ref="N862">_xlfn.IFS(tbl_Clean[[#This Row],[Age]]&lt;=30,"25-30",tbl_Clean[[#This Row],[Age]]&lt;=40,"31-40",tbl_Clean[[#This Row],[Age]]&lt;=50,"41-50",tbl_Clean[[#This Row],[Age]]&lt;=60,"51-60",TRUE,"61+")</f>
        <v>41-50</v>
      </c>
      <c r="O862" s="20">
        <f>_xlfn.XMATCH(tbl_Clean[[#This Row],[Age Band]],{"25-30","31-40","41-50","51-60","61+"})</f>
        <v>3</v>
      </c>
      <c r="P862" s="20" t="str" cm="1">
        <f t="array" ref="P862">_xlfn.IFS(tbl_Clean[[#This Row],[Income]]&lt;=30000,"$10k-30k",tbl_Clean[[#This Row],[Income]]&lt;=60000,"$40k-60k",tbl_Clean[[#This Row],[Income]]&lt;=90000,"$70k-90k",TRUE,"$100k+")</f>
        <v>$40k-60k</v>
      </c>
      <c r="Q862" s="20">
        <f>_xlfn.XMATCH(tbl_Clean[[#This Row],[Income Band]],{"$10k-30k","$40k-60k","$70k-90k","$100k+"})</f>
        <v>2</v>
      </c>
      <c r="R862" s="20" t="str">
        <f>IF(tbl_Clean[[#This Row],[Cars]]&lt;=1,"0-1 Cars","2+ Cars")</f>
        <v>0-1 Cars</v>
      </c>
      <c r="S862" s="20">
        <f>_xlfn.XMATCH(tbl_Clean[[#This Row],[Commute Distance]],{"0-1 Miles","1-2 Miles","2-5 Miles","5-10 Miles","10+ Miles"})</f>
        <v>1</v>
      </c>
      <c r="T862" s="20">
        <f>_xlfn.XMATCH(tbl_Clean[[#This Row],[Education]],{"Partial High School","High School","Partial College","Bachelors","Graduate Degree"})</f>
        <v>4</v>
      </c>
      <c r="U862" s="20">
        <f>IF(tbl_Clean[[#This Row],[Purchased Bike]]="Yes",1,0)</f>
        <v>1</v>
      </c>
    </row>
    <row r="863" spans="1:21" x14ac:dyDescent="0.25">
      <c r="A863" s="20">
        <v>19147</v>
      </c>
      <c r="B863" s="3" t="s">
        <v>111</v>
      </c>
      <c r="C863" s="3" t="s">
        <v>113</v>
      </c>
      <c r="D863" s="19">
        <v>40000</v>
      </c>
      <c r="E863" s="20">
        <v>0</v>
      </c>
      <c r="F863" s="3" t="s">
        <v>15</v>
      </c>
      <c r="G863" s="3" t="s">
        <v>23</v>
      </c>
      <c r="H863" s="3" t="s">
        <v>20</v>
      </c>
      <c r="I863" s="20">
        <v>1</v>
      </c>
      <c r="J863" s="3" t="s">
        <v>18</v>
      </c>
      <c r="K863" s="3" t="s">
        <v>35</v>
      </c>
      <c r="L863" s="20">
        <v>42</v>
      </c>
      <c r="M863" s="3" t="s">
        <v>20</v>
      </c>
      <c r="N863" s="20" t="str" cm="1">
        <f t="array" ref="N863">_xlfn.IFS(tbl_Clean[[#This Row],[Age]]&lt;=30,"25-30",tbl_Clean[[#This Row],[Age]]&lt;=40,"31-40",tbl_Clean[[#This Row],[Age]]&lt;=50,"41-50",tbl_Clean[[#This Row],[Age]]&lt;=60,"51-60",TRUE,"61+")</f>
        <v>41-50</v>
      </c>
      <c r="O863" s="20">
        <f>_xlfn.XMATCH(tbl_Clean[[#This Row],[Age Band]],{"25-30","31-40","41-50","51-60","61+"})</f>
        <v>3</v>
      </c>
      <c r="P863" s="20" t="str" cm="1">
        <f t="array" ref="P863">_xlfn.IFS(tbl_Clean[[#This Row],[Income]]&lt;=30000,"$10k-30k",tbl_Clean[[#This Row],[Income]]&lt;=60000,"$40k-60k",tbl_Clean[[#This Row],[Income]]&lt;=90000,"$70k-90k",TRUE,"$100k+")</f>
        <v>$40k-60k</v>
      </c>
      <c r="Q863" s="20">
        <f>_xlfn.XMATCH(tbl_Clean[[#This Row],[Income Band]],{"$10k-30k","$40k-60k","$70k-90k","$100k+"})</f>
        <v>2</v>
      </c>
      <c r="R863" s="20" t="str">
        <f>IF(tbl_Clean[[#This Row],[Cars]]&lt;=1,"0-1 Cars","2+ Cars")</f>
        <v>0-1 Cars</v>
      </c>
      <c r="S863" s="20">
        <f>_xlfn.XMATCH(tbl_Clean[[#This Row],[Commute Distance]],{"0-1 Miles","1-2 Miles","2-5 Miles","5-10 Miles","10+ Miles"})</f>
        <v>1</v>
      </c>
      <c r="T863" s="20">
        <f>_xlfn.XMATCH(tbl_Clean[[#This Row],[Education]],{"Partial High School","High School","Partial College","Bachelors","Graduate Degree"})</f>
        <v>4</v>
      </c>
      <c r="U863" s="20">
        <f>IF(tbl_Clean[[#This Row],[Purchased Bike]]="Yes",1,0)</f>
        <v>0</v>
      </c>
    </row>
    <row r="864" spans="1:21" x14ac:dyDescent="0.25">
      <c r="A864" s="20">
        <v>19217</v>
      </c>
      <c r="B864" s="3" t="s">
        <v>111</v>
      </c>
      <c r="C864" s="3" t="s">
        <v>113</v>
      </c>
      <c r="D864" s="19">
        <v>30000</v>
      </c>
      <c r="E864" s="20">
        <v>2</v>
      </c>
      <c r="F864" s="3" t="s">
        <v>30</v>
      </c>
      <c r="G864" s="3" t="s">
        <v>16</v>
      </c>
      <c r="H864" s="3" t="s">
        <v>17</v>
      </c>
      <c r="I864" s="20">
        <v>2</v>
      </c>
      <c r="J864" s="3" t="s">
        <v>29</v>
      </c>
      <c r="K864" s="3" t="s">
        <v>35</v>
      </c>
      <c r="L864" s="20">
        <v>49</v>
      </c>
      <c r="M864" s="3" t="s">
        <v>20</v>
      </c>
      <c r="N864" s="20" t="str" cm="1">
        <f t="array" ref="N864">_xlfn.IFS(tbl_Clean[[#This Row],[Age]]&lt;=30,"25-30",tbl_Clean[[#This Row],[Age]]&lt;=40,"31-40",tbl_Clean[[#This Row],[Age]]&lt;=50,"41-50",tbl_Clean[[#This Row],[Age]]&lt;=60,"51-60",TRUE,"61+")</f>
        <v>41-50</v>
      </c>
      <c r="O864" s="20">
        <f>_xlfn.XMATCH(tbl_Clean[[#This Row],[Age Band]],{"25-30","31-40","41-50","51-60","61+"})</f>
        <v>3</v>
      </c>
      <c r="P864" s="20" t="str" cm="1">
        <f t="array" ref="P864">_xlfn.IFS(tbl_Clean[[#This Row],[Income]]&lt;=30000,"$10k-30k",tbl_Clean[[#This Row],[Income]]&lt;=60000,"$40k-60k",tbl_Clean[[#This Row],[Income]]&lt;=90000,"$70k-90k",TRUE,"$100k+")</f>
        <v>$10k-30k</v>
      </c>
      <c r="Q864" s="20">
        <f>_xlfn.XMATCH(tbl_Clean[[#This Row],[Income Band]],{"$10k-30k","$40k-60k","$70k-90k","$100k+"})</f>
        <v>1</v>
      </c>
      <c r="R864" s="20" t="str">
        <f>IF(tbl_Clean[[#This Row],[Cars]]&lt;=1,"0-1 Cars","2+ Cars")</f>
        <v>2+ Cars</v>
      </c>
      <c r="S864" s="20">
        <f>_xlfn.XMATCH(tbl_Clean[[#This Row],[Commute Distance]],{"0-1 Miles","1-2 Miles","2-5 Miles","5-10 Miles","10+ Miles"})</f>
        <v>2</v>
      </c>
      <c r="T864" s="20">
        <f>_xlfn.XMATCH(tbl_Clean[[#This Row],[Education]],{"Partial High School","High School","Partial College","Bachelors","Graduate Degree"})</f>
        <v>2</v>
      </c>
      <c r="U864" s="20">
        <f>IF(tbl_Clean[[#This Row],[Purchased Bike]]="Yes",1,0)</f>
        <v>0</v>
      </c>
    </row>
    <row r="865" spans="1:21" x14ac:dyDescent="0.25">
      <c r="A865" s="20">
        <v>15839</v>
      </c>
      <c r="B865" s="3" t="s">
        <v>114</v>
      </c>
      <c r="C865" s="3" t="s">
        <v>113</v>
      </c>
      <c r="D865" s="19">
        <v>30000</v>
      </c>
      <c r="E865" s="20">
        <v>0</v>
      </c>
      <c r="F865" s="3" t="s">
        <v>21</v>
      </c>
      <c r="G865" s="3" t="s">
        <v>16</v>
      </c>
      <c r="H865" s="3" t="s">
        <v>17</v>
      </c>
      <c r="I865" s="20">
        <v>1</v>
      </c>
      <c r="J865" s="3" t="s">
        <v>26</v>
      </c>
      <c r="K865" s="3" t="s">
        <v>35</v>
      </c>
      <c r="L865" s="20">
        <v>32</v>
      </c>
      <c r="M865" s="3" t="s">
        <v>20</v>
      </c>
      <c r="N865" s="20" t="str" cm="1">
        <f t="array" ref="N865">_xlfn.IFS(tbl_Clean[[#This Row],[Age]]&lt;=30,"25-30",tbl_Clean[[#This Row],[Age]]&lt;=40,"31-40",tbl_Clean[[#This Row],[Age]]&lt;=50,"41-50",tbl_Clean[[#This Row],[Age]]&lt;=60,"51-60",TRUE,"61+")</f>
        <v>31-40</v>
      </c>
      <c r="O865" s="20">
        <f>_xlfn.XMATCH(tbl_Clean[[#This Row],[Age Band]],{"25-30","31-40","41-50","51-60","61+"})</f>
        <v>2</v>
      </c>
      <c r="P865" s="20" t="str" cm="1">
        <f t="array" ref="P865">_xlfn.IFS(tbl_Clean[[#This Row],[Income]]&lt;=30000,"$10k-30k",tbl_Clean[[#This Row],[Income]]&lt;=60000,"$40k-60k",tbl_Clean[[#This Row],[Income]]&lt;=90000,"$70k-90k",TRUE,"$100k+")</f>
        <v>$10k-30k</v>
      </c>
      <c r="Q865" s="20">
        <f>_xlfn.XMATCH(tbl_Clean[[#This Row],[Income Band]],{"$10k-30k","$40k-60k","$70k-90k","$100k+"})</f>
        <v>1</v>
      </c>
      <c r="R865" s="20" t="str">
        <f>IF(tbl_Clean[[#This Row],[Cars]]&lt;=1,"0-1 Cars","2+ Cars")</f>
        <v>0-1 Cars</v>
      </c>
      <c r="S865" s="20">
        <f>_xlfn.XMATCH(tbl_Clean[[#This Row],[Commute Distance]],{"0-1 Miles","1-2 Miles","2-5 Miles","5-10 Miles","10+ Miles"})</f>
        <v>4</v>
      </c>
      <c r="T865" s="20">
        <f>_xlfn.XMATCH(tbl_Clean[[#This Row],[Education]],{"Partial High School","High School","Partial College","Bachelors","Graduate Degree"})</f>
        <v>3</v>
      </c>
      <c r="U865" s="20">
        <f>IF(tbl_Clean[[#This Row],[Purchased Bike]]="Yes",1,0)</f>
        <v>0</v>
      </c>
    </row>
    <row r="866" spans="1:21" x14ac:dyDescent="0.25">
      <c r="A866" s="20">
        <v>13714</v>
      </c>
      <c r="B866" s="3" t="s">
        <v>111</v>
      </c>
      <c r="C866" s="3" t="s">
        <v>112</v>
      </c>
      <c r="D866" s="19">
        <v>20000</v>
      </c>
      <c r="E866" s="20">
        <v>2</v>
      </c>
      <c r="F866" s="3" t="s">
        <v>30</v>
      </c>
      <c r="G866" s="3" t="s">
        <v>28</v>
      </c>
      <c r="H866" s="3" t="s">
        <v>20</v>
      </c>
      <c r="I866" s="20">
        <v>2</v>
      </c>
      <c r="J866" s="3" t="s">
        <v>29</v>
      </c>
      <c r="K866" s="3" t="s">
        <v>35</v>
      </c>
      <c r="L866" s="20">
        <v>53</v>
      </c>
      <c r="M866" s="3" t="s">
        <v>17</v>
      </c>
      <c r="N866" s="20" t="str" cm="1">
        <f t="array" ref="N866">_xlfn.IFS(tbl_Clean[[#This Row],[Age]]&lt;=30,"25-30",tbl_Clean[[#This Row],[Age]]&lt;=40,"31-40",tbl_Clean[[#This Row],[Age]]&lt;=50,"41-50",tbl_Clean[[#This Row],[Age]]&lt;=60,"51-60",TRUE,"61+")</f>
        <v>51-60</v>
      </c>
      <c r="O866" s="20">
        <f>_xlfn.XMATCH(tbl_Clean[[#This Row],[Age Band]],{"25-30","31-40","41-50","51-60","61+"})</f>
        <v>4</v>
      </c>
      <c r="P866" s="20" t="str" cm="1">
        <f t="array" ref="P866">_xlfn.IFS(tbl_Clean[[#This Row],[Income]]&lt;=30000,"$10k-30k",tbl_Clean[[#This Row],[Income]]&lt;=60000,"$40k-60k",tbl_Clean[[#This Row],[Income]]&lt;=90000,"$70k-90k",TRUE,"$100k+")</f>
        <v>$10k-30k</v>
      </c>
      <c r="Q866" s="20">
        <f>_xlfn.XMATCH(tbl_Clean[[#This Row],[Income Band]],{"$10k-30k","$40k-60k","$70k-90k","$100k+"})</f>
        <v>1</v>
      </c>
      <c r="R866" s="20" t="str">
        <f>IF(tbl_Clean[[#This Row],[Cars]]&lt;=1,"0-1 Cars","2+ Cars")</f>
        <v>2+ Cars</v>
      </c>
      <c r="S866" s="20">
        <f>_xlfn.XMATCH(tbl_Clean[[#This Row],[Commute Distance]],{"0-1 Miles","1-2 Miles","2-5 Miles","5-10 Miles","10+ Miles"})</f>
        <v>2</v>
      </c>
      <c r="T866" s="20">
        <f>_xlfn.XMATCH(tbl_Clean[[#This Row],[Education]],{"Partial High School","High School","Partial College","Bachelors","Graduate Degree"})</f>
        <v>2</v>
      </c>
      <c r="U866" s="20">
        <f>IF(tbl_Clean[[#This Row],[Purchased Bike]]="Yes",1,0)</f>
        <v>1</v>
      </c>
    </row>
    <row r="867" spans="1:21" x14ac:dyDescent="0.25">
      <c r="A867" s="20">
        <v>22330</v>
      </c>
      <c r="B867" s="3" t="s">
        <v>111</v>
      </c>
      <c r="C867" s="3" t="s">
        <v>113</v>
      </c>
      <c r="D867" s="19">
        <v>50000</v>
      </c>
      <c r="E867" s="20">
        <v>0</v>
      </c>
      <c r="F867" s="3" t="s">
        <v>34</v>
      </c>
      <c r="G867" s="3" t="s">
        <v>16</v>
      </c>
      <c r="H867" s="3" t="s">
        <v>17</v>
      </c>
      <c r="I867" s="20">
        <v>0</v>
      </c>
      <c r="J867" s="3" t="s">
        <v>29</v>
      </c>
      <c r="K867" s="3" t="s">
        <v>35</v>
      </c>
      <c r="L867" s="20">
        <v>32</v>
      </c>
      <c r="M867" s="3" t="s">
        <v>17</v>
      </c>
      <c r="N867" s="20" t="str" cm="1">
        <f t="array" ref="N867">_xlfn.IFS(tbl_Clean[[#This Row],[Age]]&lt;=30,"25-30",tbl_Clean[[#This Row],[Age]]&lt;=40,"31-40",tbl_Clean[[#This Row],[Age]]&lt;=50,"41-50",tbl_Clean[[#This Row],[Age]]&lt;=60,"51-60",TRUE,"61+")</f>
        <v>31-40</v>
      </c>
      <c r="O867" s="20">
        <f>_xlfn.XMATCH(tbl_Clean[[#This Row],[Age Band]],{"25-30","31-40","41-50","51-60","61+"})</f>
        <v>2</v>
      </c>
      <c r="P867" s="20" t="str" cm="1">
        <f t="array" ref="P867">_xlfn.IFS(tbl_Clean[[#This Row],[Income]]&lt;=30000,"$10k-30k",tbl_Clean[[#This Row],[Income]]&lt;=60000,"$40k-60k",tbl_Clean[[#This Row],[Income]]&lt;=90000,"$70k-90k",TRUE,"$100k+")</f>
        <v>$40k-60k</v>
      </c>
      <c r="Q867" s="20">
        <f>_xlfn.XMATCH(tbl_Clean[[#This Row],[Income Band]],{"$10k-30k","$40k-60k","$70k-90k","$100k+"})</f>
        <v>2</v>
      </c>
      <c r="R867" s="20" t="str">
        <f>IF(tbl_Clean[[#This Row],[Cars]]&lt;=1,"0-1 Cars","2+ Cars")</f>
        <v>0-1 Cars</v>
      </c>
      <c r="S867" s="20">
        <f>_xlfn.XMATCH(tbl_Clean[[#This Row],[Commute Distance]],{"0-1 Miles","1-2 Miles","2-5 Miles","5-10 Miles","10+ Miles"})</f>
        <v>2</v>
      </c>
      <c r="T867" s="20">
        <f>_xlfn.XMATCH(tbl_Clean[[#This Row],[Education]],{"Partial High School","High School","Partial College","Bachelors","Graduate Degree"})</f>
        <v>5</v>
      </c>
      <c r="U867" s="20">
        <f>IF(tbl_Clean[[#This Row],[Purchased Bike]]="Yes",1,0)</f>
        <v>1</v>
      </c>
    </row>
    <row r="868" spans="1:21" x14ac:dyDescent="0.25">
      <c r="A868" s="20">
        <v>18783</v>
      </c>
      <c r="B868" s="3" t="s">
        <v>114</v>
      </c>
      <c r="C868" s="3" t="s">
        <v>113</v>
      </c>
      <c r="D868" s="19">
        <v>80000</v>
      </c>
      <c r="E868" s="20">
        <v>0</v>
      </c>
      <c r="F868" s="3" t="s">
        <v>15</v>
      </c>
      <c r="G868" s="3" t="s">
        <v>31</v>
      </c>
      <c r="H868" s="3" t="s">
        <v>20</v>
      </c>
      <c r="I868" s="20">
        <v>1</v>
      </c>
      <c r="J868" s="3" t="s">
        <v>18</v>
      </c>
      <c r="K868" s="3" t="s">
        <v>35</v>
      </c>
      <c r="L868" s="20">
        <v>38</v>
      </c>
      <c r="M868" s="3" t="s">
        <v>17</v>
      </c>
      <c r="N868" s="20" t="str" cm="1">
        <f t="array" ref="N868">_xlfn.IFS(tbl_Clean[[#This Row],[Age]]&lt;=30,"25-30",tbl_Clean[[#This Row],[Age]]&lt;=40,"31-40",tbl_Clean[[#This Row],[Age]]&lt;=50,"41-50",tbl_Clean[[#This Row],[Age]]&lt;=60,"51-60",TRUE,"61+")</f>
        <v>31-40</v>
      </c>
      <c r="O868" s="20">
        <f>_xlfn.XMATCH(tbl_Clean[[#This Row],[Age Band]],{"25-30","31-40","41-50","51-60","61+"})</f>
        <v>2</v>
      </c>
      <c r="P868" s="20" t="str" cm="1">
        <f t="array" ref="P868">_xlfn.IFS(tbl_Clean[[#This Row],[Income]]&lt;=30000,"$10k-30k",tbl_Clean[[#This Row],[Income]]&lt;=60000,"$40k-60k",tbl_Clean[[#This Row],[Income]]&lt;=90000,"$70k-90k",TRUE,"$100k+")</f>
        <v>$70k-90k</v>
      </c>
      <c r="Q868" s="20">
        <f>_xlfn.XMATCH(tbl_Clean[[#This Row],[Income Band]],{"$10k-30k","$40k-60k","$70k-90k","$100k+"})</f>
        <v>3</v>
      </c>
      <c r="R868" s="20" t="str">
        <f>IF(tbl_Clean[[#This Row],[Cars]]&lt;=1,"0-1 Cars","2+ Cars")</f>
        <v>0-1 Cars</v>
      </c>
      <c r="S868" s="20">
        <f>_xlfn.XMATCH(tbl_Clean[[#This Row],[Commute Distance]],{"0-1 Miles","1-2 Miles","2-5 Miles","5-10 Miles","10+ Miles"})</f>
        <v>1</v>
      </c>
      <c r="T868" s="20">
        <f>_xlfn.XMATCH(tbl_Clean[[#This Row],[Education]],{"Partial High School","High School","Partial College","Bachelors","Graduate Degree"})</f>
        <v>4</v>
      </c>
      <c r="U868" s="20">
        <f>IF(tbl_Clean[[#This Row],[Purchased Bike]]="Yes",1,0)</f>
        <v>1</v>
      </c>
    </row>
    <row r="869" spans="1:21" x14ac:dyDescent="0.25">
      <c r="A869" s="20">
        <v>25041</v>
      </c>
      <c r="B869" s="3" t="s">
        <v>114</v>
      </c>
      <c r="C869" s="3" t="s">
        <v>113</v>
      </c>
      <c r="D869" s="19">
        <v>40000</v>
      </c>
      <c r="E869" s="20">
        <v>0</v>
      </c>
      <c r="F869" s="3" t="s">
        <v>30</v>
      </c>
      <c r="G869" s="3" t="s">
        <v>16</v>
      </c>
      <c r="H869" s="3" t="s">
        <v>17</v>
      </c>
      <c r="I869" s="20">
        <v>2</v>
      </c>
      <c r="J869" s="3" t="s">
        <v>26</v>
      </c>
      <c r="K869" s="3" t="s">
        <v>35</v>
      </c>
      <c r="L869" s="20">
        <v>31</v>
      </c>
      <c r="M869" s="3" t="s">
        <v>20</v>
      </c>
      <c r="N869" s="20" t="str" cm="1">
        <f t="array" ref="N869">_xlfn.IFS(tbl_Clean[[#This Row],[Age]]&lt;=30,"25-30",tbl_Clean[[#This Row],[Age]]&lt;=40,"31-40",tbl_Clean[[#This Row],[Age]]&lt;=50,"41-50",tbl_Clean[[#This Row],[Age]]&lt;=60,"51-60",TRUE,"61+")</f>
        <v>31-40</v>
      </c>
      <c r="O869" s="20">
        <f>_xlfn.XMATCH(tbl_Clean[[#This Row],[Age Band]],{"25-30","31-40","41-50","51-60","61+"})</f>
        <v>2</v>
      </c>
      <c r="P869" s="20" t="str" cm="1">
        <f t="array" ref="P869">_xlfn.IFS(tbl_Clean[[#This Row],[Income]]&lt;=30000,"$10k-30k",tbl_Clean[[#This Row],[Income]]&lt;=60000,"$40k-60k",tbl_Clean[[#This Row],[Income]]&lt;=90000,"$70k-90k",TRUE,"$100k+")</f>
        <v>$40k-60k</v>
      </c>
      <c r="Q869" s="20">
        <f>_xlfn.XMATCH(tbl_Clean[[#This Row],[Income Band]],{"$10k-30k","$40k-60k","$70k-90k","$100k+"})</f>
        <v>2</v>
      </c>
      <c r="R869" s="20" t="str">
        <f>IF(tbl_Clean[[#This Row],[Cars]]&lt;=1,"0-1 Cars","2+ Cars")</f>
        <v>2+ Cars</v>
      </c>
      <c r="S869" s="20">
        <f>_xlfn.XMATCH(tbl_Clean[[#This Row],[Commute Distance]],{"0-1 Miles","1-2 Miles","2-5 Miles","5-10 Miles","10+ Miles"})</f>
        <v>4</v>
      </c>
      <c r="T869" s="20">
        <f>_xlfn.XMATCH(tbl_Clean[[#This Row],[Education]],{"Partial High School","High School","Partial College","Bachelors","Graduate Degree"})</f>
        <v>2</v>
      </c>
      <c r="U869" s="20">
        <f>IF(tbl_Clean[[#This Row],[Purchased Bike]]="Yes",1,0)</f>
        <v>0</v>
      </c>
    </row>
    <row r="870" spans="1:21" x14ac:dyDescent="0.25">
      <c r="A870" s="20">
        <v>22046</v>
      </c>
      <c r="B870" s="3" t="s">
        <v>114</v>
      </c>
      <c r="C870" s="3" t="s">
        <v>112</v>
      </c>
      <c r="D870" s="19">
        <v>80000</v>
      </c>
      <c r="E870" s="20">
        <v>0</v>
      </c>
      <c r="F870" s="3" t="s">
        <v>15</v>
      </c>
      <c r="G870" s="3" t="s">
        <v>31</v>
      </c>
      <c r="H870" s="3" t="s">
        <v>20</v>
      </c>
      <c r="I870" s="20">
        <v>1</v>
      </c>
      <c r="J870" s="3" t="s">
        <v>18</v>
      </c>
      <c r="K870" s="3" t="s">
        <v>35</v>
      </c>
      <c r="L870" s="20">
        <v>38</v>
      </c>
      <c r="M870" s="3" t="s">
        <v>17</v>
      </c>
      <c r="N870" s="20" t="str" cm="1">
        <f t="array" ref="N870">_xlfn.IFS(tbl_Clean[[#This Row],[Age]]&lt;=30,"25-30",tbl_Clean[[#This Row],[Age]]&lt;=40,"31-40",tbl_Clean[[#This Row],[Age]]&lt;=50,"41-50",tbl_Clean[[#This Row],[Age]]&lt;=60,"51-60",TRUE,"61+")</f>
        <v>31-40</v>
      </c>
      <c r="O870" s="20">
        <f>_xlfn.XMATCH(tbl_Clean[[#This Row],[Age Band]],{"25-30","31-40","41-50","51-60","61+"})</f>
        <v>2</v>
      </c>
      <c r="P870" s="20" t="str" cm="1">
        <f t="array" ref="P870">_xlfn.IFS(tbl_Clean[[#This Row],[Income]]&lt;=30000,"$10k-30k",tbl_Clean[[#This Row],[Income]]&lt;=60000,"$40k-60k",tbl_Clean[[#This Row],[Income]]&lt;=90000,"$70k-90k",TRUE,"$100k+")</f>
        <v>$70k-90k</v>
      </c>
      <c r="Q870" s="20">
        <f>_xlfn.XMATCH(tbl_Clean[[#This Row],[Income Band]],{"$10k-30k","$40k-60k","$70k-90k","$100k+"})</f>
        <v>3</v>
      </c>
      <c r="R870" s="20" t="str">
        <f>IF(tbl_Clean[[#This Row],[Cars]]&lt;=1,"0-1 Cars","2+ Cars")</f>
        <v>0-1 Cars</v>
      </c>
      <c r="S870" s="20">
        <f>_xlfn.XMATCH(tbl_Clean[[#This Row],[Commute Distance]],{"0-1 Miles","1-2 Miles","2-5 Miles","5-10 Miles","10+ Miles"})</f>
        <v>1</v>
      </c>
      <c r="T870" s="20">
        <f>_xlfn.XMATCH(tbl_Clean[[#This Row],[Education]],{"Partial High School","High School","Partial College","Bachelors","Graduate Degree"})</f>
        <v>4</v>
      </c>
      <c r="U870" s="20">
        <f>IF(tbl_Clean[[#This Row],[Purchased Bike]]="Yes",1,0)</f>
        <v>1</v>
      </c>
    </row>
    <row r="871" spans="1:21" x14ac:dyDescent="0.25">
      <c r="A871" s="20">
        <v>28052</v>
      </c>
      <c r="B871" s="3" t="s">
        <v>111</v>
      </c>
      <c r="C871" s="3" t="s">
        <v>113</v>
      </c>
      <c r="D871" s="19">
        <v>60000</v>
      </c>
      <c r="E871" s="20">
        <v>2</v>
      </c>
      <c r="F871" s="3" t="s">
        <v>30</v>
      </c>
      <c r="G871" s="3" t="s">
        <v>23</v>
      </c>
      <c r="H871" s="3" t="s">
        <v>17</v>
      </c>
      <c r="I871" s="20">
        <v>2</v>
      </c>
      <c r="J871" s="3" t="s">
        <v>33</v>
      </c>
      <c r="K871" s="3" t="s">
        <v>35</v>
      </c>
      <c r="L871" s="20">
        <v>55</v>
      </c>
      <c r="M871" s="3" t="s">
        <v>20</v>
      </c>
      <c r="N871" s="20" t="str" cm="1">
        <f t="array" ref="N871">_xlfn.IFS(tbl_Clean[[#This Row],[Age]]&lt;=30,"25-30",tbl_Clean[[#This Row],[Age]]&lt;=40,"31-40",tbl_Clean[[#This Row],[Age]]&lt;=50,"41-50",tbl_Clean[[#This Row],[Age]]&lt;=60,"51-60",TRUE,"61+")</f>
        <v>51-60</v>
      </c>
      <c r="O871" s="20">
        <f>_xlfn.XMATCH(tbl_Clean[[#This Row],[Age Band]],{"25-30","31-40","41-50","51-60","61+"})</f>
        <v>4</v>
      </c>
      <c r="P871" s="20" t="str" cm="1">
        <f t="array" ref="P871">_xlfn.IFS(tbl_Clean[[#This Row],[Income]]&lt;=30000,"$10k-30k",tbl_Clean[[#This Row],[Income]]&lt;=60000,"$40k-60k",tbl_Clean[[#This Row],[Income]]&lt;=90000,"$70k-90k",TRUE,"$100k+")</f>
        <v>$40k-60k</v>
      </c>
      <c r="Q871" s="20">
        <f>_xlfn.XMATCH(tbl_Clean[[#This Row],[Income Band]],{"$10k-30k","$40k-60k","$70k-90k","$100k+"})</f>
        <v>2</v>
      </c>
      <c r="R871" s="20" t="str">
        <f>IF(tbl_Clean[[#This Row],[Cars]]&lt;=1,"0-1 Cars","2+ Cars")</f>
        <v>2+ Cars</v>
      </c>
      <c r="S871" s="20">
        <f>_xlfn.XMATCH(tbl_Clean[[#This Row],[Commute Distance]],{"0-1 Miles","1-2 Miles","2-5 Miles","5-10 Miles","10+ Miles"})</f>
        <v>5</v>
      </c>
      <c r="T871" s="20">
        <f>_xlfn.XMATCH(tbl_Clean[[#This Row],[Education]],{"Partial High School","High School","Partial College","Bachelors","Graduate Degree"})</f>
        <v>2</v>
      </c>
      <c r="U871" s="20">
        <f>IF(tbl_Clean[[#This Row],[Purchased Bike]]="Yes",1,0)</f>
        <v>0</v>
      </c>
    </row>
    <row r="872" spans="1:21" x14ac:dyDescent="0.25">
      <c r="A872" s="20">
        <v>26693</v>
      </c>
      <c r="B872" s="3" t="s">
        <v>111</v>
      </c>
      <c r="C872" s="3" t="s">
        <v>113</v>
      </c>
      <c r="D872" s="19">
        <v>70000</v>
      </c>
      <c r="E872" s="20">
        <v>3</v>
      </c>
      <c r="F872" s="3" t="s">
        <v>21</v>
      </c>
      <c r="G872" s="3" t="s">
        <v>23</v>
      </c>
      <c r="H872" s="3" t="s">
        <v>17</v>
      </c>
      <c r="I872" s="20">
        <v>1</v>
      </c>
      <c r="J872" s="3" t="s">
        <v>26</v>
      </c>
      <c r="K872" s="3" t="s">
        <v>35</v>
      </c>
      <c r="L872" s="20">
        <v>49</v>
      </c>
      <c r="M872" s="3" t="s">
        <v>20</v>
      </c>
      <c r="N872" s="20" t="str" cm="1">
        <f t="array" ref="N872">_xlfn.IFS(tbl_Clean[[#This Row],[Age]]&lt;=30,"25-30",tbl_Clean[[#This Row],[Age]]&lt;=40,"31-40",tbl_Clean[[#This Row],[Age]]&lt;=50,"41-50",tbl_Clean[[#This Row],[Age]]&lt;=60,"51-60",TRUE,"61+")</f>
        <v>41-50</v>
      </c>
      <c r="O872" s="20">
        <f>_xlfn.XMATCH(tbl_Clean[[#This Row],[Age Band]],{"25-30","31-40","41-50","51-60","61+"})</f>
        <v>3</v>
      </c>
      <c r="P872" s="20" t="str" cm="1">
        <f t="array" ref="P872">_xlfn.IFS(tbl_Clean[[#This Row],[Income]]&lt;=30000,"$10k-30k",tbl_Clean[[#This Row],[Income]]&lt;=60000,"$40k-60k",tbl_Clean[[#This Row],[Income]]&lt;=90000,"$70k-90k",TRUE,"$100k+")</f>
        <v>$70k-90k</v>
      </c>
      <c r="Q872" s="20">
        <f>_xlfn.XMATCH(tbl_Clean[[#This Row],[Income Band]],{"$10k-30k","$40k-60k","$70k-90k","$100k+"})</f>
        <v>3</v>
      </c>
      <c r="R872" s="20" t="str">
        <f>IF(tbl_Clean[[#This Row],[Cars]]&lt;=1,"0-1 Cars","2+ Cars")</f>
        <v>0-1 Cars</v>
      </c>
      <c r="S872" s="20">
        <f>_xlfn.XMATCH(tbl_Clean[[#This Row],[Commute Distance]],{"0-1 Miles","1-2 Miles","2-5 Miles","5-10 Miles","10+ Miles"})</f>
        <v>4</v>
      </c>
      <c r="T872" s="20">
        <f>_xlfn.XMATCH(tbl_Clean[[#This Row],[Education]],{"Partial High School","High School","Partial College","Bachelors","Graduate Degree"})</f>
        <v>3</v>
      </c>
      <c r="U872" s="20">
        <f>IF(tbl_Clean[[#This Row],[Purchased Bike]]="Yes",1,0)</f>
        <v>0</v>
      </c>
    </row>
    <row r="873" spans="1:21" x14ac:dyDescent="0.25">
      <c r="A873" s="20">
        <v>24955</v>
      </c>
      <c r="B873" s="3" t="s">
        <v>114</v>
      </c>
      <c r="C873" s="3" t="s">
        <v>113</v>
      </c>
      <c r="D873" s="19">
        <v>30000</v>
      </c>
      <c r="E873" s="20">
        <v>5</v>
      </c>
      <c r="F873" s="3" t="s">
        <v>32</v>
      </c>
      <c r="G873" s="3" t="s">
        <v>16</v>
      </c>
      <c r="H873" s="3" t="s">
        <v>17</v>
      </c>
      <c r="I873" s="20">
        <v>3</v>
      </c>
      <c r="J873" s="3" t="s">
        <v>33</v>
      </c>
      <c r="K873" s="3" t="s">
        <v>35</v>
      </c>
      <c r="L873" s="20">
        <v>60</v>
      </c>
      <c r="M873" s="3" t="s">
        <v>17</v>
      </c>
      <c r="N873" s="20" t="str" cm="1">
        <f t="array" ref="N873">_xlfn.IFS(tbl_Clean[[#This Row],[Age]]&lt;=30,"25-30",tbl_Clean[[#This Row],[Age]]&lt;=40,"31-40",tbl_Clean[[#This Row],[Age]]&lt;=50,"41-50",tbl_Clean[[#This Row],[Age]]&lt;=60,"51-60",TRUE,"61+")</f>
        <v>51-60</v>
      </c>
      <c r="O873" s="20">
        <f>_xlfn.XMATCH(tbl_Clean[[#This Row],[Age Band]],{"25-30","31-40","41-50","51-60","61+"})</f>
        <v>4</v>
      </c>
      <c r="P873" s="20" t="str" cm="1">
        <f t="array" ref="P873">_xlfn.IFS(tbl_Clean[[#This Row],[Income]]&lt;=30000,"$10k-30k",tbl_Clean[[#This Row],[Income]]&lt;=60000,"$40k-60k",tbl_Clean[[#This Row],[Income]]&lt;=90000,"$70k-90k",TRUE,"$100k+")</f>
        <v>$10k-30k</v>
      </c>
      <c r="Q873" s="20">
        <f>_xlfn.XMATCH(tbl_Clean[[#This Row],[Income Band]],{"$10k-30k","$40k-60k","$70k-90k","$100k+"})</f>
        <v>1</v>
      </c>
      <c r="R873" s="20" t="str">
        <f>IF(tbl_Clean[[#This Row],[Cars]]&lt;=1,"0-1 Cars","2+ Cars")</f>
        <v>2+ Cars</v>
      </c>
      <c r="S873" s="20">
        <f>_xlfn.XMATCH(tbl_Clean[[#This Row],[Commute Distance]],{"0-1 Miles","1-2 Miles","2-5 Miles","5-10 Miles","10+ Miles"})</f>
        <v>5</v>
      </c>
      <c r="T873" s="20">
        <f>_xlfn.XMATCH(tbl_Clean[[#This Row],[Education]],{"Partial High School","High School","Partial College","Bachelors","Graduate Degree"})</f>
        <v>1</v>
      </c>
      <c r="U873" s="20">
        <f>IF(tbl_Clean[[#This Row],[Purchased Bike]]="Yes",1,0)</f>
        <v>1</v>
      </c>
    </row>
    <row r="874" spans="1:21" x14ac:dyDescent="0.25">
      <c r="A874" s="20">
        <v>26065</v>
      </c>
      <c r="B874" s="3" t="s">
        <v>114</v>
      </c>
      <c r="C874" s="3" t="s">
        <v>112</v>
      </c>
      <c r="D874" s="19">
        <v>110000</v>
      </c>
      <c r="E874" s="20">
        <v>3</v>
      </c>
      <c r="F874" s="3" t="s">
        <v>15</v>
      </c>
      <c r="G874" s="3" t="s">
        <v>31</v>
      </c>
      <c r="H874" s="3" t="s">
        <v>20</v>
      </c>
      <c r="I874" s="20">
        <v>4</v>
      </c>
      <c r="J874" s="3" t="s">
        <v>29</v>
      </c>
      <c r="K874" s="3" t="s">
        <v>35</v>
      </c>
      <c r="L874" s="20">
        <v>42</v>
      </c>
      <c r="M874" s="3" t="s">
        <v>20</v>
      </c>
      <c r="N874" s="20" t="str" cm="1">
        <f t="array" ref="N874">_xlfn.IFS(tbl_Clean[[#This Row],[Age]]&lt;=30,"25-30",tbl_Clean[[#This Row],[Age]]&lt;=40,"31-40",tbl_Clean[[#This Row],[Age]]&lt;=50,"41-50",tbl_Clean[[#This Row],[Age]]&lt;=60,"51-60",TRUE,"61+")</f>
        <v>41-50</v>
      </c>
      <c r="O874" s="20">
        <f>_xlfn.XMATCH(tbl_Clean[[#This Row],[Age Band]],{"25-30","31-40","41-50","51-60","61+"})</f>
        <v>3</v>
      </c>
      <c r="P874" s="20" t="str" cm="1">
        <f t="array" ref="P874">_xlfn.IFS(tbl_Clean[[#This Row],[Income]]&lt;=30000,"$10k-30k",tbl_Clean[[#This Row],[Income]]&lt;=60000,"$40k-60k",tbl_Clean[[#This Row],[Income]]&lt;=90000,"$70k-90k",TRUE,"$100k+")</f>
        <v>$100k+</v>
      </c>
      <c r="Q874" s="20">
        <f>_xlfn.XMATCH(tbl_Clean[[#This Row],[Income Band]],{"$10k-30k","$40k-60k","$70k-90k","$100k+"})</f>
        <v>4</v>
      </c>
      <c r="R874" s="20" t="str">
        <f>IF(tbl_Clean[[#This Row],[Cars]]&lt;=1,"0-1 Cars","2+ Cars")</f>
        <v>2+ Cars</v>
      </c>
      <c r="S874" s="20">
        <f>_xlfn.XMATCH(tbl_Clean[[#This Row],[Commute Distance]],{"0-1 Miles","1-2 Miles","2-5 Miles","5-10 Miles","10+ Miles"})</f>
        <v>2</v>
      </c>
      <c r="T874" s="20">
        <f>_xlfn.XMATCH(tbl_Clean[[#This Row],[Education]],{"Partial High School","High School","Partial College","Bachelors","Graduate Degree"})</f>
        <v>4</v>
      </c>
      <c r="U874" s="20">
        <f>IF(tbl_Clean[[#This Row],[Purchased Bike]]="Yes",1,0)</f>
        <v>0</v>
      </c>
    </row>
    <row r="875" spans="1:21" x14ac:dyDescent="0.25">
      <c r="A875" s="20">
        <v>13942</v>
      </c>
      <c r="B875" s="3" t="s">
        <v>111</v>
      </c>
      <c r="C875" s="3" t="s">
        <v>113</v>
      </c>
      <c r="D875" s="19">
        <v>60000</v>
      </c>
      <c r="E875" s="20">
        <v>1</v>
      </c>
      <c r="F875" s="3" t="s">
        <v>21</v>
      </c>
      <c r="G875" s="3" t="s">
        <v>16</v>
      </c>
      <c r="H875" s="3" t="s">
        <v>17</v>
      </c>
      <c r="I875" s="20">
        <v>1</v>
      </c>
      <c r="J875" s="3" t="s">
        <v>18</v>
      </c>
      <c r="K875" s="3" t="s">
        <v>35</v>
      </c>
      <c r="L875" s="20">
        <v>46</v>
      </c>
      <c r="M875" s="3" t="s">
        <v>20</v>
      </c>
      <c r="N875" s="20" t="str" cm="1">
        <f t="array" ref="N875">_xlfn.IFS(tbl_Clean[[#This Row],[Age]]&lt;=30,"25-30",tbl_Clean[[#This Row],[Age]]&lt;=40,"31-40",tbl_Clean[[#This Row],[Age]]&lt;=50,"41-50",tbl_Clean[[#This Row],[Age]]&lt;=60,"51-60",TRUE,"61+")</f>
        <v>41-50</v>
      </c>
      <c r="O875" s="20">
        <f>_xlfn.XMATCH(tbl_Clean[[#This Row],[Age Band]],{"25-30","31-40","41-50","51-60","61+"})</f>
        <v>3</v>
      </c>
      <c r="P875" s="20" t="str" cm="1">
        <f t="array" ref="P875">_xlfn.IFS(tbl_Clean[[#This Row],[Income]]&lt;=30000,"$10k-30k",tbl_Clean[[#This Row],[Income]]&lt;=60000,"$40k-60k",tbl_Clean[[#This Row],[Income]]&lt;=90000,"$70k-90k",TRUE,"$100k+")</f>
        <v>$40k-60k</v>
      </c>
      <c r="Q875" s="20">
        <f>_xlfn.XMATCH(tbl_Clean[[#This Row],[Income Band]],{"$10k-30k","$40k-60k","$70k-90k","$100k+"})</f>
        <v>2</v>
      </c>
      <c r="R875" s="20" t="str">
        <f>IF(tbl_Clean[[#This Row],[Cars]]&lt;=1,"0-1 Cars","2+ Cars")</f>
        <v>0-1 Cars</v>
      </c>
      <c r="S875" s="20">
        <f>_xlfn.XMATCH(tbl_Clean[[#This Row],[Commute Distance]],{"0-1 Miles","1-2 Miles","2-5 Miles","5-10 Miles","10+ Miles"})</f>
        <v>1</v>
      </c>
      <c r="T875" s="20">
        <f>_xlfn.XMATCH(tbl_Clean[[#This Row],[Education]],{"Partial High School","High School","Partial College","Bachelors","Graduate Degree"})</f>
        <v>3</v>
      </c>
      <c r="U875" s="20">
        <f>IF(tbl_Clean[[#This Row],[Purchased Bike]]="Yes",1,0)</f>
        <v>0</v>
      </c>
    </row>
    <row r="876" spans="1:21" x14ac:dyDescent="0.25">
      <c r="A876" s="20">
        <v>11219</v>
      </c>
      <c r="B876" s="3" t="s">
        <v>111</v>
      </c>
      <c r="C876" s="3" t="s">
        <v>113</v>
      </c>
      <c r="D876" s="19">
        <v>60000</v>
      </c>
      <c r="E876" s="20">
        <v>2</v>
      </c>
      <c r="F876" s="3" t="s">
        <v>30</v>
      </c>
      <c r="G876" s="3" t="s">
        <v>23</v>
      </c>
      <c r="H876" s="3" t="s">
        <v>17</v>
      </c>
      <c r="I876" s="20">
        <v>2</v>
      </c>
      <c r="J876" s="3" t="s">
        <v>33</v>
      </c>
      <c r="K876" s="3" t="s">
        <v>35</v>
      </c>
      <c r="L876" s="20">
        <v>55</v>
      </c>
      <c r="M876" s="3" t="s">
        <v>20</v>
      </c>
      <c r="N876" s="20" t="str" cm="1">
        <f t="array" ref="N876">_xlfn.IFS(tbl_Clean[[#This Row],[Age]]&lt;=30,"25-30",tbl_Clean[[#This Row],[Age]]&lt;=40,"31-40",tbl_Clean[[#This Row],[Age]]&lt;=50,"41-50",tbl_Clean[[#This Row],[Age]]&lt;=60,"51-60",TRUE,"61+")</f>
        <v>51-60</v>
      </c>
      <c r="O876" s="20">
        <f>_xlfn.XMATCH(tbl_Clean[[#This Row],[Age Band]],{"25-30","31-40","41-50","51-60","61+"})</f>
        <v>4</v>
      </c>
      <c r="P876" s="20" t="str" cm="1">
        <f t="array" ref="P876">_xlfn.IFS(tbl_Clean[[#This Row],[Income]]&lt;=30000,"$10k-30k",tbl_Clean[[#This Row],[Income]]&lt;=60000,"$40k-60k",tbl_Clean[[#This Row],[Income]]&lt;=90000,"$70k-90k",TRUE,"$100k+")</f>
        <v>$40k-60k</v>
      </c>
      <c r="Q876" s="20">
        <f>_xlfn.XMATCH(tbl_Clean[[#This Row],[Income Band]],{"$10k-30k","$40k-60k","$70k-90k","$100k+"})</f>
        <v>2</v>
      </c>
      <c r="R876" s="20" t="str">
        <f>IF(tbl_Clean[[#This Row],[Cars]]&lt;=1,"0-1 Cars","2+ Cars")</f>
        <v>2+ Cars</v>
      </c>
      <c r="S876" s="20">
        <f>_xlfn.XMATCH(tbl_Clean[[#This Row],[Commute Distance]],{"0-1 Miles","1-2 Miles","2-5 Miles","5-10 Miles","10+ Miles"})</f>
        <v>5</v>
      </c>
      <c r="T876" s="20">
        <f>_xlfn.XMATCH(tbl_Clean[[#This Row],[Education]],{"Partial High School","High School","Partial College","Bachelors","Graduate Degree"})</f>
        <v>2</v>
      </c>
      <c r="U876" s="20">
        <f>IF(tbl_Clean[[#This Row],[Purchased Bike]]="Yes",1,0)</f>
        <v>0</v>
      </c>
    </row>
    <row r="877" spans="1:21" x14ac:dyDescent="0.25">
      <c r="A877" s="20">
        <v>22118</v>
      </c>
      <c r="B877" s="3" t="s">
        <v>114</v>
      </c>
      <c r="C877" s="3" t="s">
        <v>112</v>
      </c>
      <c r="D877" s="19">
        <v>70000</v>
      </c>
      <c r="E877" s="20">
        <v>3</v>
      </c>
      <c r="F877" s="3" t="s">
        <v>34</v>
      </c>
      <c r="G877" s="3" t="s">
        <v>31</v>
      </c>
      <c r="H877" s="3" t="s">
        <v>17</v>
      </c>
      <c r="I877" s="20">
        <v>2</v>
      </c>
      <c r="J877" s="3" t="s">
        <v>26</v>
      </c>
      <c r="K877" s="3" t="s">
        <v>35</v>
      </c>
      <c r="L877" s="20">
        <v>53</v>
      </c>
      <c r="M877" s="3" t="s">
        <v>17</v>
      </c>
      <c r="N877" s="20" t="str" cm="1">
        <f t="array" ref="N877">_xlfn.IFS(tbl_Clean[[#This Row],[Age]]&lt;=30,"25-30",tbl_Clean[[#This Row],[Age]]&lt;=40,"31-40",tbl_Clean[[#This Row],[Age]]&lt;=50,"41-50",tbl_Clean[[#This Row],[Age]]&lt;=60,"51-60",TRUE,"61+")</f>
        <v>51-60</v>
      </c>
      <c r="O877" s="20">
        <f>_xlfn.XMATCH(tbl_Clean[[#This Row],[Age Band]],{"25-30","31-40","41-50","51-60","61+"})</f>
        <v>4</v>
      </c>
      <c r="P877" s="20" t="str" cm="1">
        <f t="array" ref="P877">_xlfn.IFS(tbl_Clean[[#This Row],[Income]]&lt;=30000,"$10k-30k",tbl_Clean[[#This Row],[Income]]&lt;=60000,"$40k-60k",tbl_Clean[[#This Row],[Income]]&lt;=90000,"$70k-90k",TRUE,"$100k+")</f>
        <v>$70k-90k</v>
      </c>
      <c r="Q877" s="20">
        <f>_xlfn.XMATCH(tbl_Clean[[#This Row],[Income Band]],{"$10k-30k","$40k-60k","$70k-90k","$100k+"})</f>
        <v>3</v>
      </c>
      <c r="R877" s="20" t="str">
        <f>IF(tbl_Clean[[#This Row],[Cars]]&lt;=1,"0-1 Cars","2+ Cars")</f>
        <v>2+ Cars</v>
      </c>
      <c r="S877" s="20">
        <f>_xlfn.XMATCH(tbl_Clean[[#This Row],[Commute Distance]],{"0-1 Miles","1-2 Miles","2-5 Miles","5-10 Miles","10+ Miles"})</f>
        <v>4</v>
      </c>
      <c r="T877" s="20">
        <f>_xlfn.XMATCH(tbl_Clean[[#This Row],[Education]],{"Partial High School","High School","Partial College","Bachelors","Graduate Degree"})</f>
        <v>5</v>
      </c>
      <c r="U877" s="20">
        <f>IF(tbl_Clean[[#This Row],[Purchased Bike]]="Yes",1,0)</f>
        <v>1</v>
      </c>
    </row>
    <row r="878" spans="1:21" x14ac:dyDescent="0.25">
      <c r="A878" s="20">
        <v>23197</v>
      </c>
      <c r="B878" s="3" t="s">
        <v>111</v>
      </c>
      <c r="C878" s="3" t="s">
        <v>113</v>
      </c>
      <c r="D878" s="19">
        <v>50000</v>
      </c>
      <c r="E878" s="20">
        <v>3</v>
      </c>
      <c r="F878" s="3" t="s">
        <v>15</v>
      </c>
      <c r="G878" s="3" t="s">
        <v>16</v>
      </c>
      <c r="H878" s="3" t="s">
        <v>17</v>
      </c>
      <c r="I878" s="20">
        <v>2</v>
      </c>
      <c r="J878" s="3" t="s">
        <v>24</v>
      </c>
      <c r="K878" s="3" t="s">
        <v>35</v>
      </c>
      <c r="L878" s="20">
        <v>40</v>
      </c>
      <c r="M878" s="3" t="s">
        <v>20</v>
      </c>
      <c r="N878" s="20" t="str" cm="1">
        <f t="array" ref="N878">_xlfn.IFS(tbl_Clean[[#This Row],[Age]]&lt;=30,"25-30",tbl_Clean[[#This Row],[Age]]&lt;=40,"31-40",tbl_Clean[[#This Row],[Age]]&lt;=50,"41-50",tbl_Clean[[#This Row],[Age]]&lt;=60,"51-60",TRUE,"61+")</f>
        <v>31-40</v>
      </c>
      <c r="O878" s="20">
        <f>_xlfn.XMATCH(tbl_Clean[[#This Row],[Age Band]],{"25-30","31-40","41-50","51-60","61+"})</f>
        <v>2</v>
      </c>
      <c r="P878" s="20" t="str" cm="1">
        <f t="array" ref="P878">_xlfn.IFS(tbl_Clean[[#This Row],[Income]]&lt;=30000,"$10k-30k",tbl_Clean[[#This Row],[Income]]&lt;=60000,"$40k-60k",tbl_Clean[[#This Row],[Income]]&lt;=90000,"$70k-90k",TRUE,"$100k+")</f>
        <v>$40k-60k</v>
      </c>
      <c r="Q878" s="20">
        <f>_xlfn.XMATCH(tbl_Clean[[#This Row],[Income Band]],{"$10k-30k","$40k-60k","$70k-90k","$100k+"})</f>
        <v>2</v>
      </c>
      <c r="R878" s="20" t="str">
        <f>IF(tbl_Clean[[#This Row],[Cars]]&lt;=1,"0-1 Cars","2+ Cars")</f>
        <v>2+ Cars</v>
      </c>
      <c r="S878" s="20">
        <f>_xlfn.XMATCH(tbl_Clean[[#This Row],[Commute Distance]],{"0-1 Miles","1-2 Miles","2-5 Miles","5-10 Miles","10+ Miles"})</f>
        <v>3</v>
      </c>
      <c r="T878" s="20">
        <f>_xlfn.XMATCH(tbl_Clean[[#This Row],[Education]],{"Partial High School","High School","Partial College","Bachelors","Graduate Degree"})</f>
        <v>4</v>
      </c>
      <c r="U878" s="20">
        <f>IF(tbl_Clean[[#This Row],[Purchased Bike]]="Yes",1,0)</f>
        <v>0</v>
      </c>
    </row>
    <row r="879" spans="1:21" x14ac:dyDescent="0.25">
      <c r="A879" s="20">
        <v>14883</v>
      </c>
      <c r="B879" s="3" t="s">
        <v>111</v>
      </c>
      <c r="C879" s="3" t="s">
        <v>112</v>
      </c>
      <c r="D879" s="19">
        <v>30000</v>
      </c>
      <c r="E879" s="20">
        <v>1</v>
      </c>
      <c r="F879" s="3" t="s">
        <v>15</v>
      </c>
      <c r="G879" s="3" t="s">
        <v>16</v>
      </c>
      <c r="H879" s="3" t="s">
        <v>17</v>
      </c>
      <c r="I879" s="20">
        <v>1</v>
      </c>
      <c r="J879" s="3" t="s">
        <v>26</v>
      </c>
      <c r="K879" s="3" t="s">
        <v>35</v>
      </c>
      <c r="L879" s="20">
        <v>53</v>
      </c>
      <c r="M879" s="3" t="s">
        <v>17</v>
      </c>
      <c r="N879" s="20" t="str" cm="1">
        <f t="array" ref="N879">_xlfn.IFS(tbl_Clean[[#This Row],[Age]]&lt;=30,"25-30",tbl_Clean[[#This Row],[Age]]&lt;=40,"31-40",tbl_Clean[[#This Row],[Age]]&lt;=50,"41-50",tbl_Clean[[#This Row],[Age]]&lt;=60,"51-60",TRUE,"61+")</f>
        <v>51-60</v>
      </c>
      <c r="O879" s="20">
        <f>_xlfn.XMATCH(tbl_Clean[[#This Row],[Age Band]],{"25-30","31-40","41-50","51-60","61+"})</f>
        <v>4</v>
      </c>
      <c r="P879" s="20" t="str" cm="1">
        <f t="array" ref="P879">_xlfn.IFS(tbl_Clean[[#This Row],[Income]]&lt;=30000,"$10k-30k",tbl_Clean[[#This Row],[Income]]&lt;=60000,"$40k-60k",tbl_Clean[[#This Row],[Income]]&lt;=90000,"$70k-90k",TRUE,"$100k+")</f>
        <v>$10k-30k</v>
      </c>
      <c r="Q879" s="20">
        <f>_xlfn.XMATCH(tbl_Clean[[#This Row],[Income Band]],{"$10k-30k","$40k-60k","$70k-90k","$100k+"})</f>
        <v>1</v>
      </c>
      <c r="R879" s="20" t="str">
        <f>IF(tbl_Clean[[#This Row],[Cars]]&lt;=1,"0-1 Cars","2+ Cars")</f>
        <v>0-1 Cars</v>
      </c>
      <c r="S879" s="20">
        <f>_xlfn.XMATCH(tbl_Clean[[#This Row],[Commute Distance]],{"0-1 Miles","1-2 Miles","2-5 Miles","5-10 Miles","10+ Miles"})</f>
        <v>4</v>
      </c>
      <c r="T879" s="20">
        <f>_xlfn.XMATCH(tbl_Clean[[#This Row],[Education]],{"Partial High School","High School","Partial College","Bachelors","Graduate Degree"})</f>
        <v>4</v>
      </c>
      <c r="U879" s="20">
        <f>IF(tbl_Clean[[#This Row],[Purchased Bike]]="Yes",1,0)</f>
        <v>1</v>
      </c>
    </row>
    <row r="880" spans="1:21" x14ac:dyDescent="0.25">
      <c r="A880" s="20">
        <v>27279</v>
      </c>
      <c r="B880" s="3" t="s">
        <v>114</v>
      </c>
      <c r="C880" s="3" t="s">
        <v>112</v>
      </c>
      <c r="D880" s="19">
        <v>70000</v>
      </c>
      <c r="E880" s="20">
        <v>2</v>
      </c>
      <c r="F880" s="3" t="s">
        <v>15</v>
      </c>
      <c r="G880" s="3" t="s">
        <v>16</v>
      </c>
      <c r="H880" s="3" t="s">
        <v>17</v>
      </c>
      <c r="I880" s="20">
        <v>0</v>
      </c>
      <c r="J880" s="3" t="s">
        <v>24</v>
      </c>
      <c r="K880" s="3" t="s">
        <v>35</v>
      </c>
      <c r="L880" s="20">
        <v>38</v>
      </c>
      <c r="M880" s="3" t="s">
        <v>17</v>
      </c>
      <c r="N880" s="20" t="str" cm="1">
        <f t="array" ref="N880">_xlfn.IFS(tbl_Clean[[#This Row],[Age]]&lt;=30,"25-30",tbl_Clean[[#This Row],[Age]]&lt;=40,"31-40",tbl_Clean[[#This Row],[Age]]&lt;=50,"41-50",tbl_Clean[[#This Row],[Age]]&lt;=60,"51-60",TRUE,"61+")</f>
        <v>31-40</v>
      </c>
      <c r="O880" s="20">
        <f>_xlfn.XMATCH(tbl_Clean[[#This Row],[Age Band]],{"25-30","31-40","41-50","51-60","61+"})</f>
        <v>2</v>
      </c>
      <c r="P880" s="20" t="str" cm="1">
        <f t="array" ref="P880">_xlfn.IFS(tbl_Clean[[#This Row],[Income]]&lt;=30000,"$10k-30k",tbl_Clean[[#This Row],[Income]]&lt;=60000,"$40k-60k",tbl_Clean[[#This Row],[Income]]&lt;=90000,"$70k-90k",TRUE,"$100k+")</f>
        <v>$70k-90k</v>
      </c>
      <c r="Q880" s="20">
        <f>_xlfn.XMATCH(tbl_Clean[[#This Row],[Income Band]],{"$10k-30k","$40k-60k","$70k-90k","$100k+"})</f>
        <v>3</v>
      </c>
      <c r="R880" s="20" t="str">
        <f>IF(tbl_Clean[[#This Row],[Cars]]&lt;=1,"0-1 Cars","2+ Cars")</f>
        <v>0-1 Cars</v>
      </c>
      <c r="S880" s="20">
        <f>_xlfn.XMATCH(tbl_Clean[[#This Row],[Commute Distance]],{"0-1 Miles","1-2 Miles","2-5 Miles","5-10 Miles","10+ Miles"})</f>
        <v>3</v>
      </c>
      <c r="T880" s="20">
        <f>_xlfn.XMATCH(tbl_Clean[[#This Row],[Education]],{"Partial High School","High School","Partial College","Bachelors","Graduate Degree"})</f>
        <v>4</v>
      </c>
      <c r="U880" s="20">
        <f>IF(tbl_Clean[[#This Row],[Purchased Bike]]="Yes",1,0)</f>
        <v>1</v>
      </c>
    </row>
    <row r="881" spans="1:21" x14ac:dyDescent="0.25">
      <c r="A881" s="20">
        <v>18322</v>
      </c>
      <c r="B881" s="3" t="s">
        <v>114</v>
      </c>
      <c r="C881" s="3" t="s">
        <v>113</v>
      </c>
      <c r="D881" s="19">
        <v>30000</v>
      </c>
      <c r="E881" s="20">
        <v>0</v>
      </c>
      <c r="F881" s="3" t="s">
        <v>32</v>
      </c>
      <c r="G881" s="3" t="s">
        <v>22</v>
      </c>
      <c r="H881" s="3" t="s">
        <v>20</v>
      </c>
      <c r="I881" s="20">
        <v>2</v>
      </c>
      <c r="J881" s="3" t="s">
        <v>18</v>
      </c>
      <c r="K881" s="3" t="s">
        <v>35</v>
      </c>
      <c r="L881" s="20">
        <v>26</v>
      </c>
      <c r="M881" s="3" t="s">
        <v>20</v>
      </c>
      <c r="N881" s="20" t="str" cm="1">
        <f t="array" ref="N881">_xlfn.IFS(tbl_Clean[[#This Row],[Age]]&lt;=30,"25-30",tbl_Clean[[#This Row],[Age]]&lt;=40,"31-40",tbl_Clean[[#This Row],[Age]]&lt;=50,"41-50",tbl_Clean[[#This Row],[Age]]&lt;=60,"51-60",TRUE,"61+")</f>
        <v>25-30</v>
      </c>
      <c r="O881" s="20">
        <f>_xlfn.XMATCH(tbl_Clean[[#This Row],[Age Band]],{"25-30","31-40","41-50","51-60","61+"})</f>
        <v>1</v>
      </c>
      <c r="P881" s="20" t="str" cm="1">
        <f t="array" ref="P881">_xlfn.IFS(tbl_Clean[[#This Row],[Income]]&lt;=30000,"$10k-30k",tbl_Clean[[#This Row],[Income]]&lt;=60000,"$40k-60k",tbl_Clean[[#This Row],[Income]]&lt;=90000,"$70k-90k",TRUE,"$100k+")</f>
        <v>$10k-30k</v>
      </c>
      <c r="Q881" s="20">
        <f>_xlfn.XMATCH(tbl_Clean[[#This Row],[Income Band]],{"$10k-30k","$40k-60k","$70k-90k","$100k+"})</f>
        <v>1</v>
      </c>
      <c r="R881" s="20" t="str">
        <f>IF(tbl_Clean[[#This Row],[Cars]]&lt;=1,"0-1 Cars","2+ Cars")</f>
        <v>2+ Cars</v>
      </c>
      <c r="S881" s="20">
        <f>_xlfn.XMATCH(tbl_Clean[[#This Row],[Commute Distance]],{"0-1 Miles","1-2 Miles","2-5 Miles","5-10 Miles","10+ Miles"})</f>
        <v>1</v>
      </c>
      <c r="T881" s="20">
        <f>_xlfn.XMATCH(tbl_Clean[[#This Row],[Education]],{"Partial High School","High School","Partial College","Bachelors","Graduate Degree"})</f>
        <v>1</v>
      </c>
      <c r="U881" s="20">
        <f>IF(tbl_Clean[[#This Row],[Purchased Bike]]="Yes",1,0)</f>
        <v>0</v>
      </c>
    </row>
    <row r="882" spans="1:21" x14ac:dyDescent="0.25">
      <c r="A882" s="20">
        <v>15879</v>
      </c>
      <c r="B882" s="3" t="s">
        <v>111</v>
      </c>
      <c r="C882" s="3" t="s">
        <v>113</v>
      </c>
      <c r="D882" s="19">
        <v>70000</v>
      </c>
      <c r="E882" s="20">
        <v>5</v>
      </c>
      <c r="F882" s="3" t="s">
        <v>15</v>
      </c>
      <c r="G882" s="3" t="s">
        <v>31</v>
      </c>
      <c r="H882" s="3" t="s">
        <v>17</v>
      </c>
      <c r="I882" s="20">
        <v>2</v>
      </c>
      <c r="J882" s="3" t="s">
        <v>24</v>
      </c>
      <c r="K882" s="3" t="s">
        <v>35</v>
      </c>
      <c r="L882" s="20">
        <v>61</v>
      </c>
      <c r="M882" s="3" t="s">
        <v>20</v>
      </c>
      <c r="N882" s="20" t="str" cm="1">
        <f t="array" ref="N882">_xlfn.IFS(tbl_Clean[[#This Row],[Age]]&lt;=30,"25-30",tbl_Clean[[#This Row],[Age]]&lt;=40,"31-40",tbl_Clean[[#This Row],[Age]]&lt;=50,"41-50",tbl_Clean[[#This Row],[Age]]&lt;=60,"51-60",TRUE,"61+")</f>
        <v>61+</v>
      </c>
      <c r="O882" s="20">
        <f>_xlfn.XMATCH(tbl_Clean[[#This Row],[Age Band]],{"25-30","31-40","41-50","51-60","61+"})</f>
        <v>5</v>
      </c>
      <c r="P882" s="20" t="str" cm="1">
        <f t="array" ref="P882">_xlfn.IFS(tbl_Clean[[#This Row],[Income]]&lt;=30000,"$10k-30k",tbl_Clean[[#This Row],[Income]]&lt;=60000,"$40k-60k",tbl_Clean[[#This Row],[Income]]&lt;=90000,"$70k-90k",TRUE,"$100k+")</f>
        <v>$70k-90k</v>
      </c>
      <c r="Q882" s="20">
        <f>_xlfn.XMATCH(tbl_Clean[[#This Row],[Income Band]],{"$10k-30k","$40k-60k","$70k-90k","$100k+"})</f>
        <v>3</v>
      </c>
      <c r="R882" s="20" t="str">
        <f>IF(tbl_Clean[[#This Row],[Cars]]&lt;=1,"0-1 Cars","2+ Cars")</f>
        <v>2+ Cars</v>
      </c>
      <c r="S882" s="20">
        <f>_xlfn.XMATCH(tbl_Clean[[#This Row],[Commute Distance]],{"0-1 Miles","1-2 Miles","2-5 Miles","5-10 Miles","10+ Miles"})</f>
        <v>3</v>
      </c>
      <c r="T882" s="20">
        <f>_xlfn.XMATCH(tbl_Clean[[#This Row],[Education]],{"Partial High School","High School","Partial College","Bachelors","Graduate Degree"})</f>
        <v>4</v>
      </c>
      <c r="U882" s="20">
        <f>IF(tbl_Clean[[#This Row],[Purchased Bike]]="Yes",1,0)</f>
        <v>0</v>
      </c>
    </row>
    <row r="883" spans="1:21" x14ac:dyDescent="0.25">
      <c r="A883" s="20">
        <v>28278</v>
      </c>
      <c r="B883" s="3" t="s">
        <v>111</v>
      </c>
      <c r="C883" s="3" t="s">
        <v>113</v>
      </c>
      <c r="D883" s="19">
        <v>50000</v>
      </c>
      <c r="E883" s="20">
        <v>2</v>
      </c>
      <c r="F883" s="3" t="s">
        <v>34</v>
      </c>
      <c r="G883" s="3" t="s">
        <v>31</v>
      </c>
      <c r="H883" s="3" t="s">
        <v>17</v>
      </c>
      <c r="I883" s="20">
        <v>2</v>
      </c>
      <c r="J883" s="3" t="s">
        <v>26</v>
      </c>
      <c r="K883" s="3" t="s">
        <v>35</v>
      </c>
      <c r="L883" s="20">
        <v>71</v>
      </c>
      <c r="M883" s="3" t="s">
        <v>20</v>
      </c>
      <c r="N883" s="20" t="str" cm="1">
        <f t="array" ref="N883">_xlfn.IFS(tbl_Clean[[#This Row],[Age]]&lt;=30,"25-30",tbl_Clean[[#This Row],[Age]]&lt;=40,"31-40",tbl_Clean[[#This Row],[Age]]&lt;=50,"41-50",tbl_Clean[[#This Row],[Age]]&lt;=60,"51-60",TRUE,"61+")</f>
        <v>61+</v>
      </c>
      <c r="O883" s="20">
        <f>_xlfn.XMATCH(tbl_Clean[[#This Row],[Age Band]],{"25-30","31-40","41-50","51-60","61+"})</f>
        <v>5</v>
      </c>
      <c r="P883" s="20" t="str" cm="1">
        <f t="array" ref="P883">_xlfn.IFS(tbl_Clean[[#This Row],[Income]]&lt;=30000,"$10k-30k",tbl_Clean[[#This Row],[Income]]&lt;=60000,"$40k-60k",tbl_Clean[[#This Row],[Income]]&lt;=90000,"$70k-90k",TRUE,"$100k+")</f>
        <v>$40k-60k</v>
      </c>
      <c r="Q883" s="20">
        <f>_xlfn.XMATCH(tbl_Clean[[#This Row],[Income Band]],{"$10k-30k","$40k-60k","$70k-90k","$100k+"})</f>
        <v>2</v>
      </c>
      <c r="R883" s="20" t="str">
        <f>IF(tbl_Clean[[#This Row],[Cars]]&lt;=1,"0-1 Cars","2+ Cars")</f>
        <v>2+ Cars</v>
      </c>
      <c r="S883" s="20">
        <f>_xlfn.XMATCH(tbl_Clean[[#This Row],[Commute Distance]],{"0-1 Miles","1-2 Miles","2-5 Miles","5-10 Miles","10+ Miles"})</f>
        <v>4</v>
      </c>
      <c r="T883" s="20">
        <f>_xlfn.XMATCH(tbl_Clean[[#This Row],[Education]],{"Partial High School","High School","Partial College","Bachelors","Graduate Degree"})</f>
        <v>5</v>
      </c>
      <c r="U883" s="20">
        <f>IF(tbl_Clean[[#This Row],[Purchased Bike]]="Yes",1,0)</f>
        <v>0</v>
      </c>
    </row>
    <row r="884" spans="1:21" x14ac:dyDescent="0.25">
      <c r="A884" s="20">
        <v>24416</v>
      </c>
      <c r="B884" s="3" t="s">
        <v>111</v>
      </c>
      <c r="C884" s="3" t="s">
        <v>113</v>
      </c>
      <c r="D884" s="19">
        <v>90000</v>
      </c>
      <c r="E884" s="20">
        <v>4</v>
      </c>
      <c r="F884" s="3" t="s">
        <v>30</v>
      </c>
      <c r="G884" s="3" t="s">
        <v>23</v>
      </c>
      <c r="H884" s="3" t="s">
        <v>17</v>
      </c>
      <c r="I884" s="20">
        <v>2</v>
      </c>
      <c r="J884" s="3" t="s">
        <v>29</v>
      </c>
      <c r="K884" s="3" t="s">
        <v>35</v>
      </c>
      <c r="L884" s="20">
        <v>45</v>
      </c>
      <c r="M884" s="3" t="s">
        <v>20</v>
      </c>
      <c r="N884" s="20" t="str" cm="1">
        <f t="array" ref="N884">_xlfn.IFS(tbl_Clean[[#This Row],[Age]]&lt;=30,"25-30",tbl_Clean[[#This Row],[Age]]&lt;=40,"31-40",tbl_Clean[[#This Row],[Age]]&lt;=50,"41-50",tbl_Clean[[#This Row],[Age]]&lt;=60,"51-60",TRUE,"61+")</f>
        <v>41-50</v>
      </c>
      <c r="O884" s="20">
        <f>_xlfn.XMATCH(tbl_Clean[[#This Row],[Age Band]],{"25-30","31-40","41-50","51-60","61+"})</f>
        <v>3</v>
      </c>
      <c r="P884" s="20" t="str" cm="1">
        <f t="array" ref="P884">_xlfn.IFS(tbl_Clean[[#This Row],[Income]]&lt;=30000,"$10k-30k",tbl_Clean[[#This Row],[Income]]&lt;=60000,"$40k-60k",tbl_Clean[[#This Row],[Income]]&lt;=90000,"$70k-90k",TRUE,"$100k+")</f>
        <v>$70k-90k</v>
      </c>
      <c r="Q884" s="20">
        <f>_xlfn.XMATCH(tbl_Clean[[#This Row],[Income Band]],{"$10k-30k","$40k-60k","$70k-90k","$100k+"})</f>
        <v>3</v>
      </c>
      <c r="R884" s="20" t="str">
        <f>IF(tbl_Clean[[#This Row],[Cars]]&lt;=1,"0-1 Cars","2+ Cars")</f>
        <v>2+ Cars</v>
      </c>
      <c r="S884" s="20">
        <f>_xlfn.XMATCH(tbl_Clean[[#This Row],[Commute Distance]],{"0-1 Miles","1-2 Miles","2-5 Miles","5-10 Miles","10+ Miles"})</f>
        <v>2</v>
      </c>
      <c r="T884" s="20">
        <f>_xlfn.XMATCH(tbl_Clean[[#This Row],[Education]],{"Partial High School","High School","Partial College","Bachelors","Graduate Degree"})</f>
        <v>2</v>
      </c>
      <c r="U884" s="20">
        <f>IF(tbl_Clean[[#This Row],[Purchased Bike]]="Yes",1,0)</f>
        <v>0</v>
      </c>
    </row>
    <row r="885" spans="1:21" x14ac:dyDescent="0.25">
      <c r="A885" s="20">
        <v>28066</v>
      </c>
      <c r="B885" s="3" t="s">
        <v>111</v>
      </c>
      <c r="C885" s="3" t="s">
        <v>113</v>
      </c>
      <c r="D885" s="19">
        <v>80000</v>
      </c>
      <c r="E885" s="20">
        <v>2</v>
      </c>
      <c r="F885" s="3" t="s">
        <v>34</v>
      </c>
      <c r="G885" s="3" t="s">
        <v>23</v>
      </c>
      <c r="H885" s="3" t="s">
        <v>17</v>
      </c>
      <c r="I885" s="20">
        <v>0</v>
      </c>
      <c r="J885" s="3" t="s">
        <v>18</v>
      </c>
      <c r="K885" s="3" t="s">
        <v>35</v>
      </c>
      <c r="L885" s="20">
        <v>37</v>
      </c>
      <c r="M885" s="3" t="s">
        <v>17</v>
      </c>
      <c r="N885" s="20" t="str" cm="1">
        <f t="array" ref="N885">_xlfn.IFS(tbl_Clean[[#This Row],[Age]]&lt;=30,"25-30",tbl_Clean[[#This Row],[Age]]&lt;=40,"31-40",tbl_Clean[[#This Row],[Age]]&lt;=50,"41-50",tbl_Clean[[#This Row],[Age]]&lt;=60,"51-60",TRUE,"61+")</f>
        <v>31-40</v>
      </c>
      <c r="O885" s="20">
        <f>_xlfn.XMATCH(tbl_Clean[[#This Row],[Age Band]],{"25-30","31-40","41-50","51-60","61+"})</f>
        <v>2</v>
      </c>
      <c r="P885" s="20" t="str" cm="1">
        <f t="array" ref="P885">_xlfn.IFS(tbl_Clean[[#This Row],[Income]]&lt;=30000,"$10k-30k",tbl_Clean[[#This Row],[Income]]&lt;=60000,"$40k-60k",tbl_Clean[[#This Row],[Income]]&lt;=90000,"$70k-90k",TRUE,"$100k+")</f>
        <v>$70k-90k</v>
      </c>
      <c r="Q885" s="20">
        <f>_xlfn.XMATCH(tbl_Clean[[#This Row],[Income Band]],{"$10k-30k","$40k-60k","$70k-90k","$100k+"})</f>
        <v>3</v>
      </c>
      <c r="R885" s="20" t="str">
        <f>IF(tbl_Clean[[#This Row],[Cars]]&lt;=1,"0-1 Cars","2+ Cars")</f>
        <v>0-1 Cars</v>
      </c>
      <c r="S885" s="20">
        <f>_xlfn.XMATCH(tbl_Clean[[#This Row],[Commute Distance]],{"0-1 Miles","1-2 Miles","2-5 Miles","5-10 Miles","10+ Miles"})</f>
        <v>1</v>
      </c>
      <c r="T885" s="20">
        <f>_xlfn.XMATCH(tbl_Clean[[#This Row],[Education]],{"Partial High School","High School","Partial College","Bachelors","Graduate Degree"})</f>
        <v>5</v>
      </c>
      <c r="U885" s="20">
        <f>IF(tbl_Clean[[#This Row],[Purchased Bike]]="Yes",1,0)</f>
        <v>1</v>
      </c>
    </row>
    <row r="886" spans="1:21" x14ac:dyDescent="0.25">
      <c r="A886" s="20">
        <v>11275</v>
      </c>
      <c r="B886" s="3" t="s">
        <v>111</v>
      </c>
      <c r="C886" s="3" t="s">
        <v>112</v>
      </c>
      <c r="D886" s="19">
        <v>80000</v>
      </c>
      <c r="E886" s="20">
        <v>4</v>
      </c>
      <c r="F886" s="3" t="s">
        <v>34</v>
      </c>
      <c r="G886" s="3" t="s">
        <v>31</v>
      </c>
      <c r="H886" s="3" t="s">
        <v>17</v>
      </c>
      <c r="I886" s="20">
        <v>2</v>
      </c>
      <c r="J886" s="3" t="s">
        <v>18</v>
      </c>
      <c r="K886" s="3" t="s">
        <v>35</v>
      </c>
      <c r="L886" s="20">
        <v>72</v>
      </c>
      <c r="M886" s="3" t="s">
        <v>17</v>
      </c>
      <c r="N886" s="20" t="str" cm="1">
        <f t="array" ref="N886">_xlfn.IFS(tbl_Clean[[#This Row],[Age]]&lt;=30,"25-30",tbl_Clean[[#This Row],[Age]]&lt;=40,"31-40",tbl_Clean[[#This Row],[Age]]&lt;=50,"41-50",tbl_Clean[[#This Row],[Age]]&lt;=60,"51-60",TRUE,"61+")</f>
        <v>61+</v>
      </c>
      <c r="O886" s="20">
        <f>_xlfn.XMATCH(tbl_Clean[[#This Row],[Age Band]],{"25-30","31-40","41-50","51-60","61+"})</f>
        <v>5</v>
      </c>
      <c r="P886" s="20" t="str" cm="1">
        <f t="array" ref="P886">_xlfn.IFS(tbl_Clean[[#This Row],[Income]]&lt;=30000,"$10k-30k",tbl_Clean[[#This Row],[Income]]&lt;=60000,"$40k-60k",tbl_Clean[[#This Row],[Income]]&lt;=90000,"$70k-90k",TRUE,"$100k+")</f>
        <v>$70k-90k</v>
      </c>
      <c r="Q886" s="20">
        <f>_xlfn.XMATCH(tbl_Clean[[#This Row],[Income Band]],{"$10k-30k","$40k-60k","$70k-90k","$100k+"})</f>
        <v>3</v>
      </c>
      <c r="R886" s="20" t="str">
        <f>IF(tbl_Clean[[#This Row],[Cars]]&lt;=1,"0-1 Cars","2+ Cars")</f>
        <v>2+ Cars</v>
      </c>
      <c r="S886" s="20">
        <f>_xlfn.XMATCH(tbl_Clean[[#This Row],[Commute Distance]],{"0-1 Miles","1-2 Miles","2-5 Miles","5-10 Miles","10+ Miles"})</f>
        <v>1</v>
      </c>
      <c r="T886" s="20">
        <f>_xlfn.XMATCH(tbl_Clean[[#This Row],[Education]],{"Partial High School","High School","Partial College","Bachelors","Graduate Degree"})</f>
        <v>5</v>
      </c>
      <c r="U886" s="20">
        <f>IF(tbl_Clean[[#This Row],[Purchased Bike]]="Yes",1,0)</f>
        <v>1</v>
      </c>
    </row>
    <row r="887" spans="1:21" x14ac:dyDescent="0.25">
      <c r="A887" s="20">
        <v>14872</v>
      </c>
      <c r="B887" s="3" t="s">
        <v>111</v>
      </c>
      <c r="C887" s="3" t="s">
        <v>113</v>
      </c>
      <c r="D887" s="19">
        <v>30000</v>
      </c>
      <c r="E887" s="20">
        <v>0</v>
      </c>
      <c r="F887" s="3" t="s">
        <v>34</v>
      </c>
      <c r="G887" s="3" t="s">
        <v>16</v>
      </c>
      <c r="H887" s="3" t="s">
        <v>17</v>
      </c>
      <c r="I887" s="20">
        <v>0</v>
      </c>
      <c r="J887" s="3" t="s">
        <v>18</v>
      </c>
      <c r="K887" s="3" t="s">
        <v>35</v>
      </c>
      <c r="L887" s="20">
        <v>32</v>
      </c>
      <c r="M887" s="3" t="s">
        <v>20</v>
      </c>
      <c r="N887" s="20" t="str" cm="1">
        <f t="array" ref="N887">_xlfn.IFS(tbl_Clean[[#This Row],[Age]]&lt;=30,"25-30",tbl_Clean[[#This Row],[Age]]&lt;=40,"31-40",tbl_Clean[[#This Row],[Age]]&lt;=50,"41-50",tbl_Clean[[#This Row],[Age]]&lt;=60,"51-60",TRUE,"61+")</f>
        <v>31-40</v>
      </c>
      <c r="O887" s="20">
        <f>_xlfn.XMATCH(tbl_Clean[[#This Row],[Age Band]],{"25-30","31-40","41-50","51-60","61+"})</f>
        <v>2</v>
      </c>
      <c r="P887" s="20" t="str" cm="1">
        <f t="array" ref="P887">_xlfn.IFS(tbl_Clean[[#This Row],[Income]]&lt;=30000,"$10k-30k",tbl_Clean[[#This Row],[Income]]&lt;=60000,"$40k-60k",tbl_Clean[[#This Row],[Income]]&lt;=90000,"$70k-90k",TRUE,"$100k+")</f>
        <v>$10k-30k</v>
      </c>
      <c r="Q887" s="20">
        <f>_xlfn.XMATCH(tbl_Clean[[#This Row],[Income Band]],{"$10k-30k","$40k-60k","$70k-90k","$100k+"})</f>
        <v>1</v>
      </c>
      <c r="R887" s="20" t="str">
        <f>IF(tbl_Clean[[#This Row],[Cars]]&lt;=1,"0-1 Cars","2+ Cars")</f>
        <v>0-1 Cars</v>
      </c>
      <c r="S887" s="20">
        <f>_xlfn.XMATCH(tbl_Clean[[#This Row],[Commute Distance]],{"0-1 Miles","1-2 Miles","2-5 Miles","5-10 Miles","10+ Miles"})</f>
        <v>1</v>
      </c>
      <c r="T887" s="20">
        <f>_xlfn.XMATCH(tbl_Clean[[#This Row],[Education]],{"Partial High School","High School","Partial College","Bachelors","Graduate Degree"})</f>
        <v>5</v>
      </c>
      <c r="U887" s="20">
        <f>IF(tbl_Clean[[#This Row],[Purchased Bike]]="Yes",1,0)</f>
        <v>0</v>
      </c>
    </row>
    <row r="888" spans="1:21" x14ac:dyDescent="0.25">
      <c r="A888" s="20">
        <v>16151</v>
      </c>
      <c r="B888" s="3" t="s">
        <v>111</v>
      </c>
      <c r="C888" s="3" t="s">
        <v>112</v>
      </c>
      <c r="D888" s="19">
        <v>60000</v>
      </c>
      <c r="E888" s="20">
        <v>1</v>
      </c>
      <c r="F888" s="3" t="s">
        <v>15</v>
      </c>
      <c r="G888" s="3" t="s">
        <v>23</v>
      </c>
      <c r="H888" s="3" t="s">
        <v>17</v>
      </c>
      <c r="I888" s="20">
        <v>1</v>
      </c>
      <c r="J888" s="3" t="s">
        <v>24</v>
      </c>
      <c r="K888" s="3" t="s">
        <v>35</v>
      </c>
      <c r="L888" s="20">
        <v>48</v>
      </c>
      <c r="M888" s="3" t="s">
        <v>17</v>
      </c>
      <c r="N888" s="20" t="str" cm="1">
        <f t="array" ref="N888">_xlfn.IFS(tbl_Clean[[#This Row],[Age]]&lt;=30,"25-30",tbl_Clean[[#This Row],[Age]]&lt;=40,"31-40",tbl_Clean[[#This Row],[Age]]&lt;=50,"41-50",tbl_Clean[[#This Row],[Age]]&lt;=60,"51-60",TRUE,"61+")</f>
        <v>41-50</v>
      </c>
      <c r="O888" s="20">
        <f>_xlfn.XMATCH(tbl_Clean[[#This Row],[Age Band]],{"25-30","31-40","41-50","51-60","61+"})</f>
        <v>3</v>
      </c>
      <c r="P888" s="20" t="str" cm="1">
        <f t="array" ref="P888">_xlfn.IFS(tbl_Clean[[#This Row],[Income]]&lt;=30000,"$10k-30k",tbl_Clean[[#This Row],[Income]]&lt;=60000,"$40k-60k",tbl_Clean[[#This Row],[Income]]&lt;=90000,"$70k-90k",TRUE,"$100k+")</f>
        <v>$40k-60k</v>
      </c>
      <c r="Q888" s="20">
        <f>_xlfn.XMATCH(tbl_Clean[[#This Row],[Income Band]],{"$10k-30k","$40k-60k","$70k-90k","$100k+"})</f>
        <v>2</v>
      </c>
      <c r="R888" s="20" t="str">
        <f>IF(tbl_Clean[[#This Row],[Cars]]&lt;=1,"0-1 Cars","2+ Cars")</f>
        <v>0-1 Cars</v>
      </c>
      <c r="S888" s="20">
        <f>_xlfn.XMATCH(tbl_Clean[[#This Row],[Commute Distance]],{"0-1 Miles","1-2 Miles","2-5 Miles","5-10 Miles","10+ Miles"})</f>
        <v>3</v>
      </c>
      <c r="T888" s="20">
        <f>_xlfn.XMATCH(tbl_Clean[[#This Row],[Education]],{"Partial High School","High School","Partial College","Bachelors","Graduate Degree"})</f>
        <v>4</v>
      </c>
      <c r="U888" s="20">
        <f>IF(tbl_Clean[[#This Row],[Purchased Bike]]="Yes",1,0)</f>
        <v>1</v>
      </c>
    </row>
    <row r="889" spans="1:21" x14ac:dyDescent="0.25">
      <c r="A889" s="20">
        <v>19731</v>
      </c>
      <c r="B889" s="3" t="s">
        <v>111</v>
      </c>
      <c r="C889" s="3" t="s">
        <v>113</v>
      </c>
      <c r="D889" s="19">
        <v>80000</v>
      </c>
      <c r="E889" s="20">
        <v>4</v>
      </c>
      <c r="F889" s="3" t="s">
        <v>34</v>
      </c>
      <c r="G889" s="3" t="s">
        <v>31</v>
      </c>
      <c r="H889" s="3" t="s">
        <v>17</v>
      </c>
      <c r="I889" s="20">
        <v>2</v>
      </c>
      <c r="J889" s="3" t="s">
        <v>26</v>
      </c>
      <c r="K889" s="3" t="s">
        <v>35</v>
      </c>
      <c r="L889" s="20">
        <v>68</v>
      </c>
      <c r="M889" s="3" t="s">
        <v>20</v>
      </c>
      <c r="N889" s="20" t="str" cm="1">
        <f t="array" ref="N889">_xlfn.IFS(tbl_Clean[[#This Row],[Age]]&lt;=30,"25-30",tbl_Clean[[#This Row],[Age]]&lt;=40,"31-40",tbl_Clean[[#This Row],[Age]]&lt;=50,"41-50",tbl_Clean[[#This Row],[Age]]&lt;=60,"51-60",TRUE,"61+")</f>
        <v>61+</v>
      </c>
      <c r="O889" s="20">
        <f>_xlfn.XMATCH(tbl_Clean[[#This Row],[Age Band]],{"25-30","31-40","41-50","51-60","61+"})</f>
        <v>5</v>
      </c>
      <c r="P889" s="20" t="str" cm="1">
        <f t="array" ref="P889">_xlfn.IFS(tbl_Clean[[#This Row],[Income]]&lt;=30000,"$10k-30k",tbl_Clean[[#This Row],[Income]]&lt;=60000,"$40k-60k",tbl_Clean[[#This Row],[Income]]&lt;=90000,"$70k-90k",TRUE,"$100k+")</f>
        <v>$70k-90k</v>
      </c>
      <c r="Q889" s="20">
        <f>_xlfn.XMATCH(tbl_Clean[[#This Row],[Income Band]],{"$10k-30k","$40k-60k","$70k-90k","$100k+"})</f>
        <v>3</v>
      </c>
      <c r="R889" s="20" t="str">
        <f>IF(tbl_Clean[[#This Row],[Cars]]&lt;=1,"0-1 Cars","2+ Cars")</f>
        <v>2+ Cars</v>
      </c>
      <c r="S889" s="20">
        <f>_xlfn.XMATCH(tbl_Clean[[#This Row],[Commute Distance]],{"0-1 Miles","1-2 Miles","2-5 Miles","5-10 Miles","10+ Miles"})</f>
        <v>4</v>
      </c>
      <c r="T889" s="20">
        <f>_xlfn.XMATCH(tbl_Clean[[#This Row],[Education]],{"Partial High School","High School","Partial College","Bachelors","Graduate Degree"})</f>
        <v>5</v>
      </c>
      <c r="U889" s="20">
        <f>IF(tbl_Clean[[#This Row],[Purchased Bike]]="Yes",1,0)</f>
        <v>0</v>
      </c>
    </row>
    <row r="890" spans="1:21" x14ac:dyDescent="0.25">
      <c r="A890" s="20">
        <v>23801</v>
      </c>
      <c r="B890" s="3" t="s">
        <v>111</v>
      </c>
      <c r="C890" s="3" t="s">
        <v>112</v>
      </c>
      <c r="D890" s="19">
        <v>20000</v>
      </c>
      <c r="E890" s="20">
        <v>2</v>
      </c>
      <c r="F890" s="3" t="s">
        <v>32</v>
      </c>
      <c r="G890" s="3" t="s">
        <v>22</v>
      </c>
      <c r="H890" s="3" t="s">
        <v>17</v>
      </c>
      <c r="I890" s="20">
        <v>2</v>
      </c>
      <c r="J890" s="3" t="s">
        <v>18</v>
      </c>
      <c r="K890" s="3" t="s">
        <v>35</v>
      </c>
      <c r="L890" s="20">
        <v>49</v>
      </c>
      <c r="M890" s="3" t="s">
        <v>20</v>
      </c>
      <c r="N890" s="20" t="str" cm="1">
        <f t="array" ref="N890">_xlfn.IFS(tbl_Clean[[#This Row],[Age]]&lt;=30,"25-30",tbl_Clean[[#This Row],[Age]]&lt;=40,"31-40",tbl_Clean[[#This Row],[Age]]&lt;=50,"41-50",tbl_Clean[[#This Row],[Age]]&lt;=60,"51-60",TRUE,"61+")</f>
        <v>41-50</v>
      </c>
      <c r="O890" s="20">
        <f>_xlfn.XMATCH(tbl_Clean[[#This Row],[Age Band]],{"25-30","31-40","41-50","51-60","61+"})</f>
        <v>3</v>
      </c>
      <c r="P890" s="20" t="str" cm="1">
        <f t="array" ref="P890">_xlfn.IFS(tbl_Clean[[#This Row],[Income]]&lt;=30000,"$10k-30k",tbl_Clean[[#This Row],[Income]]&lt;=60000,"$40k-60k",tbl_Clean[[#This Row],[Income]]&lt;=90000,"$70k-90k",TRUE,"$100k+")</f>
        <v>$10k-30k</v>
      </c>
      <c r="Q890" s="20">
        <f>_xlfn.XMATCH(tbl_Clean[[#This Row],[Income Band]],{"$10k-30k","$40k-60k","$70k-90k","$100k+"})</f>
        <v>1</v>
      </c>
      <c r="R890" s="20" t="str">
        <f>IF(tbl_Clean[[#This Row],[Cars]]&lt;=1,"0-1 Cars","2+ Cars")</f>
        <v>2+ Cars</v>
      </c>
      <c r="S890" s="20">
        <f>_xlfn.XMATCH(tbl_Clean[[#This Row],[Commute Distance]],{"0-1 Miles","1-2 Miles","2-5 Miles","5-10 Miles","10+ Miles"})</f>
        <v>1</v>
      </c>
      <c r="T890" s="20">
        <f>_xlfn.XMATCH(tbl_Clean[[#This Row],[Education]],{"Partial High School","High School","Partial College","Bachelors","Graduate Degree"})</f>
        <v>1</v>
      </c>
      <c r="U890" s="20">
        <f>IF(tbl_Clean[[#This Row],[Purchased Bike]]="Yes",1,0)</f>
        <v>0</v>
      </c>
    </row>
    <row r="891" spans="1:21" x14ac:dyDescent="0.25">
      <c r="A891" s="20">
        <v>11807</v>
      </c>
      <c r="B891" s="3" t="s">
        <v>111</v>
      </c>
      <c r="C891" s="3" t="s">
        <v>113</v>
      </c>
      <c r="D891" s="19">
        <v>70000</v>
      </c>
      <c r="E891" s="20">
        <v>3</v>
      </c>
      <c r="F891" s="3" t="s">
        <v>34</v>
      </c>
      <c r="G891" s="3" t="s">
        <v>23</v>
      </c>
      <c r="H891" s="3" t="s">
        <v>17</v>
      </c>
      <c r="I891" s="20">
        <v>0</v>
      </c>
      <c r="J891" s="3" t="s">
        <v>24</v>
      </c>
      <c r="K891" s="3" t="s">
        <v>35</v>
      </c>
      <c r="L891" s="20">
        <v>34</v>
      </c>
      <c r="M891" s="3" t="s">
        <v>20</v>
      </c>
      <c r="N891" s="20" t="str" cm="1">
        <f t="array" ref="N891">_xlfn.IFS(tbl_Clean[[#This Row],[Age]]&lt;=30,"25-30",tbl_Clean[[#This Row],[Age]]&lt;=40,"31-40",tbl_Clean[[#This Row],[Age]]&lt;=50,"41-50",tbl_Clean[[#This Row],[Age]]&lt;=60,"51-60",TRUE,"61+")</f>
        <v>31-40</v>
      </c>
      <c r="O891" s="20">
        <f>_xlfn.XMATCH(tbl_Clean[[#This Row],[Age Band]],{"25-30","31-40","41-50","51-60","61+"})</f>
        <v>2</v>
      </c>
      <c r="P891" s="20" t="str" cm="1">
        <f t="array" ref="P891">_xlfn.IFS(tbl_Clean[[#This Row],[Income]]&lt;=30000,"$10k-30k",tbl_Clean[[#This Row],[Income]]&lt;=60000,"$40k-60k",tbl_Clean[[#This Row],[Income]]&lt;=90000,"$70k-90k",TRUE,"$100k+")</f>
        <v>$70k-90k</v>
      </c>
      <c r="Q891" s="20">
        <f>_xlfn.XMATCH(tbl_Clean[[#This Row],[Income Band]],{"$10k-30k","$40k-60k","$70k-90k","$100k+"})</f>
        <v>3</v>
      </c>
      <c r="R891" s="20" t="str">
        <f>IF(tbl_Clean[[#This Row],[Cars]]&lt;=1,"0-1 Cars","2+ Cars")</f>
        <v>0-1 Cars</v>
      </c>
      <c r="S891" s="20">
        <f>_xlfn.XMATCH(tbl_Clean[[#This Row],[Commute Distance]],{"0-1 Miles","1-2 Miles","2-5 Miles","5-10 Miles","10+ Miles"})</f>
        <v>3</v>
      </c>
      <c r="T891" s="20">
        <f>_xlfn.XMATCH(tbl_Clean[[#This Row],[Education]],{"Partial High School","High School","Partial College","Bachelors","Graduate Degree"})</f>
        <v>5</v>
      </c>
      <c r="U891" s="20">
        <f>IF(tbl_Clean[[#This Row],[Purchased Bike]]="Yes",1,0)</f>
        <v>0</v>
      </c>
    </row>
    <row r="892" spans="1:21" x14ac:dyDescent="0.25">
      <c r="A892" s="20">
        <v>11622</v>
      </c>
      <c r="B892" s="3" t="s">
        <v>111</v>
      </c>
      <c r="C892" s="3" t="s">
        <v>113</v>
      </c>
      <c r="D892" s="19">
        <v>50000</v>
      </c>
      <c r="E892" s="20">
        <v>0</v>
      </c>
      <c r="F892" s="3" t="s">
        <v>34</v>
      </c>
      <c r="G892" s="3" t="s">
        <v>16</v>
      </c>
      <c r="H892" s="3" t="s">
        <v>17</v>
      </c>
      <c r="I892" s="20">
        <v>0</v>
      </c>
      <c r="J892" s="3" t="s">
        <v>18</v>
      </c>
      <c r="K892" s="3" t="s">
        <v>35</v>
      </c>
      <c r="L892" s="20">
        <v>32</v>
      </c>
      <c r="M892" s="3" t="s">
        <v>20</v>
      </c>
      <c r="N892" s="20" t="str" cm="1">
        <f t="array" ref="N892">_xlfn.IFS(tbl_Clean[[#This Row],[Age]]&lt;=30,"25-30",tbl_Clean[[#This Row],[Age]]&lt;=40,"31-40",tbl_Clean[[#This Row],[Age]]&lt;=50,"41-50",tbl_Clean[[#This Row],[Age]]&lt;=60,"51-60",TRUE,"61+")</f>
        <v>31-40</v>
      </c>
      <c r="O892" s="20">
        <f>_xlfn.XMATCH(tbl_Clean[[#This Row],[Age Band]],{"25-30","31-40","41-50","51-60","61+"})</f>
        <v>2</v>
      </c>
      <c r="P892" s="20" t="str" cm="1">
        <f t="array" ref="P892">_xlfn.IFS(tbl_Clean[[#This Row],[Income]]&lt;=30000,"$10k-30k",tbl_Clean[[#This Row],[Income]]&lt;=60000,"$40k-60k",tbl_Clean[[#This Row],[Income]]&lt;=90000,"$70k-90k",TRUE,"$100k+")</f>
        <v>$40k-60k</v>
      </c>
      <c r="Q892" s="20">
        <f>_xlfn.XMATCH(tbl_Clean[[#This Row],[Income Band]],{"$10k-30k","$40k-60k","$70k-90k","$100k+"})</f>
        <v>2</v>
      </c>
      <c r="R892" s="20" t="str">
        <f>IF(tbl_Clean[[#This Row],[Cars]]&lt;=1,"0-1 Cars","2+ Cars")</f>
        <v>0-1 Cars</v>
      </c>
      <c r="S892" s="20">
        <f>_xlfn.XMATCH(tbl_Clean[[#This Row],[Commute Distance]],{"0-1 Miles","1-2 Miles","2-5 Miles","5-10 Miles","10+ Miles"})</f>
        <v>1</v>
      </c>
      <c r="T892" s="20">
        <f>_xlfn.XMATCH(tbl_Clean[[#This Row],[Education]],{"Partial High School","High School","Partial College","Bachelors","Graduate Degree"})</f>
        <v>5</v>
      </c>
      <c r="U892" s="20">
        <f>IF(tbl_Clean[[#This Row],[Purchased Bike]]="Yes",1,0)</f>
        <v>0</v>
      </c>
    </row>
    <row r="893" spans="1:21" x14ac:dyDescent="0.25">
      <c r="A893" s="20">
        <v>26597</v>
      </c>
      <c r="B893" s="3" t="s">
        <v>114</v>
      </c>
      <c r="C893" s="3" t="s">
        <v>112</v>
      </c>
      <c r="D893" s="19">
        <v>60000</v>
      </c>
      <c r="E893" s="20">
        <v>4</v>
      </c>
      <c r="F893" s="3" t="s">
        <v>15</v>
      </c>
      <c r="G893" s="3" t="s">
        <v>16</v>
      </c>
      <c r="H893" s="3" t="s">
        <v>20</v>
      </c>
      <c r="I893" s="20">
        <v>2</v>
      </c>
      <c r="J893" s="3" t="s">
        <v>18</v>
      </c>
      <c r="K893" s="3" t="s">
        <v>35</v>
      </c>
      <c r="L893" s="20">
        <v>42</v>
      </c>
      <c r="M893" s="3" t="s">
        <v>20</v>
      </c>
      <c r="N893" s="20" t="str" cm="1">
        <f t="array" ref="N893">_xlfn.IFS(tbl_Clean[[#This Row],[Age]]&lt;=30,"25-30",tbl_Clean[[#This Row],[Age]]&lt;=40,"31-40",tbl_Clean[[#This Row],[Age]]&lt;=50,"41-50",tbl_Clean[[#This Row],[Age]]&lt;=60,"51-60",TRUE,"61+")</f>
        <v>41-50</v>
      </c>
      <c r="O893" s="20">
        <f>_xlfn.XMATCH(tbl_Clean[[#This Row],[Age Band]],{"25-30","31-40","41-50","51-60","61+"})</f>
        <v>3</v>
      </c>
      <c r="P893" s="20" t="str" cm="1">
        <f t="array" ref="P893">_xlfn.IFS(tbl_Clean[[#This Row],[Income]]&lt;=30000,"$10k-30k",tbl_Clean[[#This Row],[Income]]&lt;=60000,"$40k-60k",tbl_Clean[[#This Row],[Income]]&lt;=90000,"$70k-90k",TRUE,"$100k+")</f>
        <v>$40k-60k</v>
      </c>
      <c r="Q893" s="20">
        <f>_xlfn.XMATCH(tbl_Clean[[#This Row],[Income Band]],{"$10k-30k","$40k-60k","$70k-90k","$100k+"})</f>
        <v>2</v>
      </c>
      <c r="R893" s="20" t="str">
        <f>IF(tbl_Clean[[#This Row],[Cars]]&lt;=1,"0-1 Cars","2+ Cars")</f>
        <v>2+ Cars</v>
      </c>
      <c r="S893" s="20">
        <f>_xlfn.XMATCH(tbl_Clean[[#This Row],[Commute Distance]],{"0-1 Miles","1-2 Miles","2-5 Miles","5-10 Miles","10+ Miles"})</f>
        <v>1</v>
      </c>
      <c r="T893" s="20">
        <f>_xlfn.XMATCH(tbl_Clean[[#This Row],[Education]],{"Partial High School","High School","Partial College","Bachelors","Graduate Degree"})</f>
        <v>4</v>
      </c>
      <c r="U893" s="20">
        <f>IF(tbl_Clean[[#This Row],[Purchased Bike]]="Yes",1,0)</f>
        <v>0</v>
      </c>
    </row>
    <row r="894" spans="1:21" x14ac:dyDescent="0.25">
      <c r="A894" s="20">
        <v>27074</v>
      </c>
      <c r="B894" s="3" t="s">
        <v>111</v>
      </c>
      <c r="C894" s="3" t="s">
        <v>112</v>
      </c>
      <c r="D894" s="19">
        <v>70000</v>
      </c>
      <c r="E894" s="20">
        <v>1</v>
      </c>
      <c r="F894" s="3" t="s">
        <v>34</v>
      </c>
      <c r="G894" s="3" t="s">
        <v>16</v>
      </c>
      <c r="H894" s="3" t="s">
        <v>17</v>
      </c>
      <c r="I894" s="20">
        <v>0</v>
      </c>
      <c r="J894" s="3" t="s">
        <v>18</v>
      </c>
      <c r="K894" s="3" t="s">
        <v>35</v>
      </c>
      <c r="L894" s="20">
        <v>35</v>
      </c>
      <c r="M894" s="3" t="s">
        <v>17</v>
      </c>
      <c r="N894" s="20" t="str" cm="1">
        <f t="array" ref="N894">_xlfn.IFS(tbl_Clean[[#This Row],[Age]]&lt;=30,"25-30",tbl_Clean[[#This Row],[Age]]&lt;=40,"31-40",tbl_Clean[[#This Row],[Age]]&lt;=50,"41-50",tbl_Clean[[#This Row],[Age]]&lt;=60,"51-60",TRUE,"61+")</f>
        <v>31-40</v>
      </c>
      <c r="O894" s="20">
        <f>_xlfn.XMATCH(tbl_Clean[[#This Row],[Age Band]],{"25-30","31-40","41-50","51-60","61+"})</f>
        <v>2</v>
      </c>
      <c r="P894" s="20" t="str" cm="1">
        <f t="array" ref="P894">_xlfn.IFS(tbl_Clean[[#This Row],[Income]]&lt;=30000,"$10k-30k",tbl_Clean[[#This Row],[Income]]&lt;=60000,"$40k-60k",tbl_Clean[[#This Row],[Income]]&lt;=90000,"$70k-90k",TRUE,"$100k+")</f>
        <v>$70k-90k</v>
      </c>
      <c r="Q894" s="20">
        <f>_xlfn.XMATCH(tbl_Clean[[#This Row],[Income Band]],{"$10k-30k","$40k-60k","$70k-90k","$100k+"})</f>
        <v>3</v>
      </c>
      <c r="R894" s="20" t="str">
        <f>IF(tbl_Clean[[#This Row],[Cars]]&lt;=1,"0-1 Cars","2+ Cars")</f>
        <v>0-1 Cars</v>
      </c>
      <c r="S894" s="20">
        <f>_xlfn.XMATCH(tbl_Clean[[#This Row],[Commute Distance]],{"0-1 Miles","1-2 Miles","2-5 Miles","5-10 Miles","10+ Miles"})</f>
        <v>1</v>
      </c>
      <c r="T894" s="20">
        <f>_xlfn.XMATCH(tbl_Clean[[#This Row],[Education]],{"Partial High School","High School","Partial College","Bachelors","Graduate Degree"})</f>
        <v>5</v>
      </c>
      <c r="U894" s="20">
        <f>IF(tbl_Clean[[#This Row],[Purchased Bike]]="Yes",1,0)</f>
        <v>1</v>
      </c>
    </row>
    <row r="895" spans="1:21" x14ac:dyDescent="0.25">
      <c r="A895" s="20">
        <v>19228</v>
      </c>
      <c r="B895" s="3" t="s">
        <v>111</v>
      </c>
      <c r="C895" s="3" t="s">
        <v>112</v>
      </c>
      <c r="D895" s="19">
        <v>40000</v>
      </c>
      <c r="E895" s="20">
        <v>2</v>
      </c>
      <c r="F895" s="3" t="s">
        <v>21</v>
      </c>
      <c r="G895" s="3" t="s">
        <v>22</v>
      </c>
      <c r="H895" s="3" t="s">
        <v>17</v>
      </c>
      <c r="I895" s="20">
        <v>1</v>
      </c>
      <c r="J895" s="3" t="s">
        <v>18</v>
      </c>
      <c r="K895" s="3" t="s">
        <v>35</v>
      </c>
      <c r="L895" s="20">
        <v>48</v>
      </c>
      <c r="M895" s="3" t="s">
        <v>20</v>
      </c>
      <c r="N895" s="20" t="str" cm="1">
        <f t="array" ref="N895">_xlfn.IFS(tbl_Clean[[#This Row],[Age]]&lt;=30,"25-30",tbl_Clean[[#This Row],[Age]]&lt;=40,"31-40",tbl_Clean[[#This Row],[Age]]&lt;=50,"41-50",tbl_Clean[[#This Row],[Age]]&lt;=60,"51-60",TRUE,"61+")</f>
        <v>41-50</v>
      </c>
      <c r="O895" s="20">
        <f>_xlfn.XMATCH(tbl_Clean[[#This Row],[Age Band]],{"25-30","31-40","41-50","51-60","61+"})</f>
        <v>3</v>
      </c>
      <c r="P895" s="20" t="str" cm="1">
        <f t="array" ref="P895">_xlfn.IFS(tbl_Clean[[#This Row],[Income]]&lt;=30000,"$10k-30k",tbl_Clean[[#This Row],[Income]]&lt;=60000,"$40k-60k",tbl_Clean[[#This Row],[Income]]&lt;=90000,"$70k-90k",TRUE,"$100k+")</f>
        <v>$40k-60k</v>
      </c>
      <c r="Q895" s="20">
        <f>_xlfn.XMATCH(tbl_Clean[[#This Row],[Income Band]],{"$10k-30k","$40k-60k","$70k-90k","$100k+"})</f>
        <v>2</v>
      </c>
      <c r="R895" s="20" t="str">
        <f>IF(tbl_Clean[[#This Row],[Cars]]&lt;=1,"0-1 Cars","2+ Cars")</f>
        <v>0-1 Cars</v>
      </c>
      <c r="S895" s="20">
        <f>_xlfn.XMATCH(tbl_Clean[[#This Row],[Commute Distance]],{"0-1 Miles","1-2 Miles","2-5 Miles","5-10 Miles","10+ Miles"})</f>
        <v>1</v>
      </c>
      <c r="T895" s="20">
        <f>_xlfn.XMATCH(tbl_Clean[[#This Row],[Education]],{"Partial High School","High School","Partial College","Bachelors","Graduate Degree"})</f>
        <v>3</v>
      </c>
      <c r="U895" s="20">
        <f>IF(tbl_Clean[[#This Row],[Purchased Bike]]="Yes",1,0)</f>
        <v>0</v>
      </c>
    </row>
    <row r="896" spans="1:21" x14ac:dyDescent="0.25">
      <c r="A896" s="20">
        <v>13415</v>
      </c>
      <c r="B896" s="3" t="s">
        <v>114</v>
      </c>
      <c r="C896" s="3" t="s">
        <v>113</v>
      </c>
      <c r="D896" s="19">
        <v>100000</v>
      </c>
      <c r="E896" s="20">
        <v>1</v>
      </c>
      <c r="F896" s="3" t="s">
        <v>34</v>
      </c>
      <c r="G896" s="3" t="s">
        <v>31</v>
      </c>
      <c r="H896" s="3" t="s">
        <v>17</v>
      </c>
      <c r="I896" s="20">
        <v>3</v>
      </c>
      <c r="J896" s="3" t="s">
        <v>24</v>
      </c>
      <c r="K896" s="3" t="s">
        <v>35</v>
      </c>
      <c r="L896" s="20">
        <v>73</v>
      </c>
      <c r="M896" s="3" t="s">
        <v>17</v>
      </c>
      <c r="N896" s="20" t="str" cm="1">
        <f t="array" ref="N896">_xlfn.IFS(tbl_Clean[[#This Row],[Age]]&lt;=30,"25-30",tbl_Clean[[#This Row],[Age]]&lt;=40,"31-40",tbl_Clean[[#This Row],[Age]]&lt;=50,"41-50",tbl_Clean[[#This Row],[Age]]&lt;=60,"51-60",TRUE,"61+")</f>
        <v>61+</v>
      </c>
      <c r="O896" s="20">
        <f>_xlfn.XMATCH(tbl_Clean[[#This Row],[Age Band]],{"25-30","31-40","41-50","51-60","61+"})</f>
        <v>5</v>
      </c>
      <c r="P896" s="20" t="str" cm="1">
        <f t="array" ref="P896">_xlfn.IFS(tbl_Clean[[#This Row],[Income]]&lt;=30000,"$10k-30k",tbl_Clean[[#This Row],[Income]]&lt;=60000,"$40k-60k",tbl_Clean[[#This Row],[Income]]&lt;=90000,"$70k-90k",TRUE,"$100k+")</f>
        <v>$100k+</v>
      </c>
      <c r="Q896" s="20">
        <f>_xlfn.XMATCH(tbl_Clean[[#This Row],[Income Band]],{"$10k-30k","$40k-60k","$70k-90k","$100k+"})</f>
        <v>4</v>
      </c>
      <c r="R896" s="20" t="str">
        <f>IF(tbl_Clean[[#This Row],[Cars]]&lt;=1,"0-1 Cars","2+ Cars")</f>
        <v>2+ Cars</v>
      </c>
      <c r="S896" s="20">
        <f>_xlfn.XMATCH(tbl_Clean[[#This Row],[Commute Distance]],{"0-1 Miles","1-2 Miles","2-5 Miles","5-10 Miles","10+ Miles"})</f>
        <v>3</v>
      </c>
      <c r="T896" s="20">
        <f>_xlfn.XMATCH(tbl_Clean[[#This Row],[Education]],{"Partial High School","High School","Partial College","Bachelors","Graduate Degree"})</f>
        <v>5</v>
      </c>
      <c r="U896" s="20">
        <f>IF(tbl_Clean[[#This Row],[Purchased Bike]]="Yes",1,0)</f>
        <v>1</v>
      </c>
    </row>
    <row r="897" spans="1:21" x14ac:dyDescent="0.25">
      <c r="A897" s="20">
        <v>17000</v>
      </c>
      <c r="B897" s="3" t="s">
        <v>114</v>
      </c>
      <c r="C897" s="3" t="s">
        <v>112</v>
      </c>
      <c r="D897" s="19">
        <v>70000</v>
      </c>
      <c r="E897" s="20">
        <v>4</v>
      </c>
      <c r="F897" s="3" t="s">
        <v>15</v>
      </c>
      <c r="G897" s="3" t="s">
        <v>16</v>
      </c>
      <c r="H897" s="3" t="s">
        <v>17</v>
      </c>
      <c r="I897" s="20">
        <v>2</v>
      </c>
      <c r="J897" s="3" t="s">
        <v>24</v>
      </c>
      <c r="K897" s="3" t="s">
        <v>35</v>
      </c>
      <c r="L897" s="20">
        <v>43</v>
      </c>
      <c r="M897" s="3" t="s">
        <v>17</v>
      </c>
      <c r="N897" s="20" t="str" cm="1">
        <f t="array" ref="N897">_xlfn.IFS(tbl_Clean[[#This Row],[Age]]&lt;=30,"25-30",tbl_Clean[[#This Row],[Age]]&lt;=40,"31-40",tbl_Clean[[#This Row],[Age]]&lt;=50,"41-50",tbl_Clean[[#This Row],[Age]]&lt;=60,"51-60",TRUE,"61+")</f>
        <v>41-50</v>
      </c>
      <c r="O897" s="20">
        <f>_xlfn.XMATCH(tbl_Clean[[#This Row],[Age Band]],{"25-30","31-40","41-50","51-60","61+"})</f>
        <v>3</v>
      </c>
      <c r="P897" s="20" t="str" cm="1">
        <f t="array" ref="P897">_xlfn.IFS(tbl_Clean[[#This Row],[Income]]&lt;=30000,"$10k-30k",tbl_Clean[[#This Row],[Income]]&lt;=60000,"$40k-60k",tbl_Clean[[#This Row],[Income]]&lt;=90000,"$70k-90k",TRUE,"$100k+")</f>
        <v>$70k-90k</v>
      </c>
      <c r="Q897" s="20">
        <f>_xlfn.XMATCH(tbl_Clean[[#This Row],[Income Band]],{"$10k-30k","$40k-60k","$70k-90k","$100k+"})</f>
        <v>3</v>
      </c>
      <c r="R897" s="20" t="str">
        <f>IF(tbl_Clean[[#This Row],[Cars]]&lt;=1,"0-1 Cars","2+ Cars")</f>
        <v>2+ Cars</v>
      </c>
      <c r="S897" s="20">
        <f>_xlfn.XMATCH(tbl_Clean[[#This Row],[Commute Distance]],{"0-1 Miles","1-2 Miles","2-5 Miles","5-10 Miles","10+ Miles"})</f>
        <v>3</v>
      </c>
      <c r="T897" s="20">
        <f>_xlfn.XMATCH(tbl_Clean[[#This Row],[Education]],{"Partial High School","High School","Partial College","Bachelors","Graduate Degree"})</f>
        <v>4</v>
      </c>
      <c r="U897" s="20">
        <f>IF(tbl_Clean[[#This Row],[Purchased Bike]]="Yes",1,0)</f>
        <v>1</v>
      </c>
    </row>
    <row r="898" spans="1:21" x14ac:dyDescent="0.25">
      <c r="A898" s="20">
        <v>14569</v>
      </c>
      <c r="B898" s="3" t="s">
        <v>111</v>
      </c>
      <c r="C898" s="3" t="s">
        <v>113</v>
      </c>
      <c r="D898" s="19">
        <v>60000</v>
      </c>
      <c r="E898" s="20">
        <v>1</v>
      </c>
      <c r="F898" s="3" t="s">
        <v>34</v>
      </c>
      <c r="G898" s="3" t="s">
        <v>23</v>
      </c>
      <c r="H898" s="3" t="s">
        <v>17</v>
      </c>
      <c r="I898" s="20">
        <v>0</v>
      </c>
      <c r="J898" s="3" t="s">
        <v>18</v>
      </c>
      <c r="K898" s="3" t="s">
        <v>35</v>
      </c>
      <c r="L898" s="20">
        <v>35</v>
      </c>
      <c r="M898" s="3" t="s">
        <v>20</v>
      </c>
      <c r="N898" s="20" t="str" cm="1">
        <f t="array" ref="N898">_xlfn.IFS(tbl_Clean[[#This Row],[Age]]&lt;=30,"25-30",tbl_Clean[[#This Row],[Age]]&lt;=40,"31-40",tbl_Clean[[#This Row],[Age]]&lt;=50,"41-50",tbl_Clean[[#This Row],[Age]]&lt;=60,"51-60",TRUE,"61+")</f>
        <v>31-40</v>
      </c>
      <c r="O898" s="20">
        <f>_xlfn.XMATCH(tbl_Clean[[#This Row],[Age Band]],{"25-30","31-40","41-50","51-60","61+"})</f>
        <v>2</v>
      </c>
      <c r="P898" s="20" t="str" cm="1">
        <f t="array" ref="P898">_xlfn.IFS(tbl_Clean[[#This Row],[Income]]&lt;=30000,"$10k-30k",tbl_Clean[[#This Row],[Income]]&lt;=60000,"$40k-60k",tbl_Clean[[#This Row],[Income]]&lt;=90000,"$70k-90k",TRUE,"$100k+")</f>
        <v>$40k-60k</v>
      </c>
      <c r="Q898" s="20">
        <f>_xlfn.XMATCH(tbl_Clean[[#This Row],[Income Band]],{"$10k-30k","$40k-60k","$70k-90k","$100k+"})</f>
        <v>2</v>
      </c>
      <c r="R898" s="20" t="str">
        <f>IF(tbl_Clean[[#This Row],[Cars]]&lt;=1,"0-1 Cars","2+ Cars")</f>
        <v>0-1 Cars</v>
      </c>
      <c r="S898" s="20">
        <f>_xlfn.XMATCH(tbl_Clean[[#This Row],[Commute Distance]],{"0-1 Miles","1-2 Miles","2-5 Miles","5-10 Miles","10+ Miles"})</f>
        <v>1</v>
      </c>
      <c r="T898" s="20">
        <f>_xlfn.XMATCH(tbl_Clean[[#This Row],[Education]],{"Partial High School","High School","Partial College","Bachelors","Graduate Degree"})</f>
        <v>5</v>
      </c>
      <c r="U898" s="20">
        <f>IF(tbl_Clean[[#This Row],[Purchased Bike]]="Yes",1,0)</f>
        <v>0</v>
      </c>
    </row>
    <row r="899" spans="1:21" x14ac:dyDescent="0.25">
      <c r="A899" s="20">
        <v>13873</v>
      </c>
      <c r="B899" s="3" t="s">
        <v>111</v>
      </c>
      <c r="C899" s="3" t="s">
        <v>113</v>
      </c>
      <c r="D899" s="19">
        <v>70000</v>
      </c>
      <c r="E899" s="20">
        <v>3</v>
      </c>
      <c r="F899" s="3" t="s">
        <v>34</v>
      </c>
      <c r="G899" s="3" t="s">
        <v>23</v>
      </c>
      <c r="H899" s="3" t="s">
        <v>17</v>
      </c>
      <c r="I899" s="20">
        <v>0</v>
      </c>
      <c r="J899" s="3" t="s">
        <v>18</v>
      </c>
      <c r="K899" s="3" t="s">
        <v>35</v>
      </c>
      <c r="L899" s="20">
        <v>35</v>
      </c>
      <c r="M899" s="3" t="s">
        <v>17</v>
      </c>
      <c r="N899" s="20" t="str" cm="1">
        <f t="array" ref="N899">_xlfn.IFS(tbl_Clean[[#This Row],[Age]]&lt;=30,"25-30",tbl_Clean[[#This Row],[Age]]&lt;=40,"31-40",tbl_Clean[[#This Row],[Age]]&lt;=50,"41-50",tbl_Clean[[#This Row],[Age]]&lt;=60,"51-60",TRUE,"61+")</f>
        <v>31-40</v>
      </c>
      <c r="O899" s="20">
        <f>_xlfn.XMATCH(tbl_Clean[[#This Row],[Age Band]],{"25-30","31-40","41-50","51-60","61+"})</f>
        <v>2</v>
      </c>
      <c r="P899" s="20" t="str" cm="1">
        <f t="array" ref="P899">_xlfn.IFS(tbl_Clean[[#This Row],[Income]]&lt;=30000,"$10k-30k",tbl_Clean[[#This Row],[Income]]&lt;=60000,"$40k-60k",tbl_Clean[[#This Row],[Income]]&lt;=90000,"$70k-90k",TRUE,"$100k+")</f>
        <v>$70k-90k</v>
      </c>
      <c r="Q899" s="20">
        <f>_xlfn.XMATCH(tbl_Clean[[#This Row],[Income Band]],{"$10k-30k","$40k-60k","$70k-90k","$100k+"})</f>
        <v>3</v>
      </c>
      <c r="R899" s="20" t="str">
        <f>IF(tbl_Clean[[#This Row],[Cars]]&lt;=1,"0-1 Cars","2+ Cars")</f>
        <v>0-1 Cars</v>
      </c>
      <c r="S899" s="20">
        <f>_xlfn.XMATCH(tbl_Clean[[#This Row],[Commute Distance]],{"0-1 Miles","1-2 Miles","2-5 Miles","5-10 Miles","10+ Miles"})</f>
        <v>1</v>
      </c>
      <c r="T899" s="20">
        <f>_xlfn.XMATCH(tbl_Clean[[#This Row],[Education]],{"Partial High School","High School","Partial College","Bachelors","Graduate Degree"})</f>
        <v>5</v>
      </c>
      <c r="U899" s="20">
        <f>IF(tbl_Clean[[#This Row],[Purchased Bike]]="Yes",1,0)</f>
        <v>1</v>
      </c>
    </row>
    <row r="900" spans="1:21" x14ac:dyDescent="0.25">
      <c r="A900" s="20">
        <v>20401</v>
      </c>
      <c r="B900" s="3" t="s">
        <v>111</v>
      </c>
      <c r="C900" s="3" t="s">
        <v>112</v>
      </c>
      <c r="D900" s="19">
        <v>50000</v>
      </c>
      <c r="E900" s="20">
        <v>4</v>
      </c>
      <c r="F900" s="3" t="s">
        <v>15</v>
      </c>
      <c r="G900" s="3" t="s">
        <v>31</v>
      </c>
      <c r="H900" s="3" t="s">
        <v>17</v>
      </c>
      <c r="I900" s="20">
        <v>2</v>
      </c>
      <c r="J900" s="3" t="s">
        <v>29</v>
      </c>
      <c r="K900" s="3" t="s">
        <v>35</v>
      </c>
      <c r="L900" s="20">
        <v>64</v>
      </c>
      <c r="M900" s="3" t="s">
        <v>17</v>
      </c>
      <c r="N900" s="20" t="str" cm="1">
        <f t="array" ref="N900">_xlfn.IFS(tbl_Clean[[#This Row],[Age]]&lt;=30,"25-30",tbl_Clean[[#This Row],[Age]]&lt;=40,"31-40",tbl_Clean[[#This Row],[Age]]&lt;=50,"41-50",tbl_Clean[[#This Row],[Age]]&lt;=60,"51-60",TRUE,"61+")</f>
        <v>61+</v>
      </c>
      <c r="O900" s="20">
        <f>_xlfn.XMATCH(tbl_Clean[[#This Row],[Age Band]],{"25-30","31-40","41-50","51-60","61+"})</f>
        <v>5</v>
      </c>
      <c r="P900" s="20" t="str" cm="1">
        <f t="array" ref="P900">_xlfn.IFS(tbl_Clean[[#This Row],[Income]]&lt;=30000,"$10k-30k",tbl_Clean[[#This Row],[Income]]&lt;=60000,"$40k-60k",tbl_Clean[[#This Row],[Income]]&lt;=90000,"$70k-90k",TRUE,"$100k+")</f>
        <v>$40k-60k</v>
      </c>
      <c r="Q900" s="20">
        <f>_xlfn.XMATCH(tbl_Clean[[#This Row],[Income Band]],{"$10k-30k","$40k-60k","$70k-90k","$100k+"})</f>
        <v>2</v>
      </c>
      <c r="R900" s="20" t="str">
        <f>IF(tbl_Clean[[#This Row],[Cars]]&lt;=1,"0-1 Cars","2+ Cars")</f>
        <v>2+ Cars</v>
      </c>
      <c r="S900" s="20">
        <f>_xlfn.XMATCH(tbl_Clean[[#This Row],[Commute Distance]],{"0-1 Miles","1-2 Miles","2-5 Miles","5-10 Miles","10+ Miles"})</f>
        <v>2</v>
      </c>
      <c r="T900" s="20">
        <f>_xlfn.XMATCH(tbl_Clean[[#This Row],[Education]],{"Partial High School","High School","Partial College","Bachelors","Graduate Degree"})</f>
        <v>4</v>
      </c>
      <c r="U900" s="20">
        <f>IF(tbl_Clean[[#This Row],[Purchased Bike]]="Yes",1,0)</f>
        <v>1</v>
      </c>
    </row>
    <row r="901" spans="1:21" x14ac:dyDescent="0.25">
      <c r="A901" s="20">
        <v>21583</v>
      </c>
      <c r="B901" s="3" t="s">
        <v>111</v>
      </c>
      <c r="C901" s="3" t="s">
        <v>112</v>
      </c>
      <c r="D901" s="19">
        <v>50000</v>
      </c>
      <c r="E901" s="20">
        <v>1</v>
      </c>
      <c r="F901" s="3" t="s">
        <v>15</v>
      </c>
      <c r="G901" s="3" t="s">
        <v>16</v>
      </c>
      <c r="H901" s="3" t="s">
        <v>17</v>
      </c>
      <c r="I901" s="20">
        <v>0</v>
      </c>
      <c r="J901" s="3" t="s">
        <v>18</v>
      </c>
      <c r="K901" s="3" t="s">
        <v>35</v>
      </c>
      <c r="L901" s="20">
        <v>34</v>
      </c>
      <c r="M901" s="3" t="s">
        <v>17</v>
      </c>
      <c r="N901" s="20" t="str" cm="1">
        <f t="array" ref="N901">_xlfn.IFS(tbl_Clean[[#This Row],[Age]]&lt;=30,"25-30",tbl_Clean[[#This Row],[Age]]&lt;=40,"31-40",tbl_Clean[[#This Row],[Age]]&lt;=50,"41-50",tbl_Clean[[#This Row],[Age]]&lt;=60,"51-60",TRUE,"61+")</f>
        <v>31-40</v>
      </c>
      <c r="O901" s="20">
        <f>_xlfn.XMATCH(tbl_Clean[[#This Row],[Age Band]],{"25-30","31-40","41-50","51-60","61+"})</f>
        <v>2</v>
      </c>
      <c r="P901" s="20" t="str" cm="1">
        <f t="array" ref="P901">_xlfn.IFS(tbl_Clean[[#This Row],[Income]]&lt;=30000,"$10k-30k",tbl_Clean[[#This Row],[Income]]&lt;=60000,"$40k-60k",tbl_Clean[[#This Row],[Income]]&lt;=90000,"$70k-90k",TRUE,"$100k+")</f>
        <v>$40k-60k</v>
      </c>
      <c r="Q901" s="20">
        <f>_xlfn.XMATCH(tbl_Clean[[#This Row],[Income Band]],{"$10k-30k","$40k-60k","$70k-90k","$100k+"})</f>
        <v>2</v>
      </c>
      <c r="R901" s="20" t="str">
        <f>IF(tbl_Clean[[#This Row],[Cars]]&lt;=1,"0-1 Cars","2+ Cars")</f>
        <v>0-1 Cars</v>
      </c>
      <c r="S901" s="20">
        <f>_xlfn.XMATCH(tbl_Clean[[#This Row],[Commute Distance]],{"0-1 Miles","1-2 Miles","2-5 Miles","5-10 Miles","10+ Miles"})</f>
        <v>1</v>
      </c>
      <c r="T901" s="20">
        <f>_xlfn.XMATCH(tbl_Clean[[#This Row],[Education]],{"Partial High School","High School","Partial College","Bachelors","Graduate Degree"})</f>
        <v>4</v>
      </c>
      <c r="U901" s="20">
        <f>IF(tbl_Clean[[#This Row],[Purchased Bike]]="Yes",1,0)</f>
        <v>1</v>
      </c>
    </row>
    <row r="902" spans="1:21" x14ac:dyDescent="0.25">
      <c r="A902" s="20">
        <v>12029</v>
      </c>
      <c r="B902" s="3" t="s">
        <v>111</v>
      </c>
      <c r="C902" s="3" t="s">
        <v>113</v>
      </c>
      <c r="D902" s="19">
        <v>30000</v>
      </c>
      <c r="E902" s="20">
        <v>0</v>
      </c>
      <c r="F902" s="3" t="s">
        <v>32</v>
      </c>
      <c r="G902" s="3" t="s">
        <v>22</v>
      </c>
      <c r="H902" s="3" t="s">
        <v>20</v>
      </c>
      <c r="I902" s="20">
        <v>2</v>
      </c>
      <c r="J902" s="3" t="s">
        <v>18</v>
      </c>
      <c r="K902" s="3" t="s">
        <v>35</v>
      </c>
      <c r="L902" s="20">
        <v>28</v>
      </c>
      <c r="M902" s="3" t="s">
        <v>20</v>
      </c>
      <c r="N902" s="20" t="str" cm="1">
        <f t="array" ref="N902">_xlfn.IFS(tbl_Clean[[#This Row],[Age]]&lt;=30,"25-30",tbl_Clean[[#This Row],[Age]]&lt;=40,"31-40",tbl_Clean[[#This Row],[Age]]&lt;=50,"41-50",tbl_Clean[[#This Row],[Age]]&lt;=60,"51-60",TRUE,"61+")</f>
        <v>25-30</v>
      </c>
      <c r="O902" s="20">
        <f>_xlfn.XMATCH(tbl_Clean[[#This Row],[Age Band]],{"25-30","31-40","41-50","51-60","61+"})</f>
        <v>1</v>
      </c>
      <c r="P902" s="20" t="str" cm="1">
        <f t="array" ref="P902">_xlfn.IFS(tbl_Clean[[#This Row],[Income]]&lt;=30000,"$10k-30k",tbl_Clean[[#This Row],[Income]]&lt;=60000,"$40k-60k",tbl_Clean[[#This Row],[Income]]&lt;=90000,"$70k-90k",TRUE,"$100k+")</f>
        <v>$10k-30k</v>
      </c>
      <c r="Q902" s="20">
        <f>_xlfn.XMATCH(tbl_Clean[[#This Row],[Income Band]],{"$10k-30k","$40k-60k","$70k-90k","$100k+"})</f>
        <v>1</v>
      </c>
      <c r="R902" s="20" t="str">
        <f>IF(tbl_Clean[[#This Row],[Cars]]&lt;=1,"0-1 Cars","2+ Cars")</f>
        <v>2+ Cars</v>
      </c>
      <c r="S902" s="20">
        <f>_xlfn.XMATCH(tbl_Clean[[#This Row],[Commute Distance]],{"0-1 Miles","1-2 Miles","2-5 Miles","5-10 Miles","10+ Miles"})</f>
        <v>1</v>
      </c>
      <c r="T902" s="20">
        <f>_xlfn.XMATCH(tbl_Clean[[#This Row],[Education]],{"Partial High School","High School","Partial College","Bachelors","Graduate Degree"})</f>
        <v>1</v>
      </c>
      <c r="U902" s="20">
        <f>IF(tbl_Clean[[#This Row],[Purchased Bike]]="Yes",1,0)</f>
        <v>0</v>
      </c>
    </row>
    <row r="903" spans="1:21" x14ac:dyDescent="0.25">
      <c r="A903" s="20">
        <v>18066</v>
      </c>
      <c r="B903" s="3" t="s">
        <v>114</v>
      </c>
      <c r="C903" s="3" t="s">
        <v>113</v>
      </c>
      <c r="D903" s="19">
        <v>70000</v>
      </c>
      <c r="E903" s="20">
        <v>5</v>
      </c>
      <c r="F903" s="3" t="s">
        <v>15</v>
      </c>
      <c r="G903" s="3" t="s">
        <v>31</v>
      </c>
      <c r="H903" s="3" t="s">
        <v>17</v>
      </c>
      <c r="I903" s="20">
        <v>3</v>
      </c>
      <c r="J903" s="3" t="s">
        <v>33</v>
      </c>
      <c r="K903" s="3" t="s">
        <v>35</v>
      </c>
      <c r="L903" s="20">
        <v>60</v>
      </c>
      <c r="M903" s="3" t="s">
        <v>17</v>
      </c>
      <c r="N903" s="20" t="str" cm="1">
        <f t="array" ref="N903">_xlfn.IFS(tbl_Clean[[#This Row],[Age]]&lt;=30,"25-30",tbl_Clean[[#This Row],[Age]]&lt;=40,"31-40",tbl_Clean[[#This Row],[Age]]&lt;=50,"41-50",tbl_Clean[[#This Row],[Age]]&lt;=60,"51-60",TRUE,"61+")</f>
        <v>51-60</v>
      </c>
      <c r="O903" s="20">
        <f>_xlfn.XMATCH(tbl_Clean[[#This Row],[Age Band]],{"25-30","31-40","41-50","51-60","61+"})</f>
        <v>4</v>
      </c>
      <c r="P903" s="20" t="str" cm="1">
        <f t="array" ref="P903">_xlfn.IFS(tbl_Clean[[#This Row],[Income]]&lt;=30000,"$10k-30k",tbl_Clean[[#This Row],[Income]]&lt;=60000,"$40k-60k",tbl_Clean[[#This Row],[Income]]&lt;=90000,"$70k-90k",TRUE,"$100k+")</f>
        <v>$70k-90k</v>
      </c>
      <c r="Q903" s="20">
        <f>_xlfn.XMATCH(tbl_Clean[[#This Row],[Income Band]],{"$10k-30k","$40k-60k","$70k-90k","$100k+"})</f>
        <v>3</v>
      </c>
      <c r="R903" s="20" t="str">
        <f>IF(tbl_Clean[[#This Row],[Cars]]&lt;=1,"0-1 Cars","2+ Cars")</f>
        <v>2+ Cars</v>
      </c>
      <c r="S903" s="20">
        <f>_xlfn.XMATCH(tbl_Clean[[#This Row],[Commute Distance]],{"0-1 Miles","1-2 Miles","2-5 Miles","5-10 Miles","10+ Miles"})</f>
        <v>5</v>
      </c>
      <c r="T903" s="20">
        <f>_xlfn.XMATCH(tbl_Clean[[#This Row],[Education]],{"Partial High School","High School","Partial College","Bachelors","Graduate Degree"})</f>
        <v>4</v>
      </c>
      <c r="U903" s="20">
        <f>IF(tbl_Clean[[#This Row],[Purchased Bike]]="Yes",1,0)</f>
        <v>1</v>
      </c>
    </row>
    <row r="904" spans="1:21" x14ac:dyDescent="0.25">
      <c r="A904" s="20">
        <v>28192</v>
      </c>
      <c r="B904" s="3" t="s">
        <v>111</v>
      </c>
      <c r="C904" s="3" t="s">
        <v>112</v>
      </c>
      <c r="D904" s="19">
        <v>70000</v>
      </c>
      <c r="E904" s="20">
        <v>5</v>
      </c>
      <c r="F904" s="3" t="s">
        <v>34</v>
      </c>
      <c r="G904" s="3" t="s">
        <v>23</v>
      </c>
      <c r="H904" s="3" t="s">
        <v>17</v>
      </c>
      <c r="I904" s="20">
        <v>3</v>
      </c>
      <c r="J904" s="3" t="s">
        <v>33</v>
      </c>
      <c r="K904" s="3" t="s">
        <v>35</v>
      </c>
      <c r="L904" s="20">
        <v>46</v>
      </c>
      <c r="M904" s="3" t="s">
        <v>20</v>
      </c>
      <c r="N904" s="20" t="str" cm="1">
        <f t="array" ref="N904">_xlfn.IFS(tbl_Clean[[#This Row],[Age]]&lt;=30,"25-30",tbl_Clean[[#This Row],[Age]]&lt;=40,"31-40",tbl_Clean[[#This Row],[Age]]&lt;=50,"41-50",tbl_Clean[[#This Row],[Age]]&lt;=60,"51-60",TRUE,"61+")</f>
        <v>41-50</v>
      </c>
      <c r="O904" s="20">
        <f>_xlfn.XMATCH(tbl_Clean[[#This Row],[Age Band]],{"25-30","31-40","41-50","51-60","61+"})</f>
        <v>3</v>
      </c>
      <c r="P904" s="20" t="str" cm="1">
        <f t="array" ref="P904">_xlfn.IFS(tbl_Clean[[#This Row],[Income]]&lt;=30000,"$10k-30k",tbl_Clean[[#This Row],[Income]]&lt;=60000,"$40k-60k",tbl_Clean[[#This Row],[Income]]&lt;=90000,"$70k-90k",TRUE,"$100k+")</f>
        <v>$70k-90k</v>
      </c>
      <c r="Q904" s="20">
        <f>_xlfn.XMATCH(tbl_Clean[[#This Row],[Income Band]],{"$10k-30k","$40k-60k","$70k-90k","$100k+"})</f>
        <v>3</v>
      </c>
      <c r="R904" s="20" t="str">
        <f>IF(tbl_Clean[[#This Row],[Cars]]&lt;=1,"0-1 Cars","2+ Cars")</f>
        <v>2+ Cars</v>
      </c>
      <c r="S904" s="20">
        <f>_xlfn.XMATCH(tbl_Clean[[#This Row],[Commute Distance]],{"0-1 Miles","1-2 Miles","2-5 Miles","5-10 Miles","10+ Miles"})</f>
        <v>5</v>
      </c>
      <c r="T904" s="20">
        <f>_xlfn.XMATCH(tbl_Clean[[#This Row],[Education]],{"Partial High School","High School","Partial College","Bachelors","Graduate Degree"})</f>
        <v>5</v>
      </c>
      <c r="U904" s="20">
        <f>IF(tbl_Clean[[#This Row],[Purchased Bike]]="Yes",1,0)</f>
        <v>0</v>
      </c>
    </row>
    <row r="905" spans="1:21" x14ac:dyDescent="0.25">
      <c r="A905" s="20">
        <v>16122</v>
      </c>
      <c r="B905" s="3" t="s">
        <v>111</v>
      </c>
      <c r="C905" s="3" t="s">
        <v>113</v>
      </c>
      <c r="D905" s="19">
        <v>40000</v>
      </c>
      <c r="E905" s="20">
        <v>4</v>
      </c>
      <c r="F905" s="3" t="s">
        <v>30</v>
      </c>
      <c r="G905" s="3" t="s">
        <v>16</v>
      </c>
      <c r="H905" s="3" t="s">
        <v>17</v>
      </c>
      <c r="I905" s="20">
        <v>2</v>
      </c>
      <c r="J905" s="3" t="s">
        <v>18</v>
      </c>
      <c r="K905" s="3" t="s">
        <v>35</v>
      </c>
      <c r="L905" s="20">
        <v>44</v>
      </c>
      <c r="M905" s="3" t="s">
        <v>17</v>
      </c>
      <c r="N905" s="20" t="str" cm="1">
        <f t="array" ref="N905">_xlfn.IFS(tbl_Clean[[#This Row],[Age]]&lt;=30,"25-30",tbl_Clean[[#This Row],[Age]]&lt;=40,"31-40",tbl_Clean[[#This Row],[Age]]&lt;=50,"41-50",tbl_Clean[[#This Row],[Age]]&lt;=60,"51-60",TRUE,"61+")</f>
        <v>41-50</v>
      </c>
      <c r="O905" s="20">
        <f>_xlfn.XMATCH(tbl_Clean[[#This Row],[Age Band]],{"25-30","31-40","41-50","51-60","61+"})</f>
        <v>3</v>
      </c>
      <c r="P905" s="20" t="str" cm="1">
        <f t="array" ref="P905">_xlfn.IFS(tbl_Clean[[#This Row],[Income]]&lt;=30000,"$10k-30k",tbl_Clean[[#This Row],[Income]]&lt;=60000,"$40k-60k",tbl_Clean[[#This Row],[Income]]&lt;=90000,"$70k-90k",TRUE,"$100k+")</f>
        <v>$40k-60k</v>
      </c>
      <c r="Q905" s="20">
        <f>_xlfn.XMATCH(tbl_Clean[[#This Row],[Income Band]],{"$10k-30k","$40k-60k","$70k-90k","$100k+"})</f>
        <v>2</v>
      </c>
      <c r="R905" s="20" t="str">
        <f>IF(tbl_Clean[[#This Row],[Cars]]&lt;=1,"0-1 Cars","2+ Cars")</f>
        <v>2+ Cars</v>
      </c>
      <c r="S905" s="20">
        <f>_xlfn.XMATCH(tbl_Clean[[#This Row],[Commute Distance]],{"0-1 Miles","1-2 Miles","2-5 Miles","5-10 Miles","10+ Miles"})</f>
        <v>1</v>
      </c>
      <c r="T905" s="20">
        <f>_xlfn.XMATCH(tbl_Clean[[#This Row],[Education]],{"Partial High School","High School","Partial College","Bachelors","Graduate Degree"})</f>
        <v>2</v>
      </c>
      <c r="U905" s="20">
        <f>IF(tbl_Clean[[#This Row],[Purchased Bike]]="Yes",1,0)</f>
        <v>1</v>
      </c>
    </row>
    <row r="906" spans="1:21" x14ac:dyDescent="0.25">
      <c r="A906" s="20">
        <v>18607</v>
      </c>
      <c r="B906" s="3" t="s">
        <v>114</v>
      </c>
      <c r="C906" s="3" t="s">
        <v>112</v>
      </c>
      <c r="D906" s="19">
        <v>60000</v>
      </c>
      <c r="E906" s="20">
        <v>4</v>
      </c>
      <c r="F906" s="3" t="s">
        <v>15</v>
      </c>
      <c r="G906" s="3" t="s">
        <v>16</v>
      </c>
      <c r="H906" s="3" t="s">
        <v>17</v>
      </c>
      <c r="I906" s="20">
        <v>2</v>
      </c>
      <c r="J906" s="3" t="s">
        <v>24</v>
      </c>
      <c r="K906" s="3" t="s">
        <v>35</v>
      </c>
      <c r="L906" s="20">
        <v>42</v>
      </c>
      <c r="M906" s="3" t="s">
        <v>17</v>
      </c>
      <c r="N906" s="20" t="str" cm="1">
        <f t="array" ref="N906">_xlfn.IFS(tbl_Clean[[#This Row],[Age]]&lt;=30,"25-30",tbl_Clean[[#This Row],[Age]]&lt;=40,"31-40",tbl_Clean[[#This Row],[Age]]&lt;=50,"41-50",tbl_Clean[[#This Row],[Age]]&lt;=60,"51-60",TRUE,"61+")</f>
        <v>41-50</v>
      </c>
      <c r="O906" s="20">
        <f>_xlfn.XMATCH(tbl_Clean[[#This Row],[Age Band]],{"25-30","31-40","41-50","51-60","61+"})</f>
        <v>3</v>
      </c>
      <c r="P906" s="20" t="str" cm="1">
        <f t="array" ref="P906">_xlfn.IFS(tbl_Clean[[#This Row],[Income]]&lt;=30000,"$10k-30k",tbl_Clean[[#This Row],[Income]]&lt;=60000,"$40k-60k",tbl_Clean[[#This Row],[Income]]&lt;=90000,"$70k-90k",TRUE,"$100k+")</f>
        <v>$40k-60k</v>
      </c>
      <c r="Q906" s="20">
        <f>_xlfn.XMATCH(tbl_Clean[[#This Row],[Income Band]],{"$10k-30k","$40k-60k","$70k-90k","$100k+"})</f>
        <v>2</v>
      </c>
      <c r="R906" s="20" t="str">
        <f>IF(tbl_Clean[[#This Row],[Cars]]&lt;=1,"0-1 Cars","2+ Cars")</f>
        <v>2+ Cars</v>
      </c>
      <c r="S906" s="20">
        <f>_xlfn.XMATCH(tbl_Clean[[#This Row],[Commute Distance]],{"0-1 Miles","1-2 Miles","2-5 Miles","5-10 Miles","10+ Miles"})</f>
        <v>3</v>
      </c>
      <c r="T906" s="20">
        <f>_xlfn.XMATCH(tbl_Clean[[#This Row],[Education]],{"Partial High School","High School","Partial College","Bachelors","Graduate Degree"})</f>
        <v>4</v>
      </c>
      <c r="U906" s="20">
        <f>IF(tbl_Clean[[#This Row],[Purchased Bike]]="Yes",1,0)</f>
        <v>1</v>
      </c>
    </row>
    <row r="907" spans="1:21" x14ac:dyDescent="0.25">
      <c r="A907" s="20">
        <v>28858</v>
      </c>
      <c r="B907" s="3" t="s">
        <v>114</v>
      </c>
      <c r="C907" s="3" t="s">
        <v>113</v>
      </c>
      <c r="D907" s="19">
        <v>80000</v>
      </c>
      <c r="E907" s="20">
        <v>3</v>
      </c>
      <c r="F907" s="3" t="s">
        <v>15</v>
      </c>
      <c r="G907" s="3" t="s">
        <v>16</v>
      </c>
      <c r="H907" s="3" t="s">
        <v>17</v>
      </c>
      <c r="I907" s="20">
        <v>0</v>
      </c>
      <c r="J907" s="3" t="s">
        <v>24</v>
      </c>
      <c r="K907" s="3" t="s">
        <v>35</v>
      </c>
      <c r="L907" s="20">
        <v>40</v>
      </c>
      <c r="M907" s="3" t="s">
        <v>20</v>
      </c>
      <c r="N907" s="20" t="str" cm="1">
        <f t="array" ref="N907">_xlfn.IFS(tbl_Clean[[#This Row],[Age]]&lt;=30,"25-30",tbl_Clean[[#This Row],[Age]]&lt;=40,"31-40",tbl_Clean[[#This Row],[Age]]&lt;=50,"41-50",tbl_Clean[[#This Row],[Age]]&lt;=60,"51-60",TRUE,"61+")</f>
        <v>31-40</v>
      </c>
      <c r="O907" s="20">
        <f>_xlfn.XMATCH(tbl_Clean[[#This Row],[Age Band]],{"25-30","31-40","41-50","51-60","61+"})</f>
        <v>2</v>
      </c>
      <c r="P907" s="20" t="str" cm="1">
        <f t="array" ref="P907">_xlfn.IFS(tbl_Clean[[#This Row],[Income]]&lt;=30000,"$10k-30k",tbl_Clean[[#This Row],[Income]]&lt;=60000,"$40k-60k",tbl_Clean[[#This Row],[Income]]&lt;=90000,"$70k-90k",TRUE,"$100k+")</f>
        <v>$70k-90k</v>
      </c>
      <c r="Q907" s="20">
        <f>_xlfn.XMATCH(tbl_Clean[[#This Row],[Income Band]],{"$10k-30k","$40k-60k","$70k-90k","$100k+"})</f>
        <v>3</v>
      </c>
      <c r="R907" s="20" t="str">
        <f>IF(tbl_Clean[[#This Row],[Cars]]&lt;=1,"0-1 Cars","2+ Cars")</f>
        <v>0-1 Cars</v>
      </c>
      <c r="S907" s="20">
        <f>_xlfn.XMATCH(tbl_Clean[[#This Row],[Commute Distance]],{"0-1 Miles","1-2 Miles","2-5 Miles","5-10 Miles","10+ Miles"})</f>
        <v>3</v>
      </c>
      <c r="T907" s="20">
        <f>_xlfn.XMATCH(tbl_Clean[[#This Row],[Education]],{"Partial High School","High School","Partial College","Bachelors","Graduate Degree"})</f>
        <v>4</v>
      </c>
      <c r="U907" s="20">
        <f>IF(tbl_Clean[[#This Row],[Purchased Bike]]="Yes",1,0)</f>
        <v>0</v>
      </c>
    </row>
    <row r="908" spans="1:21" x14ac:dyDescent="0.25">
      <c r="A908" s="20">
        <v>14432</v>
      </c>
      <c r="B908" s="3" t="s">
        <v>114</v>
      </c>
      <c r="C908" s="3" t="s">
        <v>113</v>
      </c>
      <c r="D908" s="19">
        <v>90000</v>
      </c>
      <c r="E908" s="20">
        <v>4</v>
      </c>
      <c r="F908" s="3" t="s">
        <v>34</v>
      </c>
      <c r="G908" s="3" t="s">
        <v>31</v>
      </c>
      <c r="H908" s="3" t="s">
        <v>17</v>
      </c>
      <c r="I908" s="20">
        <v>1</v>
      </c>
      <c r="J908" s="3" t="s">
        <v>26</v>
      </c>
      <c r="K908" s="3" t="s">
        <v>35</v>
      </c>
      <c r="L908" s="20">
        <v>73</v>
      </c>
      <c r="M908" s="3" t="s">
        <v>20</v>
      </c>
      <c r="N908" s="20" t="str" cm="1">
        <f t="array" ref="N908">_xlfn.IFS(tbl_Clean[[#This Row],[Age]]&lt;=30,"25-30",tbl_Clean[[#This Row],[Age]]&lt;=40,"31-40",tbl_Clean[[#This Row],[Age]]&lt;=50,"41-50",tbl_Clean[[#This Row],[Age]]&lt;=60,"51-60",TRUE,"61+")</f>
        <v>61+</v>
      </c>
      <c r="O908" s="20">
        <f>_xlfn.XMATCH(tbl_Clean[[#This Row],[Age Band]],{"25-30","31-40","41-50","51-60","61+"})</f>
        <v>5</v>
      </c>
      <c r="P908" s="20" t="str" cm="1">
        <f t="array" ref="P908">_xlfn.IFS(tbl_Clean[[#This Row],[Income]]&lt;=30000,"$10k-30k",tbl_Clean[[#This Row],[Income]]&lt;=60000,"$40k-60k",tbl_Clean[[#This Row],[Income]]&lt;=90000,"$70k-90k",TRUE,"$100k+")</f>
        <v>$70k-90k</v>
      </c>
      <c r="Q908" s="20">
        <f>_xlfn.XMATCH(tbl_Clean[[#This Row],[Income Band]],{"$10k-30k","$40k-60k","$70k-90k","$100k+"})</f>
        <v>3</v>
      </c>
      <c r="R908" s="20" t="str">
        <f>IF(tbl_Clean[[#This Row],[Cars]]&lt;=1,"0-1 Cars","2+ Cars")</f>
        <v>0-1 Cars</v>
      </c>
      <c r="S908" s="20">
        <f>_xlfn.XMATCH(tbl_Clean[[#This Row],[Commute Distance]],{"0-1 Miles","1-2 Miles","2-5 Miles","5-10 Miles","10+ Miles"})</f>
        <v>4</v>
      </c>
      <c r="T908" s="20">
        <f>_xlfn.XMATCH(tbl_Clean[[#This Row],[Education]],{"Partial High School","High School","Partial College","Bachelors","Graduate Degree"})</f>
        <v>5</v>
      </c>
      <c r="U908" s="20">
        <f>IF(tbl_Clean[[#This Row],[Purchased Bike]]="Yes",1,0)</f>
        <v>0</v>
      </c>
    </row>
    <row r="909" spans="1:21" x14ac:dyDescent="0.25">
      <c r="A909" s="20">
        <v>26305</v>
      </c>
      <c r="B909" s="3" t="s">
        <v>114</v>
      </c>
      <c r="C909" s="3" t="s">
        <v>112</v>
      </c>
      <c r="D909" s="19">
        <v>60000</v>
      </c>
      <c r="E909" s="20">
        <v>2</v>
      </c>
      <c r="F909" s="3" t="s">
        <v>15</v>
      </c>
      <c r="G909" s="3" t="s">
        <v>16</v>
      </c>
      <c r="H909" s="3" t="s">
        <v>20</v>
      </c>
      <c r="I909" s="20">
        <v>0</v>
      </c>
      <c r="J909" s="3" t="s">
        <v>18</v>
      </c>
      <c r="K909" s="3" t="s">
        <v>35</v>
      </c>
      <c r="L909" s="20">
        <v>36</v>
      </c>
      <c r="M909" s="3" t="s">
        <v>17</v>
      </c>
      <c r="N909" s="20" t="str" cm="1">
        <f t="array" ref="N909">_xlfn.IFS(tbl_Clean[[#This Row],[Age]]&lt;=30,"25-30",tbl_Clean[[#This Row],[Age]]&lt;=40,"31-40",tbl_Clean[[#This Row],[Age]]&lt;=50,"41-50",tbl_Clean[[#This Row],[Age]]&lt;=60,"51-60",TRUE,"61+")</f>
        <v>31-40</v>
      </c>
      <c r="O909" s="20">
        <f>_xlfn.XMATCH(tbl_Clean[[#This Row],[Age Band]],{"25-30","31-40","41-50","51-60","61+"})</f>
        <v>2</v>
      </c>
      <c r="P909" s="20" t="str" cm="1">
        <f t="array" ref="P909">_xlfn.IFS(tbl_Clean[[#This Row],[Income]]&lt;=30000,"$10k-30k",tbl_Clean[[#This Row],[Income]]&lt;=60000,"$40k-60k",tbl_Clean[[#This Row],[Income]]&lt;=90000,"$70k-90k",TRUE,"$100k+")</f>
        <v>$40k-60k</v>
      </c>
      <c r="Q909" s="20">
        <f>_xlfn.XMATCH(tbl_Clean[[#This Row],[Income Band]],{"$10k-30k","$40k-60k","$70k-90k","$100k+"})</f>
        <v>2</v>
      </c>
      <c r="R909" s="20" t="str">
        <f>IF(tbl_Clean[[#This Row],[Cars]]&lt;=1,"0-1 Cars","2+ Cars")</f>
        <v>0-1 Cars</v>
      </c>
      <c r="S909" s="20">
        <f>_xlfn.XMATCH(tbl_Clean[[#This Row],[Commute Distance]],{"0-1 Miles","1-2 Miles","2-5 Miles","5-10 Miles","10+ Miles"})</f>
        <v>1</v>
      </c>
      <c r="T909" s="20">
        <f>_xlfn.XMATCH(tbl_Clean[[#This Row],[Education]],{"Partial High School","High School","Partial College","Bachelors","Graduate Degree"})</f>
        <v>4</v>
      </c>
      <c r="U909" s="20">
        <f>IF(tbl_Clean[[#This Row],[Purchased Bike]]="Yes",1,0)</f>
        <v>1</v>
      </c>
    </row>
    <row r="910" spans="1:21" x14ac:dyDescent="0.25">
      <c r="A910" s="20">
        <v>22050</v>
      </c>
      <c r="B910" s="3" t="s">
        <v>114</v>
      </c>
      <c r="C910" s="3" t="s">
        <v>113</v>
      </c>
      <c r="D910" s="19">
        <v>90000</v>
      </c>
      <c r="E910" s="20">
        <v>4</v>
      </c>
      <c r="F910" s="3" t="s">
        <v>15</v>
      </c>
      <c r="G910" s="3" t="s">
        <v>31</v>
      </c>
      <c r="H910" s="3" t="s">
        <v>17</v>
      </c>
      <c r="I910" s="20">
        <v>1</v>
      </c>
      <c r="J910" s="3" t="s">
        <v>29</v>
      </c>
      <c r="K910" s="3" t="s">
        <v>35</v>
      </c>
      <c r="L910" s="20">
        <v>38</v>
      </c>
      <c r="M910" s="3" t="s">
        <v>17</v>
      </c>
      <c r="N910" s="20" t="str" cm="1">
        <f t="array" ref="N910">_xlfn.IFS(tbl_Clean[[#This Row],[Age]]&lt;=30,"25-30",tbl_Clean[[#This Row],[Age]]&lt;=40,"31-40",tbl_Clean[[#This Row],[Age]]&lt;=50,"41-50",tbl_Clean[[#This Row],[Age]]&lt;=60,"51-60",TRUE,"61+")</f>
        <v>31-40</v>
      </c>
      <c r="O910" s="20">
        <f>_xlfn.XMATCH(tbl_Clean[[#This Row],[Age Band]],{"25-30","31-40","41-50","51-60","61+"})</f>
        <v>2</v>
      </c>
      <c r="P910" s="20" t="str" cm="1">
        <f t="array" ref="P910">_xlfn.IFS(tbl_Clean[[#This Row],[Income]]&lt;=30000,"$10k-30k",tbl_Clean[[#This Row],[Income]]&lt;=60000,"$40k-60k",tbl_Clean[[#This Row],[Income]]&lt;=90000,"$70k-90k",TRUE,"$100k+")</f>
        <v>$70k-90k</v>
      </c>
      <c r="Q910" s="20">
        <f>_xlfn.XMATCH(tbl_Clean[[#This Row],[Income Band]],{"$10k-30k","$40k-60k","$70k-90k","$100k+"})</f>
        <v>3</v>
      </c>
      <c r="R910" s="20" t="str">
        <f>IF(tbl_Clean[[#This Row],[Cars]]&lt;=1,"0-1 Cars","2+ Cars")</f>
        <v>0-1 Cars</v>
      </c>
      <c r="S910" s="20">
        <f>_xlfn.XMATCH(tbl_Clean[[#This Row],[Commute Distance]],{"0-1 Miles","1-2 Miles","2-5 Miles","5-10 Miles","10+ Miles"})</f>
        <v>2</v>
      </c>
      <c r="T910" s="20">
        <f>_xlfn.XMATCH(tbl_Clean[[#This Row],[Education]],{"Partial High School","High School","Partial College","Bachelors","Graduate Degree"})</f>
        <v>4</v>
      </c>
      <c r="U910" s="20">
        <f>IF(tbl_Clean[[#This Row],[Purchased Bike]]="Yes",1,0)</f>
        <v>1</v>
      </c>
    </row>
    <row r="911" spans="1:21" x14ac:dyDescent="0.25">
      <c r="A911" s="20">
        <v>25394</v>
      </c>
      <c r="B911" s="3" t="s">
        <v>111</v>
      </c>
      <c r="C911" s="3" t="s">
        <v>113</v>
      </c>
      <c r="D911" s="19">
        <v>60000</v>
      </c>
      <c r="E911" s="20">
        <v>1</v>
      </c>
      <c r="F911" s="3" t="s">
        <v>34</v>
      </c>
      <c r="G911" s="3" t="s">
        <v>23</v>
      </c>
      <c r="H911" s="3" t="s">
        <v>17</v>
      </c>
      <c r="I911" s="20">
        <v>0</v>
      </c>
      <c r="J911" s="3" t="s">
        <v>24</v>
      </c>
      <c r="K911" s="3" t="s">
        <v>35</v>
      </c>
      <c r="L911" s="20">
        <v>34</v>
      </c>
      <c r="M911" s="3" t="s">
        <v>17</v>
      </c>
      <c r="N911" s="20" t="str" cm="1">
        <f t="array" ref="N911">_xlfn.IFS(tbl_Clean[[#This Row],[Age]]&lt;=30,"25-30",tbl_Clean[[#This Row],[Age]]&lt;=40,"31-40",tbl_Clean[[#This Row],[Age]]&lt;=50,"41-50",tbl_Clean[[#This Row],[Age]]&lt;=60,"51-60",TRUE,"61+")</f>
        <v>31-40</v>
      </c>
      <c r="O911" s="20">
        <f>_xlfn.XMATCH(tbl_Clean[[#This Row],[Age Band]],{"25-30","31-40","41-50","51-60","61+"})</f>
        <v>2</v>
      </c>
      <c r="P911" s="20" t="str" cm="1">
        <f t="array" ref="P911">_xlfn.IFS(tbl_Clean[[#This Row],[Income]]&lt;=30000,"$10k-30k",tbl_Clean[[#This Row],[Income]]&lt;=60000,"$40k-60k",tbl_Clean[[#This Row],[Income]]&lt;=90000,"$70k-90k",TRUE,"$100k+")</f>
        <v>$40k-60k</v>
      </c>
      <c r="Q911" s="20">
        <f>_xlfn.XMATCH(tbl_Clean[[#This Row],[Income Band]],{"$10k-30k","$40k-60k","$70k-90k","$100k+"})</f>
        <v>2</v>
      </c>
      <c r="R911" s="20" t="str">
        <f>IF(tbl_Clean[[#This Row],[Cars]]&lt;=1,"0-1 Cars","2+ Cars")</f>
        <v>0-1 Cars</v>
      </c>
      <c r="S911" s="20">
        <f>_xlfn.XMATCH(tbl_Clean[[#This Row],[Commute Distance]],{"0-1 Miles","1-2 Miles","2-5 Miles","5-10 Miles","10+ Miles"})</f>
        <v>3</v>
      </c>
      <c r="T911" s="20">
        <f>_xlfn.XMATCH(tbl_Clean[[#This Row],[Education]],{"Partial High School","High School","Partial College","Bachelors","Graduate Degree"})</f>
        <v>5</v>
      </c>
      <c r="U911" s="20">
        <f>IF(tbl_Clean[[#This Row],[Purchased Bike]]="Yes",1,0)</f>
        <v>1</v>
      </c>
    </row>
    <row r="912" spans="1:21" x14ac:dyDescent="0.25">
      <c r="A912" s="20">
        <v>19747</v>
      </c>
      <c r="B912" s="3" t="s">
        <v>111</v>
      </c>
      <c r="C912" s="3" t="s">
        <v>113</v>
      </c>
      <c r="D912" s="19">
        <v>50000</v>
      </c>
      <c r="E912" s="20">
        <v>4</v>
      </c>
      <c r="F912" s="3" t="s">
        <v>15</v>
      </c>
      <c r="G912" s="3" t="s">
        <v>31</v>
      </c>
      <c r="H912" s="3" t="s">
        <v>17</v>
      </c>
      <c r="I912" s="20">
        <v>2</v>
      </c>
      <c r="J912" s="3" t="s">
        <v>33</v>
      </c>
      <c r="K912" s="3" t="s">
        <v>35</v>
      </c>
      <c r="L912" s="20">
        <v>63</v>
      </c>
      <c r="M912" s="3" t="s">
        <v>20</v>
      </c>
      <c r="N912" s="20" t="str" cm="1">
        <f t="array" ref="N912">_xlfn.IFS(tbl_Clean[[#This Row],[Age]]&lt;=30,"25-30",tbl_Clean[[#This Row],[Age]]&lt;=40,"31-40",tbl_Clean[[#This Row],[Age]]&lt;=50,"41-50",tbl_Clean[[#This Row],[Age]]&lt;=60,"51-60",TRUE,"61+")</f>
        <v>61+</v>
      </c>
      <c r="O912" s="20">
        <f>_xlfn.XMATCH(tbl_Clean[[#This Row],[Age Band]],{"25-30","31-40","41-50","51-60","61+"})</f>
        <v>5</v>
      </c>
      <c r="P912" s="20" t="str" cm="1">
        <f t="array" ref="P912">_xlfn.IFS(tbl_Clean[[#This Row],[Income]]&lt;=30000,"$10k-30k",tbl_Clean[[#This Row],[Income]]&lt;=60000,"$40k-60k",tbl_Clean[[#This Row],[Income]]&lt;=90000,"$70k-90k",TRUE,"$100k+")</f>
        <v>$40k-60k</v>
      </c>
      <c r="Q912" s="20">
        <f>_xlfn.XMATCH(tbl_Clean[[#This Row],[Income Band]],{"$10k-30k","$40k-60k","$70k-90k","$100k+"})</f>
        <v>2</v>
      </c>
      <c r="R912" s="20" t="str">
        <f>IF(tbl_Clean[[#This Row],[Cars]]&lt;=1,"0-1 Cars","2+ Cars")</f>
        <v>2+ Cars</v>
      </c>
      <c r="S912" s="20">
        <f>_xlfn.XMATCH(tbl_Clean[[#This Row],[Commute Distance]],{"0-1 Miles","1-2 Miles","2-5 Miles","5-10 Miles","10+ Miles"})</f>
        <v>5</v>
      </c>
      <c r="T912" s="20">
        <f>_xlfn.XMATCH(tbl_Clean[[#This Row],[Education]],{"Partial High School","High School","Partial College","Bachelors","Graduate Degree"})</f>
        <v>4</v>
      </c>
      <c r="U912" s="20">
        <f>IF(tbl_Clean[[#This Row],[Purchased Bike]]="Yes",1,0)</f>
        <v>0</v>
      </c>
    </row>
    <row r="913" spans="1:21" x14ac:dyDescent="0.25">
      <c r="A913" s="20">
        <v>23195</v>
      </c>
      <c r="B913" s="3" t="s">
        <v>114</v>
      </c>
      <c r="C913" s="3" t="s">
        <v>113</v>
      </c>
      <c r="D913" s="19">
        <v>50000</v>
      </c>
      <c r="E913" s="20">
        <v>3</v>
      </c>
      <c r="F913" s="3" t="s">
        <v>15</v>
      </c>
      <c r="G913" s="3" t="s">
        <v>16</v>
      </c>
      <c r="H913" s="3" t="s">
        <v>17</v>
      </c>
      <c r="I913" s="20">
        <v>2</v>
      </c>
      <c r="J913" s="3" t="s">
        <v>24</v>
      </c>
      <c r="K913" s="3" t="s">
        <v>35</v>
      </c>
      <c r="L913" s="20">
        <v>41</v>
      </c>
      <c r="M913" s="3" t="s">
        <v>17</v>
      </c>
      <c r="N913" s="20" t="str" cm="1">
        <f t="array" ref="N913">_xlfn.IFS(tbl_Clean[[#This Row],[Age]]&lt;=30,"25-30",tbl_Clean[[#This Row],[Age]]&lt;=40,"31-40",tbl_Clean[[#This Row],[Age]]&lt;=50,"41-50",tbl_Clean[[#This Row],[Age]]&lt;=60,"51-60",TRUE,"61+")</f>
        <v>41-50</v>
      </c>
      <c r="O913" s="20">
        <f>_xlfn.XMATCH(tbl_Clean[[#This Row],[Age Band]],{"25-30","31-40","41-50","51-60","61+"})</f>
        <v>3</v>
      </c>
      <c r="P913" s="20" t="str" cm="1">
        <f t="array" ref="P913">_xlfn.IFS(tbl_Clean[[#This Row],[Income]]&lt;=30000,"$10k-30k",tbl_Clean[[#This Row],[Income]]&lt;=60000,"$40k-60k",tbl_Clean[[#This Row],[Income]]&lt;=90000,"$70k-90k",TRUE,"$100k+")</f>
        <v>$40k-60k</v>
      </c>
      <c r="Q913" s="20">
        <f>_xlfn.XMATCH(tbl_Clean[[#This Row],[Income Band]],{"$10k-30k","$40k-60k","$70k-90k","$100k+"})</f>
        <v>2</v>
      </c>
      <c r="R913" s="20" t="str">
        <f>IF(tbl_Clean[[#This Row],[Cars]]&lt;=1,"0-1 Cars","2+ Cars")</f>
        <v>2+ Cars</v>
      </c>
      <c r="S913" s="20">
        <f>_xlfn.XMATCH(tbl_Clean[[#This Row],[Commute Distance]],{"0-1 Miles","1-2 Miles","2-5 Miles","5-10 Miles","10+ Miles"})</f>
        <v>3</v>
      </c>
      <c r="T913" s="20">
        <f>_xlfn.XMATCH(tbl_Clean[[#This Row],[Education]],{"Partial High School","High School","Partial College","Bachelors","Graduate Degree"})</f>
        <v>4</v>
      </c>
      <c r="U913" s="20">
        <f>IF(tbl_Clean[[#This Row],[Purchased Bike]]="Yes",1,0)</f>
        <v>1</v>
      </c>
    </row>
    <row r="914" spans="1:21" x14ac:dyDescent="0.25">
      <c r="A914" s="20">
        <v>21695</v>
      </c>
      <c r="B914" s="3" t="s">
        <v>111</v>
      </c>
      <c r="C914" s="3" t="s">
        <v>113</v>
      </c>
      <c r="D914" s="19">
        <v>60000</v>
      </c>
      <c r="E914" s="20">
        <v>0</v>
      </c>
      <c r="F914" s="3" t="s">
        <v>34</v>
      </c>
      <c r="G914" s="3" t="s">
        <v>16</v>
      </c>
      <c r="H914" s="3" t="s">
        <v>17</v>
      </c>
      <c r="I914" s="20">
        <v>0</v>
      </c>
      <c r="J914" s="3" t="s">
        <v>29</v>
      </c>
      <c r="K914" s="3" t="s">
        <v>35</v>
      </c>
      <c r="L914" s="20">
        <v>39</v>
      </c>
      <c r="M914" s="3" t="s">
        <v>17</v>
      </c>
      <c r="N914" s="20" t="str" cm="1">
        <f t="array" ref="N914">_xlfn.IFS(tbl_Clean[[#This Row],[Age]]&lt;=30,"25-30",tbl_Clean[[#This Row],[Age]]&lt;=40,"31-40",tbl_Clean[[#This Row],[Age]]&lt;=50,"41-50",tbl_Clean[[#This Row],[Age]]&lt;=60,"51-60",TRUE,"61+")</f>
        <v>31-40</v>
      </c>
      <c r="O914" s="20">
        <f>_xlfn.XMATCH(tbl_Clean[[#This Row],[Age Band]],{"25-30","31-40","41-50","51-60","61+"})</f>
        <v>2</v>
      </c>
      <c r="P914" s="20" t="str" cm="1">
        <f t="array" ref="P914">_xlfn.IFS(tbl_Clean[[#This Row],[Income]]&lt;=30000,"$10k-30k",tbl_Clean[[#This Row],[Income]]&lt;=60000,"$40k-60k",tbl_Clean[[#This Row],[Income]]&lt;=90000,"$70k-90k",TRUE,"$100k+")</f>
        <v>$40k-60k</v>
      </c>
      <c r="Q914" s="20">
        <f>_xlfn.XMATCH(tbl_Clean[[#This Row],[Income Band]],{"$10k-30k","$40k-60k","$70k-90k","$100k+"})</f>
        <v>2</v>
      </c>
      <c r="R914" s="20" t="str">
        <f>IF(tbl_Clean[[#This Row],[Cars]]&lt;=1,"0-1 Cars","2+ Cars")</f>
        <v>0-1 Cars</v>
      </c>
      <c r="S914" s="20">
        <f>_xlfn.XMATCH(tbl_Clean[[#This Row],[Commute Distance]],{"0-1 Miles","1-2 Miles","2-5 Miles","5-10 Miles","10+ Miles"})</f>
        <v>2</v>
      </c>
      <c r="T914" s="20">
        <f>_xlfn.XMATCH(tbl_Clean[[#This Row],[Education]],{"Partial High School","High School","Partial College","Bachelors","Graduate Degree"})</f>
        <v>5</v>
      </c>
      <c r="U914" s="20">
        <f>IF(tbl_Clean[[#This Row],[Purchased Bike]]="Yes",1,0)</f>
        <v>1</v>
      </c>
    </row>
    <row r="915" spans="1:21" x14ac:dyDescent="0.25">
      <c r="A915" s="20">
        <v>13934</v>
      </c>
      <c r="B915" s="3" t="s">
        <v>111</v>
      </c>
      <c r="C915" s="3" t="s">
        <v>113</v>
      </c>
      <c r="D915" s="19">
        <v>40000</v>
      </c>
      <c r="E915" s="20">
        <v>4</v>
      </c>
      <c r="F915" s="3" t="s">
        <v>30</v>
      </c>
      <c r="G915" s="3" t="s">
        <v>16</v>
      </c>
      <c r="H915" s="3" t="s">
        <v>17</v>
      </c>
      <c r="I915" s="20">
        <v>2</v>
      </c>
      <c r="J915" s="3" t="s">
        <v>24</v>
      </c>
      <c r="K915" s="3" t="s">
        <v>35</v>
      </c>
      <c r="L915" s="20">
        <v>46</v>
      </c>
      <c r="M915" s="3" t="s">
        <v>20</v>
      </c>
      <c r="N915" s="20" t="str" cm="1">
        <f t="array" ref="N915">_xlfn.IFS(tbl_Clean[[#This Row],[Age]]&lt;=30,"25-30",tbl_Clean[[#This Row],[Age]]&lt;=40,"31-40",tbl_Clean[[#This Row],[Age]]&lt;=50,"41-50",tbl_Clean[[#This Row],[Age]]&lt;=60,"51-60",TRUE,"61+")</f>
        <v>41-50</v>
      </c>
      <c r="O915" s="20">
        <f>_xlfn.XMATCH(tbl_Clean[[#This Row],[Age Band]],{"25-30","31-40","41-50","51-60","61+"})</f>
        <v>3</v>
      </c>
      <c r="P915" s="20" t="str" cm="1">
        <f t="array" ref="P915">_xlfn.IFS(tbl_Clean[[#This Row],[Income]]&lt;=30000,"$10k-30k",tbl_Clean[[#This Row],[Income]]&lt;=60000,"$40k-60k",tbl_Clean[[#This Row],[Income]]&lt;=90000,"$70k-90k",TRUE,"$100k+")</f>
        <v>$40k-60k</v>
      </c>
      <c r="Q915" s="20">
        <f>_xlfn.XMATCH(tbl_Clean[[#This Row],[Income Band]],{"$10k-30k","$40k-60k","$70k-90k","$100k+"})</f>
        <v>2</v>
      </c>
      <c r="R915" s="20" t="str">
        <f>IF(tbl_Clean[[#This Row],[Cars]]&lt;=1,"0-1 Cars","2+ Cars")</f>
        <v>2+ Cars</v>
      </c>
      <c r="S915" s="20">
        <f>_xlfn.XMATCH(tbl_Clean[[#This Row],[Commute Distance]],{"0-1 Miles","1-2 Miles","2-5 Miles","5-10 Miles","10+ Miles"})</f>
        <v>3</v>
      </c>
      <c r="T915" s="20">
        <f>_xlfn.XMATCH(tbl_Clean[[#This Row],[Education]],{"Partial High School","High School","Partial College","Bachelors","Graduate Degree"})</f>
        <v>2</v>
      </c>
      <c r="U915" s="20">
        <f>IF(tbl_Clean[[#This Row],[Purchased Bike]]="Yes",1,0)</f>
        <v>0</v>
      </c>
    </row>
    <row r="916" spans="1:21" x14ac:dyDescent="0.25">
      <c r="A916" s="20">
        <v>13337</v>
      </c>
      <c r="B916" s="3" t="s">
        <v>111</v>
      </c>
      <c r="C916" s="3" t="s">
        <v>112</v>
      </c>
      <c r="D916" s="19">
        <v>80000</v>
      </c>
      <c r="E916" s="20">
        <v>5</v>
      </c>
      <c r="F916" s="3" t="s">
        <v>15</v>
      </c>
      <c r="G916" s="3" t="s">
        <v>31</v>
      </c>
      <c r="H916" s="3" t="s">
        <v>17</v>
      </c>
      <c r="I916" s="20">
        <v>2</v>
      </c>
      <c r="J916" s="3" t="s">
        <v>26</v>
      </c>
      <c r="K916" s="3" t="s">
        <v>35</v>
      </c>
      <c r="L916" s="20">
        <v>64</v>
      </c>
      <c r="M916" s="3" t="s">
        <v>20</v>
      </c>
      <c r="N916" s="20" t="str" cm="1">
        <f t="array" ref="N916">_xlfn.IFS(tbl_Clean[[#This Row],[Age]]&lt;=30,"25-30",tbl_Clean[[#This Row],[Age]]&lt;=40,"31-40",tbl_Clean[[#This Row],[Age]]&lt;=50,"41-50",tbl_Clean[[#This Row],[Age]]&lt;=60,"51-60",TRUE,"61+")</f>
        <v>61+</v>
      </c>
      <c r="O916" s="20">
        <f>_xlfn.XMATCH(tbl_Clean[[#This Row],[Age Band]],{"25-30","31-40","41-50","51-60","61+"})</f>
        <v>5</v>
      </c>
      <c r="P916" s="20" t="str" cm="1">
        <f t="array" ref="P916">_xlfn.IFS(tbl_Clean[[#This Row],[Income]]&lt;=30000,"$10k-30k",tbl_Clean[[#This Row],[Income]]&lt;=60000,"$40k-60k",tbl_Clean[[#This Row],[Income]]&lt;=90000,"$70k-90k",TRUE,"$100k+")</f>
        <v>$70k-90k</v>
      </c>
      <c r="Q916" s="20">
        <f>_xlfn.XMATCH(tbl_Clean[[#This Row],[Income Band]],{"$10k-30k","$40k-60k","$70k-90k","$100k+"})</f>
        <v>3</v>
      </c>
      <c r="R916" s="20" t="str">
        <f>IF(tbl_Clean[[#This Row],[Cars]]&lt;=1,"0-1 Cars","2+ Cars")</f>
        <v>2+ Cars</v>
      </c>
      <c r="S916" s="20">
        <f>_xlfn.XMATCH(tbl_Clean[[#This Row],[Commute Distance]],{"0-1 Miles","1-2 Miles","2-5 Miles","5-10 Miles","10+ Miles"})</f>
        <v>4</v>
      </c>
      <c r="T916" s="20">
        <f>_xlfn.XMATCH(tbl_Clean[[#This Row],[Education]],{"Partial High School","High School","Partial College","Bachelors","Graduate Degree"})</f>
        <v>4</v>
      </c>
      <c r="U916" s="20">
        <f>IF(tbl_Clean[[#This Row],[Purchased Bike]]="Yes",1,0)</f>
        <v>0</v>
      </c>
    </row>
    <row r="917" spans="1:21" x14ac:dyDescent="0.25">
      <c r="A917" s="20">
        <v>27190</v>
      </c>
      <c r="B917" s="3" t="s">
        <v>111</v>
      </c>
      <c r="C917" s="3" t="s">
        <v>112</v>
      </c>
      <c r="D917" s="19">
        <v>40000</v>
      </c>
      <c r="E917" s="20">
        <v>3</v>
      </c>
      <c r="F917" s="3" t="s">
        <v>21</v>
      </c>
      <c r="G917" s="3" t="s">
        <v>22</v>
      </c>
      <c r="H917" s="3" t="s">
        <v>17</v>
      </c>
      <c r="I917" s="20">
        <v>1</v>
      </c>
      <c r="J917" s="3" t="s">
        <v>29</v>
      </c>
      <c r="K917" s="3" t="s">
        <v>35</v>
      </c>
      <c r="L917" s="20">
        <v>32</v>
      </c>
      <c r="M917" s="3" t="s">
        <v>20</v>
      </c>
      <c r="N917" s="20" t="str" cm="1">
        <f t="array" ref="N917">_xlfn.IFS(tbl_Clean[[#This Row],[Age]]&lt;=30,"25-30",tbl_Clean[[#This Row],[Age]]&lt;=40,"31-40",tbl_Clean[[#This Row],[Age]]&lt;=50,"41-50",tbl_Clean[[#This Row],[Age]]&lt;=60,"51-60",TRUE,"61+")</f>
        <v>31-40</v>
      </c>
      <c r="O917" s="20">
        <f>_xlfn.XMATCH(tbl_Clean[[#This Row],[Age Band]],{"25-30","31-40","41-50","51-60","61+"})</f>
        <v>2</v>
      </c>
      <c r="P917" s="20" t="str" cm="1">
        <f t="array" ref="P917">_xlfn.IFS(tbl_Clean[[#This Row],[Income]]&lt;=30000,"$10k-30k",tbl_Clean[[#This Row],[Income]]&lt;=60000,"$40k-60k",tbl_Clean[[#This Row],[Income]]&lt;=90000,"$70k-90k",TRUE,"$100k+")</f>
        <v>$40k-60k</v>
      </c>
      <c r="Q917" s="20">
        <f>_xlfn.XMATCH(tbl_Clean[[#This Row],[Income Band]],{"$10k-30k","$40k-60k","$70k-90k","$100k+"})</f>
        <v>2</v>
      </c>
      <c r="R917" s="20" t="str">
        <f>IF(tbl_Clean[[#This Row],[Cars]]&lt;=1,"0-1 Cars","2+ Cars")</f>
        <v>0-1 Cars</v>
      </c>
      <c r="S917" s="20">
        <f>_xlfn.XMATCH(tbl_Clean[[#This Row],[Commute Distance]],{"0-1 Miles","1-2 Miles","2-5 Miles","5-10 Miles","10+ Miles"})</f>
        <v>2</v>
      </c>
      <c r="T917" s="20">
        <f>_xlfn.XMATCH(tbl_Clean[[#This Row],[Education]],{"Partial High School","High School","Partial College","Bachelors","Graduate Degree"})</f>
        <v>3</v>
      </c>
      <c r="U917" s="20">
        <f>IF(tbl_Clean[[#This Row],[Purchased Bike]]="Yes",1,0)</f>
        <v>0</v>
      </c>
    </row>
    <row r="918" spans="1:21" x14ac:dyDescent="0.25">
      <c r="A918" s="20">
        <v>28657</v>
      </c>
      <c r="B918" s="3" t="s">
        <v>114</v>
      </c>
      <c r="C918" s="3" t="s">
        <v>113</v>
      </c>
      <c r="D918" s="19">
        <v>60000</v>
      </c>
      <c r="E918" s="20">
        <v>2</v>
      </c>
      <c r="F918" s="3" t="s">
        <v>15</v>
      </c>
      <c r="G918" s="3" t="s">
        <v>16</v>
      </c>
      <c r="H918" s="3" t="s">
        <v>17</v>
      </c>
      <c r="I918" s="20">
        <v>0</v>
      </c>
      <c r="J918" s="3" t="s">
        <v>24</v>
      </c>
      <c r="K918" s="3" t="s">
        <v>35</v>
      </c>
      <c r="L918" s="20">
        <v>36</v>
      </c>
      <c r="M918" s="3" t="s">
        <v>17</v>
      </c>
      <c r="N918" s="20" t="str" cm="1">
        <f t="array" ref="N918">_xlfn.IFS(tbl_Clean[[#This Row],[Age]]&lt;=30,"25-30",tbl_Clean[[#This Row],[Age]]&lt;=40,"31-40",tbl_Clean[[#This Row],[Age]]&lt;=50,"41-50",tbl_Clean[[#This Row],[Age]]&lt;=60,"51-60",TRUE,"61+")</f>
        <v>31-40</v>
      </c>
      <c r="O918" s="20">
        <f>_xlfn.XMATCH(tbl_Clean[[#This Row],[Age Band]],{"25-30","31-40","41-50","51-60","61+"})</f>
        <v>2</v>
      </c>
      <c r="P918" s="20" t="str" cm="1">
        <f t="array" ref="P918">_xlfn.IFS(tbl_Clean[[#This Row],[Income]]&lt;=30000,"$10k-30k",tbl_Clean[[#This Row],[Income]]&lt;=60000,"$40k-60k",tbl_Clean[[#This Row],[Income]]&lt;=90000,"$70k-90k",TRUE,"$100k+")</f>
        <v>$40k-60k</v>
      </c>
      <c r="Q918" s="20">
        <f>_xlfn.XMATCH(tbl_Clean[[#This Row],[Income Band]],{"$10k-30k","$40k-60k","$70k-90k","$100k+"})</f>
        <v>2</v>
      </c>
      <c r="R918" s="20" t="str">
        <f>IF(tbl_Clean[[#This Row],[Cars]]&lt;=1,"0-1 Cars","2+ Cars")</f>
        <v>0-1 Cars</v>
      </c>
      <c r="S918" s="20">
        <f>_xlfn.XMATCH(tbl_Clean[[#This Row],[Commute Distance]],{"0-1 Miles","1-2 Miles","2-5 Miles","5-10 Miles","10+ Miles"})</f>
        <v>3</v>
      </c>
      <c r="T918" s="20">
        <f>_xlfn.XMATCH(tbl_Clean[[#This Row],[Education]],{"Partial High School","High School","Partial College","Bachelors","Graduate Degree"})</f>
        <v>4</v>
      </c>
      <c r="U918" s="20">
        <f>IF(tbl_Clean[[#This Row],[Purchased Bike]]="Yes",1,0)</f>
        <v>1</v>
      </c>
    </row>
    <row r="919" spans="1:21" x14ac:dyDescent="0.25">
      <c r="A919" s="20">
        <v>21713</v>
      </c>
      <c r="B919" s="3" t="s">
        <v>114</v>
      </c>
      <c r="C919" s="3" t="s">
        <v>113</v>
      </c>
      <c r="D919" s="19">
        <v>80000</v>
      </c>
      <c r="E919" s="20">
        <v>5</v>
      </c>
      <c r="F919" s="3" t="s">
        <v>34</v>
      </c>
      <c r="G919" s="3" t="s">
        <v>16</v>
      </c>
      <c r="H919" s="3" t="s">
        <v>20</v>
      </c>
      <c r="I919" s="20">
        <v>0</v>
      </c>
      <c r="J919" s="3" t="s">
        <v>18</v>
      </c>
      <c r="K919" s="3" t="s">
        <v>35</v>
      </c>
      <c r="L919" s="20">
        <v>47</v>
      </c>
      <c r="M919" s="3" t="s">
        <v>20</v>
      </c>
      <c r="N919" s="20" t="str" cm="1">
        <f t="array" ref="N919">_xlfn.IFS(tbl_Clean[[#This Row],[Age]]&lt;=30,"25-30",tbl_Clean[[#This Row],[Age]]&lt;=40,"31-40",tbl_Clean[[#This Row],[Age]]&lt;=50,"41-50",tbl_Clean[[#This Row],[Age]]&lt;=60,"51-60",TRUE,"61+")</f>
        <v>41-50</v>
      </c>
      <c r="O919" s="20">
        <f>_xlfn.XMATCH(tbl_Clean[[#This Row],[Age Band]],{"25-30","31-40","41-50","51-60","61+"})</f>
        <v>3</v>
      </c>
      <c r="P919" s="20" t="str" cm="1">
        <f t="array" ref="P919">_xlfn.IFS(tbl_Clean[[#This Row],[Income]]&lt;=30000,"$10k-30k",tbl_Clean[[#This Row],[Income]]&lt;=60000,"$40k-60k",tbl_Clean[[#This Row],[Income]]&lt;=90000,"$70k-90k",TRUE,"$100k+")</f>
        <v>$70k-90k</v>
      </c>
      <c r="Q919" s="20">
        <f>_xlfn.XMATCH(tbl_Clean[[#This Row],[Income Band]],{"$10k-30k","$40k-60k","$70k-90k","$100k+"})</f>
        <v>3</v>
      </c>
      <c r="R919" s="20" t="str">
        <f>IF(tbl_Clean[[#This Row],[Cars]]&lt;=1,"0-1 Cars","2+ Cars")</f>
        <v>0-1 Cars</v>
      </c>
      <c r="S919" s="20">
        <f>_xlfn.XMATCH(tbl_Clean[[#This Row],[Commute Distance]],{"0-1 Miles","1-2 Miles","2-5 Miles","5-10 Miles","10+ Miles"})</f>
        <v>1</v>
      </c>
      <c r="T919" s="20">
        <f>_xlfn.XMATCH(tbl_Clean[[#This Row],[Education]],{"Partial High School","High School","Partial College","Bachelors","Graduate Degree"})</f>
        <v>5</v>
      </c>
      <c r="U919" s="20">
        <f>IF(tbl_Clean[[#This Row],[Purchased Bike]]="Yes",1,0)</f>
        <v>0</v>
      </c>
    </row>
    <row r="920" spans="1:21" x14ac:dyDescent="0.25">
      <c r="A920" s="20">
        <v>21752</v>
      </c>
      <c r="B920" s="3" t="s">
        <v>111</v>
      </c>
      <c r="C920" s="3" t="s">
        <v>113</v>
      </c>
      <c r="D920" s="19">
        <v>60000</v>
      </c>
      <c r="E920" s="20">
        <v>3</v>
      </c>
      <c r="F920" s="3" t="s">
        <v>34</v>
      </c>
      <c r="G920" s="3" t="s">
        <v>31</v>
      </c>
      <c r="H920" s="3" t="s">
        <v>17</v>
      </c>
      <c r="I920" s="20">
        <v>2</v>
      </c>
      <c r="J920" s="3" t="s">
        <v>33</v>
      </c>
      <c r="K920" s="3" t="s">
        <v>35</v>
      </c>
      <c r="L920" s="20">
        <v>64</v>
      </c>
      <c r="M920" s="3" t="s">
        <v>20</v>
      </c>
      <c r="N920" s="20" t="str" cm="1">
        <f t="array" ref="N920">_xlfn.IFS(tbl_Clean[[#This Row],[Age]]&lt;=30,"25-30",tbl_Clean[[#This Row],[Age]]&lt;=40,"31-40",tbl_Clean[[#This Row],[Age]]&lt;=50,"41-50",tbl_Clean[[#This Row],[Age]]&lt;=60,"51-60",TRUE,"61+")</f>
        <v>61+</v>
      </c>
      <c r="O920" s="20">
        <f>_xlfn.XMATCH(tbl_Clean[[#This Row],[Age Band]],{"25-30","31-40","41-50","51-60","61+"})</f>
        <v>5</v>
      </c>
      <c r="P920" s="20" t="str" cm="1">
        <f t="array" ref="P920">_xlfn.IFS(tbl_Clean[[#This Row],[Income]]&lt;=30000,"$10k-30k",tbl_Clean[[#This Row],[Income]]&lt;=60000,"$40k-60k",tbl_Clean[[#This Row],[Income]]&lt;=90000,"$70k-90k",TRUE,"$100k+")</f>
        <v>$40k-60k</v>
      </c>
      <c r="Q920" s="20">
        <f>_xlfn.XMATCH(tbl_Clean[[#This Row],[Income Band]],{"$10k-30k","$40k-60k","$70k-90k","$100k+"})</f>
        <v>2</v>
      </c>
      <c r="R920" s="20" t="str">
        <f>IF(tbl_Clean[[#This Row],[Cars]]&lt;=1,"0-1 Cars","2+ Cars")</f>
        <v>2+ Cars</v>
      </c>
      <c r="S920" s="20">
        <f>_xlfn.XMATCH(tbl_Clean[[#This Row],[Commute Distance]],{"0-1 Miles","1-2 Miles","2-5 Miles","5-10 Miles","10+ Miles"})</f>
        <v>5</v>
      </c>
      <c r="T920" s="20">
        <f>_xlfn.XMATCH(tbl_Clean[[#This Row],[Education]],{"Partial High School","High School","Partial College","Bachelors","Graduate Degree"})</f>
        <v>5</v>
      </c>
      <c r="U920" s="20">
        <f>IF(tbl_Clean[[#This Row],[Purchased Bike]]="Yes",1,0)</f>
        <v>0</v>
      </c>
    </row>
    <row r="921" spans="1:21" x14ac:dyDescent="0.25">
      <c r="A921" s="20">
        <v>27273</v>
      </c>
      <c r="B921" s="3" t="s">
        <v>114</v>
      </c>
      <c r="C921" s="3" t="s">
        <v>113</v>
      </c>
      <c r="D921" s="19">
        <v>70000</v>
      </c>
      <c r="E921" s="20">
        <v>3</v>
      </c>
      <c r="F921" s="3" t="s">
        <v>34</v>
      </c>
      <c r="G921" s="3" t="s">
        <v>23</v>
      </c>
      <c r="H921" s="3" t="s">
        <v>20</v>
      </c>
      <c r="I921" s="20">
        <v>0</v>
      </c>
      <c r="J921" s="3" t="s">
        <v>18</v>
      </c>
      <c r="K921" s="3" t="s">
        <v>35</v>
      </c>
      <c r="L921" s="20">
        <v>35</v>
      </c>
      <c r="M921" s="3" t="s">
        <v>17</v>
      </c>
      <c r="N921" s="20" t="str" cm="1">
        <f t="array" ref="N921">_xlfn.IFS(tbl_Clean[[#This Row],[Age]]&lt;=30,"25-30",tbl_Clean[[#This Row],[Age]]&lt;=40,"31-40",tbl_Clean[[#This Row],[Age]]&lt;=50,"41-50",tbl_Clean[[#This Row],[Age]]&lt;=60,"51-60",TRUE,"61+")</f>
        <v>31-40</v>
      </c>
      <c r="O921" s="20">
        <f>_xlfn.XMATCH(tbl_Clean[[#This Row],[Age Band]],{"25-30","31-40","41-50","51-60","61+"})</f>
        <v>2</v>
      </c>
      <c r="P921" s="20" t="str" cm="1">
        <f t="array" ref="P921">_xlfn.IFS(tbl_Clean[[#This Row],[Income]]&lt;=30000,"$10k-30k",tbl_Clean[[#This Row],[Income]]&lt;=60000,"$40k-60k",tbl_Clean[[#This Row],[Income]]&lt;=90000,"$70k-90k",TRUE,"$100k+")</f>
        <v>$70k-90k</v>
      </c>
      <c r="Q921" s="20">
        <f>_xlfn.XMATCH(tbl_Clean[[#This Row],[Income Band]],{"$10k-30k","$40k-60k","$70k-90k","$100k+"})</f>
        <v>3</v>
      </c>
      <c r="R921" s="20" t="str">
        <f>IF(tbl_Clean[[#This Row],[Cars]]&lt;=1,"0-1 Cars","2+ Cars")</f>
        <v>0-1 Cars</v>
      </c>
      <c r="S921" s="20">
        <f>_xlfn.XMATCH(tbl_Clean[[#This Row],[Commute Distance]],{"0-1 Miles","1-2 Miles","2-5 Miles","5-10 Miles","10+ Miles"})</f>
        <v>1</v>
      </c>
      <c r="T921" s="20">
        <f>_xlfn.XMATCH(tbl_Clean[[#This Row],[Education]],{"Partial High School","High School","Partial College","Bachelors","Graduate Degree"})</f>
        <v>5</v>
      </c>
      <c r="U921" s="20">
        <f>IF(tbl_Clean[[#This Row],[Purchased Bike]]="Yes",1,0)</f>
        <v>1</v>
      </c>
    </row>
    <row r="922" spans="1:21" x14ac:dyDescent="0.25">
      <c r="A922" s="20">
        <v>22719</v>
      </c>
      <c r="B922" s="3" t="s">
        <v>114</v>
      </c>
      <c r="C922" s="3" t="s">
        <v>113</v>
      </c>
      <c r="D922" s="19">
        <v>110000</v>
      </c>
      <c r="E922" s="20">
        <v>3</v>
      </c>
      <c r="F922" s="3" t="s">
        <v>15</v>
      </c>
      <c r="G922" s="3" t="s">
        <v>31</v>
      </c>
      <c r="H922" s="3" t="s">
        <v>17</v>
      </c>
      <c r="I922" s="20">
        <v>4</v>
      </c>
      <c r="J922" s="3" t="s">
        <v>24</v>
      </c>
      <c r="K922" s="3" t="s">
        <v>35</v>
      </c>
      <c r="L922" s="20">
        <v>40</v>
      </c>
      <c r="M922" s="3" t="s">
        <v>17</v>
      </c>
      <c r="N922" s="20" t="str" cm="1">
        <f t="array" ref="N922">_xlfn.IFS(tbl_Clean[[#This Row],[Age]]&lt;=30,"25-30",tbl_Clean[[#This Row],[Age]]&lt;=40,"31-40",tbl_Clean[[#This Row],[Age]]&lt;=50,"41-50",tbl_Clean[[#This Row],[Age]]&lt;=60,"51-60",TRUE,"61+")</f>
        <v>31-40</v>
      </c>
      <c r="O922" s="20">
        <f>_xlfn.XMATCH(tbl_Clean[[#This Row],[Age Band]],{"25-30","31-40","41-50","51-60","61+"})</f>
        <v>2</v>
      </c>
      <c r="P922" s="20" t="str" cm="1">
        <f t="array" ref="P922">_xlfn.IFS(tbl_Clean[[#This Row],[Income]]&lt;=30000,"$10k-30k",tbl_Clean[[#This Row],[Income]]&lt;=60000,"$40k-60k",tbl_Clean[[#This Row],[Income]]&lt;=90000,"$70k-90k",TRUE,"$100k+")</f>
        <v>$100k+</v>
      </c>
      <c r="Q922" s="20">
        <f>_xlfn.XMATCH(tbl_Clean[[#This Row],[Income Band]],{"$10k-30k","$40k-60k","$70k-90k","$100k+"})</f>
        <v>4</v>
      </c>
      <c r="R922" s="20" t="str">
        <f>IF(tbl_Clean[[#This Row],[Cars]]&lt;=1,"0-1 Cars","2+ Cars")</f>
        <v>2+ Cars</v>
      </c>
      <c r="S922" s="20">
        <f>_xlfn.XMATCH(tbl_Clean[[#This Row],[Commute Distance]],{"0-1 Miles","1-2 Miles","2-5 Miles","5-10 Miles","10+ Miles"})</f>
        <v>3</v>
      </c>
      <c r="T922" s="20">
        <f>_xlfn.XMATCH(tbl_Clean[[#This Row],[Education]],{"Partial High School","High School","Partial College","Bachelors","Graduate Degree"})</f>
        <v>4</v>
      </c>
      <c r="U922" s="20">
        <f>IF(tbl_Clean[[#This Row],[Purchased Bike]]="Yes",1,0)</f>
        <v>1</v>
      </c>
    </row>
    <row r="923" spans="1:21" x14ac:dyDescent="0.25">
      <c r="A923" s="20">
        <v>22042</v>
      </c>
      <c r="B923" s="3" t="s">
        <v>111</v>
      </c>
      <c r="C923" s="3" t="s">
        <v>112</v>
      </c>
      <c r="D923" s="19">
        <v>70000</v>
      </c>
      <c r="E923" s="20">
        <v>0</v>
      </c>
      <c r="F923" s="3" t="s">
        <v>21</v>
      </c>
      <c r="G923" s="3" t="s">
        <v>16</v>
      </c>
      <c r="H923" s="3" t="s">
        <v>17</v>
      </c>
      <c r="I923" s="20">
        <v>2</v>
      </c>
      <c r="J923" s="3" t="s">
        <v>26</v>
      </c>
      <c r="K923" s="3" t="s">
        <v>35</v>
      </c>
      <c r="L923" s="20">
        <v>34</v>
      </c>
      <c r="M923" s="3" t="s">
        <v>17</v>
      </c>
      <c r="N923" s="20" t="str" cm="1">
        <f t="array" ref="N923">_xlfn.IFS(tbl_Clean[[#This Row],[Age]]&lt;=30,"25-30",tbl_Clean[[#This Row],[Age]]&lt;=40,"31-40",tbl_Clean[[#This Row],[Age]]&lt;=50,"41-50",tbl_Clean[[#This Row],[Age]]&lt;=60,"51-60",TRUE,"61+")</f>
        <v>31-40</v>
      </c>
      <c r="O923" s="20">
        <f>_xlfn.XMATCH(tbl_Clean[[#This Row],[Age Band]],{"25-30","31-40","41-50","51-60","61+"})</f>
        <v>2</v>
      </c>
      <c r="P923" s="20" t="str" cm="1">
        <f t="array" ref="P923">_xlfn.IFS(tbl_Clean[[#This Row],[Income]]&lt;=30000,"$10k-30k",tbl_Clean[[#This Row],[Income]]&lt;=60000,"$40k-60k",tbl_Clean[[#This Row],[Income]]&lt;=90000,"$70k-90k",TRUE,"$100k+")</f>
        <v>$70k-90k</v>
      </c>
      <c r="Q923" s="20">
        <f>_xlfn.XMATCH(tbl_Clean[[#This Row],[Income Band]],{"$10k-30k","$40k-60k","$70k-90k","$100k+"})</f>
        <v>3</v>
      </c>
      <c r="R923" s="20" t="str">
        <f>IF(tbl_Clean[[#This Row],[Cars]]&lt;=1,"0-1 Cars","2+ Cars")</f>
        <v>2+ Cars</v>
      </c>
      <c r="S923" s="20">
        <f>_xlfn.XMATCH(tbl_Clean[[#This Row],[Commute Distance]],{"0-1 Miles","1-2 Miles","2-5 Miles","5-10 Miles","10+ Miles"})</f>
        <v>4</v>
      </c>
      <c r="T923" s="20">
        <f>_xlfn.XMATCH(tbl_Clean[[#This Row],[Education]],{"Partial High School","High School","Partial College","Bachelors","Graduate Degree"})</f>
        <v>3</v>
      </c>
      <c r="U923" s="20">
        <f>IF(tbl_Clean[[#This Row],[Purchased Bike]]="Yes",1,0)</f>
        <v>1</v>
      </c>
    </row>
    <row r="924" spans="1:21" x14ac:dyDescent="0.25">
      <c r="A924" s="20">
        <v>21451</v>
      </c>
      <c r="B924" s="3" t="s">
        <v>111</v>
      </c>
      <c r="C924" s="3" t="s">
        <v>112</v>
      </c>
      <c r="D924" s="19">
        <v>40000</v>
      </c>
      <c r="E924" s="20">
        <v>4</v>
      </c>
      <c r="F924" s="3" t="s">
        <v>30</v>
      </c>
      <c r="G924" s="3" t="s">
        <v>23</v>
      </c>
      <c r="H924" s="3" t="s">
        <v>17</v>
      </c>
      <c r="I924" s="20">
        <v>2</v>
      </c>
      <c r="J924" s="3" t="s">
        <v>33</v>
      </c>
      <c r="K924" s="3" t="s">
        <v>35</v>
      </c>
      <c r="L924" s="20">
        <v>61</v>
      </c>
      <c r="M924" s="3" t="s">
        <v>20</v>
      </c>
      <c r="N924" s="20" t="str" cm="1">
        <f t="array" ref="N924">_xlfn.IFS(tbl_Clean[[#This Row],[Age]]&lt;=30,"25-30",tbl_Clean[[#This Row],[Age]]&lt;=40,"31-40",tbl_Clean[[#This Row],[Age]]&lt;=50,"41-50",tbl_Clean[[#This Row],[Age]]&lt;=60,"51-60",TRUE,"61+")</f>
        <v>61+</v>
      </c>
      <c r="O924" s="20">
        <f>_xlfn.XMATCH(tbl_Clean[[#This Row],[Age Band]],{"25-30","31-40","41-50","51-60","61+"})</f>
        <v>5</v>
      </c>
      <c r="P924" s="20" t="str" cm="1">
        <f t="array" ref="P924">_xlfn.IFS(tbl_Clean[[#This Row],[Income]]&lt;=30000,"$10k-30k",tbl_Clean[[#This Row],[Income]]&lt;=60000,"$40k-60k",tbl_Clean[[#This Row],[Income]]&lt;=90000,"$70k-90k",TRUE,"$100k+")</f>
        <v>$40k-60k</v>
      </c>
      <c r="Q924" s="20">
        <f>_xlfn.XMATCH(tbl_Clean[[#This Row],[Income Band]],{"$10k-30k","$40k-60k","$70k-90k","$100k+"})</f>
        <v>2</v>
      </c>
      <c r="R924" s="20" t="str">
        <f>IF(tbl_Clean[[#This Row],[Cars]]&lt;=1,"0-1 Cars","2+ Cars")</f>
        <v>2+ Cars</v>
      </c>
      <c r="S924" s="20">
        <f>_xlfn.XMATCH(tbl_Clean[[#This Row],[Commute Distance]],{"0-1 Miles","1-2 Miles","2-5 Miles","5-10 Miles","10+ Miles"})</f>
        <v>5</v>
      </c>
      <c r="T924" s="20">
        <f>_xlfn.XMATCH(tbl_Clean[[#This Row],[Education]],{"Partial High School","High School","Partial College","Bachelors","Graduate Degree"})</f>
        <v>2</v>
      </c>
      <c r="U924" s="20">
        <f>IF(tbl_Clean[[#This Row],[Purchased Bike]]="Yes",1,0)</f>
        <v>0</v>
      </c>
    </row>
    <row r="925" spans="1:21" x14ac:dyDescent="0.25">
      <c r="A925" s="20">
        <v>20754</v>
      </c>
      <c r="B925" s="3" t="s">
        <v>111</v>
      </c>
      <c r="C925" s="3" t="s">
        <v>113</v>
      </c>
      <c r="D925" s="19">
        <v>30000</v>
      </c>
      <c r="E925" s="20">
        <v>2</v>
      </c>
      <c r="F925" s="3" t="s">
        <v>30</v>
      </c>
      <c r="G925" s="3" t="s">
        <v>16</v>
      </c>
      <c r="H925" s="3" t="s">
        <v>17</v>
      </c>
      <c r="I925" s="20">
        <v>2</v>
      </c>
      <c r="J925" s="3" t="s">
        <v>29</v>
      </c>
      <c r="K925" s="3" t="s">
        <v>35</v>
      </c>
      <c r="L925" s="20">
        <v>51</v>
      </c>
      <c r="M925" s="3" t="s">
        <v>20</v>
      </c>
      <c r="N925" s="20" t="str" cm="1">
        <f t="array" ref="N925">_xlfn.IFS(tbl_Clean[[#This Row],[Age]]&lt;=30,"25-30",tbl_Clean[[#This Row],[Age]]&lt;=40,"31-40",tbl_Clean[[#This Row],[Age]]&lt;=50,"41-50",tbl_Clean[[#This Row],[Age]]&lt;=60,"51-60",TRUE,"61+")</f>
        <v>51-60</v>
      </c>
      <c r="O925" s="20">
        <f>_xlfn.XMATCH(tbl_Clean[[#This Row],[Age Band]],{"25-30","31-40","41-50","51-60","61+"})</f>
        <v>4</v>
      </c>
      <c r="P925" s="20" t="str" cm="1">
        <f t="array" ref="P925">_xlfn.IFS(tbl_Clean[[#This Row],[Income]]&lt;=30000,"$10k-30k",tbl_Clean[[#This Row],[Income]]&lt;=60000,"$40k-60k",tbl_Clean[[#This Row],[Income]]&lt;=90000,"$70k-90k",TRUE,"$100k+")</f>
        <v>$10k-30k</v>
      </c>
      <c r="Q925" s="20">
        <f>_xlfn.XMATCH(tbl_Clean[[#This Row],[Income Band]],{"$10k-30k","$40k-60k","$70k-90k","$100k+"})</f>
        <v>1</v>
      </c>
      <c r="R925" s="20" t="str">
        <f>IF(tbl_Clean[[#This Row],[Cars]]&lt;=1,"0-1 Cars","2+ Cars")</f>
        <v>2+ Cars</v>
      </c>
      <c r="S925" s="20">
        <f>_xlfn.XMATCH(tbl_Clean[[#This Row],[Commute Distance]],{"0-1 Miles","1-2 Miles","2-5 Miles","5-10 Miles","10+ Miles"})</f>
        <v>2</v>
      </c>
      <c r="T925" s="20">
        <f>_xlfn.XMATCH(tbl_Clean[[#This Row],[Education]],{"Partial High School","High School","Partial College","Bachelors","Graduate Degree"})</f>
        <v>2</v>
      </c>
      <c r="U925" s="20">
        <f>IF(tbl_Clean[[#This Row],[Purchased Bike]]="Yes",1,0)</f>
        <v>0</v>
      </c>
    </row>
    <row r="926" spans="1:21" x14ac:dyDescent="0.25">
      <c r="A926" s="20">
        <v>12153</v>
      </c>
      <c r="B926" s="3" t="s">
        <v>114</v>
      </c>
      <c r="C926" s="3" t="s">
        <v>112</v>
      </c>
      <c r="D926" s="19">
        <v>70000</v>
      </c>
      <c r="E926" s="20">
        <v>3</v>
      </c>
      <c r="F926" s="3" t="s">
        <v>21</v>
      </c>
      <c r="G926" s="3" t="s">
        <v>23</v>
      </c>
      <c r="H926" s="3" t="s">
        <v>17</v>
      </c>
      <c r="I926" s="20">
        <v>1</v>
      </c>
      <c r="J926" s="3" t="s">
        <v>26</v>
      </c>
      <c r="K926" s="3" t="s">
        <v>35</v>
      </c>
      <c r="L926" s="20">
        <v>49</v>
      </c>
      <c r="M926" s="3" t="s">
        <v>17</v>
      </c>
      <c r="N926" s="20" t="str" cm="1">
        <f t="array" ref="N926">_xlfn.IFS(tbl_Clean[[#This Row],[Age]]&lt;=30,"25-30",tbl_Clean[[#This Row],[Age]]&lt;=40,"31-40",tbl_Clean[[#This Row],[Age]]&lt;=50,"41-50",tbl_Clean[[#This Row],[Age]]&lt;=60,"51-60",TRUE,"61+")</f>
        <v>41-50</v>
      </c>
      <c r="O926" s="20">
        <f>_xlfn.XMATCH(tbl_Clean[[#This Row],[Age Band]],{"25-30","31-40","41-50","51-60","61+"})</f>
        <v>3</v>
      </c>
      <c r="P926" s="20" t="str" cm="1">
        <f t="array" ref="P926">_xlfn.IFS(tbl_Clean[[#This Row],[Income]]&lt;=30000,"$10k-30k",tbl_Clean[[#This Row],[Income]]&lt;=60000,"$40k-60k",tbl_Clean[[#This Row],[Income]]&lt;=90000,"$70k-90k",TRUE,"$100k+")</f>
        <v>$70k-90k</v>
      </c>
      <c r="Q926" s="20">
        <f>_xlfn.XMATCH(tbl_Clean[[#This Row],[Income Band]],{"$10k-30k","$40k-60k","$70k-90k","$100k+"})</f>
        <v>3</v>
      </c>
      <c r="R926" s="20" t="str">
        <f>IF(tbl_Clean[[#This Row],[Cars]]&lt;=1,"0-1 Cars","2+ Cars")</f>
        <v>0-1 Cars</v>
      </c>
      <c r="S926" s="20">
        <f>_xlfn.XMATCH(tbl_Clean[[#This Row],[Commute Distance]],{"0-1 Miles","1-2 Miles","2-5 Miles","5-10 Miles","10+ Miles"})</f>
        <v>4</v>
      </c>
      <c r="T926" s="20">
        <f>_xlfn.XMATCH(tbl_Clean[[#This Row],[Education]],{"Partial High School","High School","Partial College","Bachelors","Graduate Degree"})</f>
        <v>3</v>
      </c>
      <c r="U926" s="20">
        <f>IF(tbl_Clean[[#This Row],[Purchased Bike]]="Yes",1,0)</f>
        <v>1</v>
      </c>
    </row>
    <row r="927" spans="1:21" x14ac:dyDescent="0.25">
      <c r="A927" s="20">
        <v>16895</v>
      </c>
      <c r="B927" s="3" t="s">
        <v>111</v>
      </c>
      <c r="C927" s="3" t="s">
        <v>112</v>
      </c>
      <c r="D927" s="19">
        <v>40000</v>
      </c>
      <c r="E927" s="20">
        <v>3</v>
      </c>
      <c r="F927" s="3" t="s">
        <v>21</v>
      </c>
      <c r="G927" s="3" t="s">
        <v>23</v>
      </c>
      <c r="H927" s="3" t="s">
        <v>20</v>
      </c>
      <c r="I927" s="20">
        <v>2</v>
      </c>
      <c r="J927" s="3" t="s">
        <v>29</v>
      </c>
      <c r="K927" s="3" t="s">
        <v>35</v>
      </c>
      <c r="L927" s="20">
        <v>54</v>
      </c>
      <c r="M927" s="3" t="s">
        <v>17</v>
      </c>
      <c r="N927" s="20" t="str" cm="1">
        <f t="array" ref="N927">_xlfn.IFS(tbl_Clean[[#This Row],[Age]]&lt;=30,"25-30",tbl_Clean[[#This Row],[Age]]&lt;=40,"31-40",tbl_Clean[[#This Row],[Age]]&lt;=50,"41-50",tbl_Clean[[#This Row],[Age]]&lt;=60,"51-60",TRUE,"61+")</f>
        <v>51-60</v>
      </c>
      <c r="O927" s="20">
        <f>_xlfn.XMATCH(tbl_Clean[[#This Row],[Age Band]],{"25-30","31-40","41-50","51-60","61+"})</f>
        <v>4</v>
      </c>
      <c r="P927" s="20" t="str" cm="1">
        <f t="array" ref="P927">_xlfn.IFS(tbl_Clean[[#This Row],[Income]]&lt;=30000,"$10k-30k",tbl_Clean[[#This Row],[Income]]&lt;=60000,"$40k-60k",tbl_Clean[[#This Row],[Income]]&lt;=90000,"$70k-90k",TRUE,"$100k+")</f>
        <v>$40k-60k</v>
      </c>
      <c r="Q927" s="20">
        <f>_xlfn.XMATCH(tbl_Clean[[#This Row],[Income Band]],{"$10k-30k","$40k-60k","$70k-90k","$100k+"})</f>
        <v>2</v>
      </c>
      <c r="R927" s="20" t="str">
        <f>IF(tbl_Clean[[#This Row],[Cars]]&lt;=1,"0-1 Cars","2+ Cars")</f>
        <v>2+ Cars</v>
      </c>
      <c r="S927" s="20">
        <f>_xlfn.XMATCH(tbl_Clean[[#This Row],[Commute Distance]],{"0-1 Miles","1-2 Miles","2-5 Miles","5-10 Miles","10+ Miles"})</f>
        <v>2</v>
      </c>
      <c r="T927" s="20">
        <f>_xlfn.XMATCH(tbl_Clean[[#This Row],[Education]],{"Partial High School","High School","Partial College","Bachelors","Graduate Degree"})</f>
        <v>3</v>
      </c>
      <c r="U927" s="20">
        <f>IF(tbl_Clean[[#This Row],[Purchased Bike]]="Yes",1,0)</f>
        <v>1</v>
      </c>
    </row>
    <row r="928" spans="1:21" x14ac:dyDescent="0.25">
      <c r="A928" s="20">
        <v>26728</v>
      </c>
      <c r="B928" s="3" t="s">
        <v>114</v>
      </c>
      <c r="C928" s="3" t="s">
        <v>113</v>
      </c>
      <c r="D928" s="19">
        <v>70000</v>
      </c>
      <c r="E928" s="20">
        <v>3</v>
      </c>
      <c r="F928" s="3" t="s">
        <v>34</v>
      </c>
      <c r="G928" s="3" t="s">
        <v>31</v>
      </c>
      <c r="H928" s="3" t="s">
        <v>20</v>
      </c>
      <c r="I928" s="20">
        <v>2</v>
      </c>
      <c r="J928" s="3" t="s">
        <v>29</v>
      </c>
      <c r="K928" s="3" t="s">
        <v>35</v>
      </c>
      <c r="L928" s="20">
        <v>53</v>
      </c>
      <c r="M928" s="3" t="s">
        <v>17</v>
      </c>
      <c r="N928" s="20" t="str" cm="1">
        <f t="array" ref="N928">_xlfn.IFS(tbl_Clean[[#This Row],[Age]]&lt;=30,"25-30",tbl_Clean[[#This Row],[Age]]&lt;=40,"31-40",tbl_Clean[[#This Row],[Age]]&lt;=50,"41-50",tbl_Clean[[#This Row],[Age]]&lt;=60,"51-60",TRUE,"61+")</f>
        <v>51-60</v>
      </c>
      <c r="O928" s="20">
        <f>_xlfn.XMATCH(tbl_Clean[[#This Row],[Age Band]],{"25-30","31-40","41-50","51-60","61+"})</f>
        <v>4</v>
      </c>
      <c r="P928" s="20" t="str" cm="1">
        <f t="array" ref="P928">_xlfn.IFS(tbl_Clean[[#This Row],[Income]]&lt;=30000,"$10k-30k",tbl_Clean[[#This Row],[Income]]&lt;=60000,"$40k-60k",tbl_Clean[[#This Row],[Income]]&lt;=90000,"$70k-90k",TRUE,"$100k+")</f>
        <v>$70k-90k</v>
      </c>
      <c r="Q928" s="20">
        <f>_xlfn.XMATCH(tbl_Clean[[#This Row],[Income Band]],{"$10k-30k","$40k-60k","$70k-90k","$100k+"})</f>
        <v>3</v>
      </c>
      <c r="R928" s="20" t="str">
        <f>IF(tbl_Clean[[#This Row],[Cars]]&lt;=1,"0-1 Cars","2+ Cars")</f>
        <v>2+ Cars</v>
      </c>
      <c r="S928" s="20">
        <f>_xlfn.XMATCH(tbl_Clean[[#This Row],[Commute Distance]],{"0-1 Miles","1-2 Miles","2-5 Miles","5-10 Miles","10+ Miles"})</f>
        <v>2</v>
      </c>
      <c r="T928" s="20">
        <f>_xlfn.XMATCH(tbl_Clean[[#This Row],[Education]],{"Partial High School","High School","Partial College","Bachelors","Graduate Degree"})</f>
        <v>5</v>
      </c>
      <c r="U928" s="20">
        <f>IF(tbl_Clean[[#This Row],[Purchased Bike]]="Yes",1,0)</f>
        <v>1</v>
      </c>
    </row>
    <row r="929" spans="1:21" x14ac:dyDescent="0.25">
      <c r="A929" s="20">
        <v>11090</v>
      </c>
      <c r="B929" s="3" t="s">
        <v>114</v>
      </c>
      <c r="C929" s="3" t="s">
        <v>113</v>
      </c>
      <c r="D929" s="19">
        <v>90000</v>
      </c>
      <c r="E929" s="20">
        <v>2</v>
      </c>
      <c r="F929" s="3" t="s">
        <v>21</v>
      </c>
      <c r="G929" s="3" t="s">
        <v>23</v>
      </c>
      <c r="H929" s="3" t="s">
        <v>17</v>
      </c>
      <c r="I929" s="20">
        <v>1</v>
      </c>
      <c r="J929" s="3" t="s">
        <v>24</v>
      </c>
      <c r="K929" s="3" t="s">
        <v>35</v>
      </c>
      <c r="L929" s="20">
        <v>48</v>
      </c>
      <c r="M929" s="3" t="s">
        <v>17</v>
      </c>
      <c r="N929" s="20" t="str" cm="1">
        <f t="array" ref="N929">_xlfn.IFS(tbl_Clean[[#This Row],[Age]]&lt;=30,"25-30",tbl_Clean[[#This Row],[Age]]&lt;=40,"31-40",tbl_Clean[[#This Row],[Age]]&lt;=50,"41-50",tbl_Clean[[#This Row],[Age]]&lt;=60,"51-60",TRUE,"61+")</f>
        <v>41-50</v>
      </c>
      <c r="O929" s="20">
        <f>_xlfn.XMATCH(tbl_Clean[[#This Row],[Age Band]],{"25-30","31-40","41-50","51-60","61+"})</f>
        <v>3</v>
      </c>
      <c r="P929" s="20" t="str" cm="1">
        <f t="array" ref="P929">_xlfn.IFS(tbl_Clean[[#This Row],[Income]]&lt;=30000,"$10k-30k",tbl_Clean[[#This Row],[Income]]&lt;=60000,"$40k-60k",tbl_Clean[[#This Row],[Income]]&lt;=90000,"$70k-90k",TRUE,"$100k+")</f>
        <v>$70k-90k</v>
      </c>
      <c r="Q929" s="20">
        <f>_xlfn.XMATCH(tbl_Clean[[#This Row],[Income Band]],{"$10k-30k","$40k-60k","$70k-90k","$100k+"})</f>
        <v>3</v>
      </c>
      <c r="R929" s="20" t="str">
        <f>IF(tbl_Clean[[#This Row],[Cars]]&lt;=1,"0-1 Cars","2+ Cars")</f>
        <v>0-1 Cars</v>
      </c>
      <c r="S929" s="20">
        <f>_xlfn.XMATCH(tbl_Clean[[#This Row],[Commute Distance]],{"0-1 Miles","1-2 Miles","2-5 Miles","5-10 Miles","10+ Miles"})</f>
        <v>3</v>
      </c>
      <c r="T929" s="20">
        <f>_xlfn.XMATCH(tbl_Clean[[#This Row],[Education]],{"Partial High School","High School","Partial College","Bachelors","Graduate Degree"})</f>
        <v>3</v>
      </c>
      <c r="U929" s="20">
        <f>IF(tbl_Clean[[#This Row],[Purchased Bike]]="Yes",1,0)</f>
        <v>1</v>
      </c>
    </row>
    <row r="930" spans="1:21" x14ac:dyDescent="0.25">
      <c r="A930" s="20">
        <v>15862</v>
      </c>
      <c r="B930" s="3" t="s">
        <v>114</v>
      </c>
      <c r="C930" s="3" t="s">
        <v>112</v>
      </c>
      <c r="D930" s="19">
        <v>50000</v>
      </c>
      <c r="E930" s="20">
        <v>0</v>
      </c>
      <c r="F930" s="3" t="s">
        <v>34</v>
      </c>
      <c r="G930" s="3" t="s">
        <v>16</v>
      </c>
      <c r="H930" s="3" t="s">
        <v>17</v>
      </c>
      <c r="I930" s="20">
        <v>0</v>
      </c>
      <c r="J930" s="3" t="s">
        <v>29</v>
      </c>
      <c r="K930" s="3" t="s">
        <v>35</v>
      </c>
      <c r="L930" s="20">
        <v>33</v>
      </c>
      <c r="M930" s="3" t="s">
        <v>17</v>
      </c>
      <c r="N930" s="20" t="str" cm="1">
        <f t="array" ref="N930">_xlfn.IFS(tbl_Clean[[#This Row],[Age]]&lt;=30,"25-30",tbl_Clean[[#This Row],[Age]]&lt;=40,"31-40",tbl_Clean[[#This Row],[Age]]&lt;=50,"41-50",tbl_Clean[[#This Row],[Age]]&lt;=60,"51-60",TRUE,"61+")</f>
        <v>31-40</v>
      </c>
      <c r="O930" s="20">
        <f>_xlfn.XMATCH(tbl_Clean[[#This Row],[Age Band]],{"25-30","31-40","41-50","51-60","61+"})</f>
        <v>2</v>
      </c>
      <c r="P930" s="20" t="str" cm="1">
        <f t="array" ref="P930">_xlfn.IFS(tbl_Clean[[#This Row],[Income]]&lt;=30000,"$10k-30k",tbl_Clean[[#This Row],[Income]]&lt;=60000,"$40k-60k",tbl_Clean[[#This Row],[Income]]&lt;=90000,"$70k-90k",TRUE,"$100k+")</f>
        <v>$40k-60k</v>
      </c>
      <c r="Q930" s="20">
        <f>_xlfn.XMATCH(tbl_Clean[[#This Row],[Income Band]],{"$10k-30k","$40k-60k","$70k-90k","$100k+"})</f>
        <v>2</v>
      </c>
      <c r="R930" s="20" t="str">
        <f>IF(tbl_Clean[[#This Row],[Cars]]&lt;=1,"0-1 Cars","2+ Cars")</f>
        <v>0-1 Cars</v>
      </c>
      <c r="S930" s="20">
        <f>_xlfn.XMATCH(tbl_Clean[[#This Row],[Commute Distance]],{"0-1 Miles","1-2 Miles","2-5 Miles","5-10 Miles","10+ Miles"})</f>
        <v>2</v>
      </c>
      <c r="T930" s="20">
        <f>_xlfn.XMATCH(tbl_Clean[[#This Row],[Education]],{"Partial High School","High School","Partial College","Bachelors","Graduate Degree"})</f>
        <v>5</v>
      </c>
      <c r="U930" s="20">
        <f>IF(tbl_Clean[[#This Row],[Purchased Bike]]="Yes",1,0)</f>
        <v>1</v>
      </c>
    </row>
    <row r="931" spans="1:21" x14ac:dyDescent="0.25">
      <c r="A931" s="20">
        <v>26495</v>
      </c>
      <c r="B931" s="3" t="s">
        <v>114</v>
      </c>
      <c r="C931" s="3" t="s">
        <v>112</v>
      </c>
      <c r="D931" s="19">
        <v>40000</v>
      </c>
      <c r="E931" s="20">
        <v>2</v>
      </c>
      <c r="F931" s="3" t="s">
        <v>30</v>
      </c>
      <c r="G931" s="3" t="s">
        <v>23</v>
      </c>
      <c r="H931" s="3" t="s">
        <v>17</v>
      </c>
      <c r="I931" s="20">
        <v>2</v>
      </c>
      <c r="J931" s="3" t="s">
        <v>33</v>
      </c>
      <c r="K931" s="3" t="s">
        <v>35</v>
      </c>
      <c r="L931" s="20">
        <v>57</v>
      </c>
      <c r="M931" s="3" t="s">
        <v>20</v>
      </c>
      <c r="N931" s="20" t="str" cm="1">
        <f t="array" ref="N931">_xlfn.IFS(tbl_Clean[[#This Row],[Age]]&lt;=30,"25-30",tbl_Clean[[#This Row],[Age]]&lt;=40,"31-40",tbl_Clean[[#This Row],[Age]]&lt;=50,"41-50",tbl_Clean[[#This Row],[Age]]&lt;=60,"51-60",TRUE,"61+")</f>
        <v>51-60</v>
      </c>
      <c r="O931" s="20">
        <f>_xlfn.XMATCH(tbl_Clean[[#This Row],[Age Band]],{"25-30","31-40","41-50","51-60","61+"})</f>
        <v>4</v>
      </c>
      <c r="P931" s="20" t="str" cm="1">
        <f t="array" ref="P931">_xlfn.IFS(tbl_Clean[[#This Row],[Income]]&lt;=30000,"$10k-30k",tbl_Clean[[#This Row],[Income]]&lt;=60000,"$40k-60k",tbl_Clean[[#This Row],[Income]]&lt;=90000,"$70k-90k",TRUE,"$100k+")</f>
        <v>$40k-60k</v>
      </c>
      <c r="Q931" s="20">
        <f>_xlfn.XMATCH(tbl_Clean[[#This Row],[Income Band]],{"$10k-30k","$40k-60k","$70k-90k","$100k+"})</f>
        <v>2</v>
      </c>
      <c r="R931" s="20" t="str">
        <f>IF(tbl_Clean[[#This Row],[Cars]]&lt;=1,"0-1 Cars","2+ Cars")</f>
        <v>2+ Cars</v>
      </c>
      <c r="S931" s="20">
        <f>_xlfn.XMATCH(tbl_Clean[[#This Row],[Commute Distance]],{"0-1 Miles","1-2 Miles","2-5 Miles","5-10 Miles","10+ Miles"})</f>
        <v>5</v>
      </c>
      <c r="T931" s="20">
        <f>_xlfn.XMATCH(tbl_Clean[[#This Row],[Education]],{"Partial High School","High School","Partial College","Bachelors","Graduate Degree"})</f>
        <v>2</v>
      </c>
      <c r="U931" s="20">
        <f>IF(tbl_Clean[[#This Row],[Purchased Bike]]="Yes",1,0)</f>
        <v>0</v>
      </c>
    </row>
    <row r="932" spans="1:21" x14ac:dyDescent="0.25">
      <c r="A932" s="20">
        <v>11823</v>
      </c>
      <c r="B932" s="3" t="s">
        <v>111</v>
      </c>
      <c r="C932" s="3" t="s">
        <v>112</v>
      </c>
      <c r="D932" s="19">
        <v>70000</v>
      </c>
      <c r="E932" s="20">
        <v>0</v>
      </c>
      <c r="F932" s="3" t="s">
        <v>34</v>
      </c>
      <c r="G932" s="3" t="s">
        <v>23</v>
      </c>
      <c r="H932" s="3" t="s">
        <v>17</v>
      </c>
      <c r="I932" s="20">
        <v>0</v>
      </c>
      <c r="J932" s="3" t="s">
        <v>24</v>
      </c>
      <c r="K932" s="3" t="s">
        <v>35</v>
      </c>
      <c r="L932" s="20">
        <v>39</v>
      </c>
      <c r="M932" s="3" t="s">
        <v>20</v>
      </c>
      <c r="N932" s="20" t="str" cm="1">
        <f t="array" ref="N932">_xlfn.IFS(tbl_Clean[[#This Row],[Age]]&lt;=30,"25-30",tbl_Clean[[#This Row],[Age]]&lt;=40,"31-40",tbl_Clean[[#This Row],[Age]]&lt;=50,"41-50",tbl_Clean[[#This Row],[Age]]&lt;=60,"51-60",TRUE,"61+")</f>
        <v>31-40</v>
      </c>
      <c r="O932" s="20">
        <f>_xlfn.XMATCH(tbl_Clean[[#This Row],[Age Band]],{"25-30","31-40","41-50","51-60","61+"})</f>
        <v>2</v>
      </c>
      <c r="P932" s="20" t="str" cm="1">
        <f t="array" ref="P932">_xlfn.IFS(tbl_Clean[[#This Row],[Income]]&lt;=30000,"$10k-30k",tbl_Clean[[#This Row],[Income]]&lt;=60000,"$40k-60k",tbl_Clean[[#This Row],[Income]]&lt;=90000,"$70k-90k",TRUE,"$100k+")</f>
        <v>$70k-90k</v>
      </c>
      <c r="Q932" s="20">
        <f>_xlfn.XMATCH(tbl_Clean[[#This Row],[Income Band]],{"$10k-30k","$40k-60k","$70k-90k","$100k+"})</f>
        <v>3</v>
      </c>
      <c r="R932" s="20" t="str">
        <f>IF(tbl_Clean[[#This Row],[Cars]]&lt;=1,"0-1 Cars","2+ Cars")</f>
        <v>0-1 Cars</v>
      </c>
      <c r="S932" s="20">
        <f>_xlfn.XMATCH(tbl_Clean[[#This Row],[Commute Distance]],{"0-1 Miles","1-2 Miles","2-5 Miles","5-10 Miles","10+ Miles"})</f>
        <v>3</v>
      </c>
      <c r="T932" s="20">
        <f>_xlfn.XMATCH(tbl_Clean[[#This Row],[Education]],{"Partial High School","High School","Partial College","Bachelors","Graduate Degree"})</f>
        <v>5</v>
      </c>
      <c r="U932" s="20">
        <f>IF(tbl_Clean[[#This Row],[Purchased Bike]]="Yes",1,0)</f>
        <v>0</v>
      </c>
    </row>
    <row r="933" spans="1:21" x14ac:dyDescent="0.25">
      <c r="A933" s="20">
        <v>23449</v>
      </c>
      <c r="B933" s="3" t="s">
        <v>111</v>
      </c>
      <c r="C933" s="3" t="s">
        <v>113</v>
      </c>
      <c r="D933" s="19">
        <v>60000</v>
      </c>
      <c r="E933" s="20">
        <v>2</v>
      </c>
      <c r="F933" s="3" t="s">
        <v>30</v>
      </c>
      <c r="G933" s="3" t="s">
        <v>23</v>
      </c>
      <c r="H933" s="3" t="s">
        <v>17</v>
      </c>
      <c r="I933" s="20">
        <v>2</v>
      </c>
      <c r="J933" s="3" t="s">
        <v>26</v>
      </c>
      <c r="K933" s="3" t="s">
        <v>35</v>
      </c>
      <c r="L933" s="20">
        <v>48</v>
      </c>
      <c r="M933" s="3" t="s">
        <v>20</v>
      </c>
      <c r="N933" s="20" t="str" cm="1">
        <f t="array" ref="N933">_xlfn.IFS(tbl_Clean[[#This Row],[Age]]&lt;=30,"25-30",tbl_Clean[[#This Row],[Age]]&lt;=40,"31-40",tbl_Clean[[#This Row],[Age]]&lt;=50,"41-50",tbl_Clean[[#This Row],[Age]]&lt;=60,"51-60",TRUE,"61+")</f>
        <v>41-50</v>
      </c>
      <c r="O933" s="20">
        <f>_xlfn.XMATCH(tbl_Clean[[#This Row],[Age Band]],{"25-30","31-40","41-50","51-60","61+"})</f>
        <v>3</v>
      </c>
      <c r="P933" s="20" t="str" cm="1">
        <f t="array" ref="P933">_xlfn.IFS(tbl_Clean[[#This Row],[Income]]&lt;=30000,"$10k-30k",tbl_Clean[[#This Row],[Income]]&lt;=60000,"$40k-60k",tbl_Clean[[#This Row],[Income]]&lt;=90000,"$70k-90k",TRUE,"$100k+")</f>
        <v>$40k-60k</v>
      </c>
      <c r="Q933" s="20">
        <f>_xlfn.XMATCH(tbl_Clean[[#This Row],[Income Band]],{"$10k-30k","$40k-60k","$70k-90k","$100k+"})</f>
        <v>2</v>
      </c>
      <c r="R933" s="20" t="str">
        <f>IF(tbl_Clean[[#This Row],[Cars]]&lt;=1,"0-1 Cars","2+ Cars")</f>
        <v>2+ Cars</v>
      </c>
      <c r="S933" s="20">
        <f>_xlfn.XMATCH(tbl_Clean[[#This Row],[Commute Distance]],{"0-1 Miles","1-2 Miles","2-5 Miles","5-10 Miles","10+ Miles"})</f>
        <v>4</v>
      </c>
      <c r="T933" s="20">
        <f>_xlfn.XMATCH(tbl_Clean[[#This Row],[Education]],{"Partial High School","High School","Partial College","Bachelors","Graduate Degree"})</f>
        <v>2</v>
      </c>
      <c r="U933" s="20">
        <f>IF(tbl_Clean[[#This Row],[Purchased Bike]]="Yes",1,0)</f>
        <v>0</v>
      </c>
    </row>
    <row r="934" spans="1:21" x14ac:dyDescent="0.25">
      <c r="A934" s="20">
        <v>23459</v>
      </c>
      <c r="B934" s="3" t="s">
        <v>111</v>
      </c>
      <c r="C934" s="3" t="s">
        <v>113</v>
      </c>
      <c r="D934" s="19">
        <v>60000</v>
      </c>
      <c r="E934" s="20">
        <v>2</v>
      </c>
      <c r="F934" s="3" t="s">
        <v>30</v>
      </c>
      <c r="G934" s="3" t="s">
        <v>23</v>
      </c>
      <c r="H934" s="3" t="s">
        <v>17</v>
      </c>
      <c r="I934" s="20">
        <v>2</v>
      </c>
      <c r="J934" s="3" t="s">
        <v>26</v>
      </c>
      <c r="K934" s="3" t="s">
        <v>35</v>
      </c>
      <c r="L934" s="20">
        <v>50</v>
      </c>
      <c r="M934" s="3" t="s">
        <v>20</v>
      </c>
      <c r="N934" s="20" t="str" cm="1">
        <f t="array" ref="N934">_xlfn.IFS(tbl_Clean[[#This Row],[Age]]&lt;=30,"25-30",tbl_Clean[[#This Row],[Age]]&lt;=40,"31-40",tbl_Clean[[#This Row],[Age]]&lt;=50,"41-50",tbl_Clean[[#This Row],[Age]]&lt;=60,"51-60",TRUE,"61+")</f>
        <v>41-50</v>
      </c>
      <c r="O934" s="20">
        <f>_xlfn.XMATCH(tbl_Clean[[#This Row],[Age Band]],{"25-30","31-40","41-50","51-60","61+"})</f>
        <v>3</v>
      </c>
      <c r="P934" s="20" t="str" cm="1">
        <f t="array" ref="P934">_xlfn.IFS(tbl_Clean[[#This Row],[Income]]&lt;=30000,"$10k-30k",tbl_Clean[[#This Row],[Income]]&lt;=60000,"$40k-60k",tbl_Clean[[#This Row],[Income]]&lt;=90000,"$70k-90k",TRUE,"$100k+")</f>
        <v>$40k-60k</v>
      </c>
      <c r="Q934" s="20">
        <f>_xlfn.XMATCH(tbl_Clean[[#This Row],[Income Band]],{"$10k-30k","$40k-60k","$70k-90k","$100k+"})</f>
        <v>2</v>
      </c>
      <c r="R934" s="20" t="str">
        <f>IF(tbl_Clean[[#This Row],[Cars]]&lt;=1,"0-1 Cars","2+ Cars")</f>
        <v>2+ Cars</v>
      </c>
      <c r="S934" s="20">
        <f>_xlfn.XMATCH(tbl_Clean[[#This Row],[Commute Distance]],{"0-1 Miles","1-2 Miles","2-5 Miles","5-10 Miles","10+ Miles"})</f>
        <v>4</v>
      </c>
      <c r="T934" s="20">
        <f>_xlfn.XMATCH(tbl_Clean[[#This Row],[Education]],{"Partial High School","High School","Partial College","Bachelors","Graduate Degree"})</f>
        <v>2</v>
      </c>
      <c r="U934" s="20">
        <f>IF(tbl_Clean[[#This Row],[Purchased Bike]]="Yes",1,0)</f>
        <v>0</v>
      </c>
    </row>
    <row r="935" spans="1:21" x14ac:dyDescent="0.25">
      <c r="A935" s="20">
        <v>19543</v>
      </c>
      <c r="B935" s="3" t="s">
        <v>111</v>
      </c>
      <c r="C935" s="3" t="s">
        <v>113</v>
      </c>
      <c r="D935" s="19">
        <v>70000</v>
      </c>
      <c r="E935" s="20">
        <v>5</v>
      </c>
      <c r="F935" s="3" t="s">
        <v>34</v>
      </c>
      <c r="G935" s="3" t="s">
        <v>23</v>
      </c>
      <c r="H935" s="3" t="s">
        <v>20</v>
      </c>
      <c r="I935" s="20">
        <v>3</v>
      </c>
      <c r="J935" s="3" t="s">
        <v>33</v>
      </c>
      <c r="K935" s="3" t="s">
        <v>35</v>
      </c>
      <c r="L935" s="20">
        <v>47</v>
      </c>
      <c r="M935" s="3" t="s">
        <v>20</v>
      </c>
      <c r="N935" s="20" t="str" cm="1">
        <f t="array" ref="N935">_xlfn.IFS(tbl_Clean[[#This Row],[Age]]&lt;=30,"25-30",tbl_Clean[[#This Row],[Age]]&lt;=40,"31-40",tbl_Clean[[#This Row],[Age]]&lt;=50,"41-50",tbl_Clean[[#This Row],[Age]]&lt;=60,"51-60",TRUE,"61+")</f>
        <v>41-50</v>
      </c>
      <c r="O935" s="20">
        <f>_xlfn.XMATCH(tbl_Clean[[#This Row],[Age Band]],{"25-30","31-40","41-50","51-60","61+"})</f>
        <v>3</v>
      </c>
      <c r="P935" s="20" t="str" cm="1">
        <f t="array" ref="P935">_xlfn.IFS(tbl_Clean[[#This Row],[Income]]&lt;=30000,"$10k-30k",tbl_Clean[[#This Row],[Income]]&lt;=60000,"$40k-60k",tbl_Clean[[#This Row],[Income]]&lt;=90000,"$70k-90k",TRUE,"$100k+")</f>
        <v>$70k-90k</v>
      </c>
      <c r="Q935" s="20">
        <f>_xlfn.XMATCH(tbl_Clean[[#This Row],[Income Band]],{"$10k-30k","$40k-60k","$70k-90k","$100k+"})</f>
        <v>3</v>
      </c>
      <c r="R935" s="20" t="str">
        <f>IF(tbl_Clean[[#This Row],[Cars]]&lt;=1,"0-1 Cars","2+ Cars")</f>
        <v>2+ Cars</v>
      </c>
      <c r="S935" s="20">
        <f>_xlfn.XMATCH(tbl_Clean[[#This Row],[Commute Distance]],{"0-1 Miles","1-2 Miles","2-5 Miles","5-10 Miles","10+ Miles"})</f>
        <v>5</v>
      </c>
      <c r="T935" s="20">
        <f>_xlfn.XMATCH(tbl_Clean[[#This Row],[Education]],{"Partial High School","High School","Partial College","Bachelors","Graduate Degree"})</f>
        <v>5</v>
      </c>
      <c r="U935" s="20">
        <f>IF(tbl_Clean[[#This Row],[Purchased Bike]]="Yes",1,0)</f>
        <v>0</v>
      </c>
    </row>
    <row r="936" spans="1:21" x14ac:dyDescent="0.25">
      <c r="A936" s="20">
        <v>14914</v>
      </c>
      <c r="B936" s="3" t="s">
        <v>111</v>
      </c>
      <c r="C936" s="3" t="s">
        <v>112</v>
      </c>
      <c r="D936" s="19">
        <v>40000</v>
      </c>
      <c r="E936" s="20">
        <v>1</v>
      </c>
      <c r="F936" s="3" t="s">
        <v>21</v>
      </c>
      <c r="G936" s="3" t="s">
        <v>22</v>
      </c>
      <c r="H936" s="3" t="s">
        <v>17</v>
      </c>
      <c r="I936" s="20">
        <v>1</v>
      </c>
      <c r="J936" s="3" t="s">
        <v>29</v>
      </c>
      <c r="K936" s="3" t="s">
        <v>35</v>
      </c>
      <c r="L936" s="20">
        <v>49</v>
      </c>
      <c r="M936" s="3" t="s">
        <v>17</v>
      </c>
      <c r="N936" s="20" t="str" cm="1">
        <f t="array" ref="N936">_xlfn.IFS(tbl_Clean[[#This Row],[Age]]&lt;=30,"25-30",tbl_Clean[[#This Row],[Age]]&lt;=40,"31-40",tbl_Clean[[#This Row],[Age]]&lt;=50,"41-50",tbl_Clean[[#This Row],[Age]]&lt;=60,"51-60",TRUE,"61+")</f>
        <v>41-50</v>
      </c>
      <c r="O936" s="20">
        <f>_xlfn.XMATCH(tbl_Clean[[#This Row],[Age Band]],{"25-30","31-40","41-50","51-60","61+"})</f>
        <v>3</v>
      </c>
      <c r="P936" s="20" t="str" cm="1">
        <f t="array" ref="P936">_xlfn.IFS(tbl_Clean[[#This Row],[Income]]&lt;=30000,"$10k-30k",tbl_Clean[[#This Row],[Income]]&lt;=60000,"$40k-60k",tbl_Clean[[#This Row],[Income]]&lt;=90000,"$70k-90k",TRUE,"$100k+")</f>
        <v>$40k-60k</v>
      </c>
      <c r="Q936" s="20">
        <f>_xlfn.XMATCH(tbl_Clean[[#This Row],[Income Band]],{"$10k-30k","$40k-60k","$70k-90k","$100k+"})</f>
        <v>2</v>
      </c>
      <c r="R936" s="20" t="str">
        <f>IF(tbl_Clean[[#This Row],[Cars]]&lt;=1,"0-1 Cars","2+ Cars")</f>
        <v>0-1 Cars</v>
      </c>
      <c r="S936" s="20">
        <f>_xlfn.XMATCH(tbl_Clean[[#This Row],[Commute Distance]],{"0-1 Miles","1-2 Miles","2-5 Miles","5-10 Miles","10+ Miles"})</f>
        <v>2</v>
      </c>
      <c r="T936" s="20">
        <f>_xlfn.XMATCH(tbl_Clean[[#This Row],[Education]],{"Partial High School","High School","Partial College","Bachelors","Graduate Degree"})</f>
        <v>3</v>
      </c>
      <c r="U936" s="20">
        <f>IF(tbl_Clean[[#This Row],[Purchased Bike]]="Yes",1,0)</f>
        <v>1</v>
      </c>
    </row>
    <row r="937" spans="1:21" x14ac:dyDescent="0.25">
      <c r="A937" s="20">
        <v>12033</v>
      </c>
      <c r="B937" s="3" t="s">
        <v>114</v>
      </c>
      <c r="C937" s="3" t="s">
        <v>112</v>
      </c>
      <c r="D937" s="19">
        <v>40000</v>
      </c>
      <c r="E937" s="20">
        <v>0</v>
      </c>
      <c r="F937" s="3" t="s">
        <v>30</v>
      </c>
      <c r="G937" s="3" t="s">
        <v>16</v>
      </c>
      <c r="H937" s="3" t="s">
        <v>20</v>
      </c>
      <c r="I937" s="20">
        <v>2</v>
      </c>
      <c r="J937" s="3" t="s">
        <v>18</v>
      </c>
      <c r="K937" s="3" t="s">
        <v>35</v>
      </c>
      <c r="L937" s="20">
        <v>27</v>
      </c>
      <c r="M937" s="3" t="s">
        <v>17</v>
      </c>
      <c r="N937" s="20" t="str" cm="1">
        <f t="array" ref="N937">_xlfn.IFS(tbl_Clean[[#This Row],[Age]]&lt;=30,"25-30",tbl_Clean[[#This Row],[Age]]&lt;=40,"31-40",tbl_Clean[[#This Row],[Age]]&lt;=50,"41-50",tbl_Clean[[#This Row],[Age]]&lt;=60,"51-60",TRUE,"61+")</f>
        <v>25-30</v>
      </c>
      <c r="O937" s="20">
        <f>_xlfn.XMATCH(tbl_Clean[[#This Row],[Age Band]],{"25-30","31-40","41-50","51-60","61+"})</f>
        <v>1</v>
      </c>
      <c r="P937" s="20" t="str" cm="1">
        <f t="array" ref="P937">_xlfn.IFS(tbl_Clean[[#This Row],[Income]]&lt;=30000,"$10k-30k",tbl_Clean[[#This Row],[Income]]&lt;=60000,"$40k-60k",tbl_Clean[[#This Row],[Income]]&lt;=90000,"$70k-90k",TRUE,"$100k+")</f>
        <v>$40k-60k</v>
      </c>
      <c r="Q937" s="20">
        <f>_xlfn.XMATCH(tbl_Clean[[#This Row],[Income Band]],{"$10k-30k","$40k-60k","$70k-90k","$100k+"})</f>
        <v>2</v>
      </c>
      <c r="R937" s="20" t="str">
        <f>IF(tbl_Clean[[#This Row],[Cars]]&lt;=1,"0-1 Cars","2+ Cars")</f>
        <v>2+ Cars</v>
      </c>
      <c r="S937" s="20">
        <f>_xlfn.XMATCH(tbl_Clean[[#This Row],[Commute Distance]],{"0-1 Miles","1-2 Miles","2-5 Miles","5-10 Miles","10+ Miles"})</f>
        <v>1</v>
      </c>
      <c r="T937" s="20">
        <f>_xlfn.XMATCH(tbl_Clean[[#This Row],[Education]],{"Partial High School","High School","Partial College","Bachelors","Graduate Degree"})</f>
        <v>2</v>
      </c>
      <c r="U937" s="20">
        <f>IF(tbl_Clean[[#This Row],[Purchased Bike]]="Yes",1,0)</f>
        <v>1</v>
      </c>
    </row>
    <row r="938" spans="1:21" x14ac:dyDescent="0.25">
      <c r="A938" s="20">
        <v>11941</v>
      </c>
      <c r="B938" s="3" t="s">
        <v>114</v>
      </c>
      <c r="C938" s="3" t="s">
        <v>113</v>
      </c>
      <c r="D938" s="19">
        <v>60000</v>
      </c>
      <c r="E938" s="20">
        <v>0</v>
      </c>
      <c r="F938" s="3" t="s">
        <v>21</v>
      </c>
      <c r="G938" s="3" t="s">
        <v>16</v>
      </c>
      <c r="H938" s="3" t="s">
        <v>17</v>
      </c>
      <c r="I938" s="20">
        <v>0</v>
      </c>
      <c r="J938" s="3" t="s">
        <v>26</v>
      </c>
      <c r="K938" s="3" t="s">
        <v>35</v>
      </c>
      <c r="L938" s="20">
        <v>29</v>
      </c>
      <c r="M938" s="3" t="s">
        <v>20</v>
      </c>
      <c r="N938" s="20" t="str" cm="1">
        <f t="array" ref="N938">_xlfn.IFS(tbl_Clean[[#This Row],[Age]]&lt;=30,"25-30",tbl_Clean[[#This Row],[Age]]&lt;=40,"31-40",tbl_Clean[[#This Row],[Age]]&lt;=50,"41-50",tbl_Clean[[#This Row],[Age]]&lt;=60,"51-60",TRUE,"61+")</f>
        <v>25-30</v>
      </c>
      <c r="O938" s="20">
        <f>_xlfn.XMATCH(tbl_Clean[[#This Row],[Age Band]],{"25-30","31-40","41-50","51-60","61+"})</f>
        <v>1</v>
      </c>
      <c r="P938" s="20" t="str" cm="1">
        <f t="array" ref="P938">_xlfn.IFS(tbl_Clean[[#This Row],[Income]]&lt;=30000,"$10k-30k",tbl_Clean[[#This Row],[Income]]&lt;=60000,"$40k-60k",tbl_Clean[[#This Row],[Income]]&lt;=90000,"$70k-90k",TRUE,"$100k+")</f>
        <v>$40k-60k</v>
      </c>
      <c r="Q938" s="20">
        <f>_xlfn.XMATCH(tbl_Clean[[#This Row],[Income Band]],{"$10k-30k","$40k-60k","$70k-90k","$100k+"})</f>
        <v>2</v>
      </c>
      <c r="R938" s="20" t="str">
        <f>IF(tbl_Clean[[#This Row],[Cars]]&lt;=1,"0-1 Cars","2+ Cars")</f>
        <v>0-1 Cars</v>
      </c>
      <c r="S938" s="20">
        <f>_xlfn.XMATCH(tbl_Clean[[#This Row],[Commute Distance]],{"0-1 Miles","1-2 Miles","2-5 Miles","5-10 Miles","10+ Miles"})</f>
        <v>4</v>
      </c>
      <c r="T938" s="20">
        <f>_xlfn.XMATCH(tbl_Clean[[#This Row],[Education]],{"Partial High School","High School","Partial College","Bachelors","Graduate Degree"})</f>
        <v>3</v>
      </c>
      <c r="U938" s="20">
        <f>IF(tbl_Clean[[#This Row],[Purchased Bike]]="Yes",1,0)</f>
        <v>0</v>
      </c>
    </row>
    <row r="939" spans="1:21" x14ac:dyDescent="0.25">
      <c r="A939" s="20">
        <v>14389</v>
      </c>
      <c r="B939" s="3" t="s">
        <v>111</v>
      </c>
      <c r="C939" s="3" t="s">
        <v>113</v>
      </c>
      <c r="D939" s="19">
        <v>60000</v>
      </c>
      <c r="E939" s="20">
        <v>2</v>
      </c>
      <c r="F939" s="3" t="s">
        <v>15</v>
      </c>
      <c r="G939" s="3" t="s">
        <v>31</v>
      </c>
      <c r="H939" s="3" t="s">
        <v>17</v>
      </c>
      <c r="I939" s="20">
        <v>0</v>
      </c>
      <c r="J939" s="3" t="s">
        <v>24</v>
      </c>
      <c r="K939" s="3" t="s">
        <v>35</v>
      </c>
      <c r="L939" s="20">
        <v>59</v>
      </c>
      <c r="M939" s="3" t="s">
        <v>20</v>
      </c>
      <c r="N939" s="20" t="str" cm="1">
        <f t="array" ref="N939">_xlfn.IFS(tbl_Clean[[#This Row],[Age]]&lt;=30,"25-30",tbl_Clean[[#This Row],[Age]]&lt;=40,"31-40",tbl_Clean[[#This Row],[Age]]&lt;=50,"41-50",tbl_Clean[[#This Row],[Age]]&lt;=60,"51-60",TRUE,"61+")</f>
        <v>51-60</v>
      </c>
      <c r="O939" s="20">
        <f>_xlfn.XMATCH(tbl_Clean[[#This Row],[Age Band]],{"25-30","31-40","41-50","51-60","61+"})</f>
        <v>4</v>
      </c>
      <c r="P939" s="20" t="str" cm="1">
        <f t="array" ref="P939">_xlfn.IFS(tbl_Clean[[#This Row],[Income]]&lt;=30000,"$10k-30k",tbl_Clean[[#This Row],[Income]]&lt;=60000,"$40k-60k",tbl_Clean[[#This Row],[Income]]&lt;=90000,"$70k-90k",TRUE,"$100k+")</f>
        <v>$40k-60k</v>
      </c>
      <c r="Q939" s="20">
        <f>_xlfn.XMATCH(tbl_Clean[[#This Row],[Income Band]],{"$10k-30k","$40k-60k","$70k-90k","$100k+"})</f>
        <v>2</v>
      </c>
      <c r="R939" s="20" t="str">
        <f>IF(tbl_Clean[[#This Row],[Cars]]&lt;=1,"0-1 Cars","2+ Cars")</f>
        <v>0-1 Cars</v>
      </c>
      <c r="S939" s="20">
        <f>_xlfn.XMATCH(tbl_Clean[[#This Row],[Commute Distance]],{"0-1 Miles","1-2 Miles","2-5 Miles","5-10 Miles","10+ Miles"})</f>
        <v>3</v>
      </c>
      <c r="T939" s="20">
        <f>_xlfn.XMATCH(tbl_Clean[[#This Row],[Education]],{"Partial High School","High School","Partial College","Bachelors","Graduate Degree"})</f>
        <v>4</v>
      </c>
      <c r="U939" s="20">
        <f>IF(tbl_Clean[[#This Row],[Purchased Bike]]="Yes",1,0)</f>
        <v>0</v>
      </c>
    </row>
    <row r="940" spans="1:21" x14ac:dyDescent="0.25">
      <c r="A940" s="20">
        <v>18050</v>
      </c>
      <c r="B940" s="3" t="s">
        <v>111</v>
      </c>
      <c r="C940" s="3" t="s">
        <v>112</v>
      </c>
      <c r="D940" s="19">
        <v>60000</v>
      </c>
      <c r="E940" s="20">
        <v>1</v>
      </c>
      <c r="F940" s="3" t="s">
        <v>21</v>
      </c>
      <c r="G940" s="3" t="s">
        <v>16</v>
      </c>
      <c r="H940" s="3" t="s">
        <v>17</v>
      </c>
      <c r="I940" s="20">
        <v>1</v>
      </c>
      <c r="J940" s="3" t="s">
        <v>18</v>
      </c>
      <c r="K940" s="3" t="s">
        <v>35</v>
      </c>
      <c r="L940" s="20">
        <v>45</v>
      </c>
      <c r="M940" s="3" t="s">
        <v>17</v>
      </c>
      <c r="N940" s="20" t="str" cm="1">
        <f t="array" ref="N940">_xlfn.IFS(tbl_Clean[[#This Row],[Age]]&lt;=30,"25-30",tbl_Clean[[#This Row],[Age]]&lt;=40,"31-40",tbl_Clean[[#This Row],[Age]]&lt;=50,"41-50",tbl_Clean[[#This Row],[Age]]&lt;=60,"51-60",TRUE,"61+")</f>
        <v>41-50</v>
      </c>
      <c r="O940" s="20">
        <f>_xlfn.XMATCH(tbl_Clean[[#This Row],[Age Band]],{"25-30","31-40","41-50","51-60","61+"})</f>
        <v>3</v>
      </c>
      <c r="P940" s="20" t="str" cm="1">
        <f t="array" ref="P940">_xlfn.IFS(tbl_Clean[[#This Row],[Income]]&lt;=30000,"$10k-30k",tbl_Clean[[#This Row],[Income]]&lt;=60000,"$40k-60k",tbl_Clean[[#This Row],[Income]]&lt;=90000,"$70k-90k",TRUE,"$100k+")</f>
        <v>$40k-60k</v>
      </c>
      <c r="Q940" s="20">
        <f>_xlfn.XMATCH(tbl_Clean[[#This Row],[Income Band]],{"$10k-30k","$40k-60k","$70k-90k","$100k+"})</f>
        <v>2</v>
      </c>
      <c r="R940" s="20" t="str">
        <f>IF(tbl_Clean[[#This Row],[Cars]]&lt;=1,"0-1 Cars","2+ Cars")</f>
        <v>0-1 Cars</v>
      </c>
      <c r="S940" s="20">
        <f>_xlfn.XMATCH(tbl_Clean[[#This Row],[Commute Distance]],{"0-1 Miles","1-2 Miles","2-5 Miles","5-10 Miles","10+ Miles"})</f>
        <v>1</v>
      </c>
      <c r="T940" s="20">
        <f>_xlfn.XMATCH(tbl_Clean[[#This Row],[Education]],{"Partial High School","High School","Partial College","Bachelors","Graduate Degree"})</f>
        <v>3</v>
      </c>
      <c r="U940" s="20">
        <f>IF(tbl_Clean[[#This Row],[Purchased Bike]]="Yes",1,0)</f>
        <v>1</v>
      </c>
    </row>
    <row r="941" spans="1:21" x14ac:dyDescent="0.25">
      <c r="A941" s="20">
        <v>19856</v>
      </c>
      <c r="B941" s="3" t="s">
        <v>111</v>
      </c>
      <c r="C941" s="3" t="s">
        <v>112</v>
      </c>
      <c r="D941" s="19">
        <v>60000</v>
      </c>
      <c r="E941" s="20">
        <v>4</v>
      </c>
      <c r="F941" s="3" t="s">
        <v>15</v>
      </c>
      <c r="G941" s="3" t="s">
        <v>31</v>
      </c>
      <c r="H941" s="3" t="s">
        <v>17</v>
      </c>
      <c r="I941" s="20">
        <v>2</v>
      </c>
      <c r="J941" s="3" t="s">
        <v>24</v>
      </c>
      <c r="K941" s="3" t="s">
        <v>35</v>
      </c>
      <c r="L941" s="20">
        <v>60</v>
      </c>
      <c r="M941" s="3" t="s">
        <v>20</v>
      </c>
      <c r="N941" s="20" t="str" cm="1">
        <f t="array" ref="N941">_xlfn.IFS(tbl_Clean[[#This Row],[Age]]&lt;=30,"25-30",tbl_Clean[[#This Row],[Age]]&lt;=40,"31-40",tbl_Clean[[#This Row],[Age]]&lt;=50,"41-50",tbl_Clean[[#This Row],[Age]]&lt;=60,"51-60",TRUE,"61+")</f>
        <v>51-60</v>
      </c>
      <c r="O941" s="20">
        <f>_xlfn.XMATCH(tbl_Clean[[#This Row],[Age Band]],{"25-30","31-40","41-50","51-60","61+"})</f>
        <v>4</v>
      </c>
      <c r="P941" s="20" t="str" cm="1">
        <f t="array" ref="P941">_xlfn.IFS(tbl_Clean[[#This Row],[Income]]&lt;=30000,"$10k-30k",tbl_Clean[[#This Row],[Income]]&lt;=60000,"$40k-60k",tbl_Clean[[#This Row],[Income]]&lt;=90000,"$70k-90k",TRUE,"$100k+")</f>
        <v>$40k-60k</v>
      </c>
      <c r="Q941" s="20">
        <f>_xlfn.XMATCH(tbl_Clean[[#This Row],[Income Band]],{"$10k-30k","$40k-60k","$70k-90k","$100k+"})</f>
        <v>2</v>
      </c>
      <c r="R941" s="20" t="str">
        <f>IF(tbl_Clean[[#This Row],[Cars]]&lt;=1,"0-1 Cars","2+ Cars")</f>
        <v>2+ Cars</v>
      </c>
      <c r="S941" s="20">
        <f>_xlfn.XMATCH(tbl_Clean[[#This Row],[Commute Distance]],{"0-1 Miles","1-2 Miles","2-5 Miles","5-10 Miles","10+ Miles"})</f>
        <v>3</v>
      </c>
      <c r="T941" s="20">
        <f>_xlfn.XMATCH(tbl_Clean[[#This Row],[Education]],{"Partial High School","High School","Partial College","Bachelors","Graduate Degree"})</f>
        <v>4</v>
      </c>
      <c r="U941" s="20">
        <f>IF(tbl_Clean[[#This Row],[Purchased Bike]]="Yes",1,0)</f>
        <v>0</v>
      </c>
    </row>
    <row r="942" spans="1:21" x14ac:dyDescent="0.25">
      <c r="A942" s="20">
        <v>11663</v>
      </c>
      <c r="B942" s="3" t="s">
        <v>111</v>
      </c>
      <c r="C942" s="3" t="s">
        <v>113</v>
      </c>
      <c r="D942" s="19">
        <v>70000</v>
      </c>
      <c r="E942" s="20">
        <v>4</v>
      </c>
      <c r="F942" s="3" t="s">
        <v>34</v>
      </c>
      <c r="G942" s="3" t="s">
        <v>23</v>
      </c>
      <c r="H942" s="3" t="s">
        <v>17</v>
      </c>
      <c r="I942" s="20">
        <v>0</v>
      </c>
      <c r="J942" s="3" t="s">
        <v>18</v>
      </c>
      <c r="K942" s="3" t="s">
        <v>35</v>
      </c>
      <c r="L942" s="20">
        <v>36</v>
      </c>
      <c r="M942" s="3" t="s">
        <v>17</v>
      </c>
      <c r="N942" s="20" t="str" cm="1">
        <f t="array" ref="N942">_xlfn.IFS(tbl_Clean[[#This Row],[Age]]&lt;=30,"25-30",tbl_Clean[[#This Row],[Age]]&lt;=40,"31-40",tbl_Clean[[#This Row],[Age]]&lt;=50,"41-50",tbl_Clean[[#This Row],[Age]]&lt;=60,"51-60",TRUE,"61+")</f>
        <v>31-40</v>
      </c>
      <c r="O942" s="20">
        <f>_xlfn.XMATCH(tbl_Clean[[#This Row],[Age Band]],{"25-30","31-40","41-50","51-60","61+"})</f>
        <v>2</v>
      </c>
      <c r="P942" s="20" t="str" cm="1">
        <f t="array" ref="P942">_xlfn.IFS(tbl_Clean[[#This Row],[Income]]&lt;=30000,"$10k-30k",tbl_Clean[[#This Row],[Income]]&lt;=60000,"$40k-60k",tbl_Clean[[#This Row],[Income]]&lt;=90000,"$70k-90k",TRUE,"$100k+")</f>
        <v>$70k-90k</v>
      </c>
      <c r="Q942" s="20">
        <f>_xlfn.XMATCH(tbl_Clean[[#This Row],[Income Band]],{"$10k-30k","$40k-60k","$70k-90k","$100k+"})</f>
        <v>3</v>
      </c>
      <c r="R942" s="20" t="str">
        <f>IF(tbl_Clean[[#This Row],[Cars]]&lt;=1,"0-1 Cars","2+ Cars")</f>
        <v>0-1 Cars</v>
      </c>
      <c r="S942" s="20">
        <f>_xlfn.XMATCH(tbl_Clean[[#This Row],[Commute Distance]],{"0-1 Miles","1-2 Miles","2-5 Miles","5-10 Miles","10+ Miles"})</f>
        <v>1</v>
      </c>
      <c r="T942" s="20">
        <f>_xlfn.XMATCH(tbl_Clean[[#This Row],[Education]],{"Partial High School","High School","Partial College","Bachelors","Graduate Degree"})</f>
        <v>5</v>
      </c>
      <c r="U942" s="20">
        <f>IF(tbl_Clean[[#This Row],[Purchased Bike]]="Yes",1,0)</f>
        <v>1</v>
      </c>
    </row>
    <row r="943" spans="1:21" x14ac:dyDescent="0.25">
      <c r="A943" s="20">
        <v>27740</v>
      </c>
      <c r="B943" s="3" t="s">
        <v>111</v>
      </c>
      <c r="C943" s="3" t="s">
        <v>112</v>
      </c>
      <c r="D943" s="19">
        <v>40000</v>
      </c>
      <c r="E943" s="20">
        <v>0</v>
      </c>
      <c r="F943" s="3" t="s">
        <v>30</v>
      </c>
      <c r="G943" s="3" t="s">
        <v>16</v>
      </c>
      <c r="H943" s="3" t="s">
        <v>17</v>
      </c>
      <c r="I943" s="20">
        <v>2</v>
      </c>
      <c r="J943" s="3" t="s">
        <v>26</v>
      </c>
      <c r="K943" s="3" t="s">
        <v>35</v>
      </c>
      <c r="L943" s="20">
        <v>27</v>
      </c>
      <c r="M943" s="3" t="s">
        <v>20</v>
      </c>
      <c r="N943" s="20" t="str" cm="1">
        <f t="array" ref="N943">_xlfn.IFS(tbl_Clean[[#This Row],[Age]]&lt;=30,"25-30",tbl_Clean[[#This Row],[Age]]&lt;=40,"31-40",tbl_Clean[[#This Row],[Age]]&lt;=50,"41-50",tbl_Clean[[#This Row],[Age]]&lt;=60,"51-60",TRUE,"61+")</f>
        <v>25-30</v>
      </c>
      <c r="O943" s="20">
        <f>_xlfn.XMATCH(tbl_Clean[[#This Row],[Age Band]],{"25-30","31-40","41-50","51-60","61+"})</f>
        <v>1</v>
      </c>
      <c r="P943" s="20" t="str" cm="1">
        <f t="array" ref="P943">_xlfn.IFS(tbl_Clean[[#This Row],[Income]]&lt;=30000,"$10k-30k",tbl_Clean[[#This Row],[Income]]&lt;=60000,"$40k-60k",tbl_Clean[[#This Row],[Income]]&lt;=90000,"$70k-90k",TRUE,"$100k+")</f>
        <v>$40k-60k</v>
      </c>
      <c r="Q943" s="20">
        <f>_xlfn.XMATCH(tbl_Clean[[#This Row],[Income Band]],{"$10k-30k","$40k-60k","$70k-90k","$100k+"})</f>
        <v>2</v>
      </c>
      <c r="R943" s="20" t="str">
        <f>IF(tbl_Clean[[#This Row],[Cars]]&lt;=1,"0-1 Cars","2+ Cars")</f>
        <v>2+ Cars</v>
      </c>
      <c r="S943" s="20">
        <f>_xlfn.XMATCH(tbl_Clean[[#This Row],[Commute Distance]],{"0-1 Miles","1-2 Miles","2-5 Miles","5-10 Miles","10+ Miles"})</f>
        <v>4</v>
      </c>
      <c r="T943" s="20">
        <f>_xlfn.XMATCH(tbl_Clean[[#This Row],[Education]],{"Partial High School","High School","Partial College","Bachelors","Graduate Degree"})</f>
        <v>2</v>
      </c>
      <c r="U943" s="20">
        <f>IF(tbl_Clean[[#This Row],[Purchased Bike]]="Yes",1,0)</f>
        <v>0</v>
      </c>
    </row>
    <row r="944" spans="1:21" x14ac:dyDescent="0.25">
      <c r="A944" s="20">
        <v>23455</v>
      </c>
      <c r="B944" s="3" t="s">
        <v>114</v>
      </c>
      <c r="C944" s="3" t="s">
        <v>113</v>
      </c>
      <c r="D944" s="19">
        <v>80000</v>
      </c>
      <c r="E944" s="20">
        <v>2</v>
      </c>
      <c r="F944" s="3" t="s">
        <v>32</v>
      </c>
      <c r="G944" s="3" t="s">
        <v>16</v>
      </c>
      <c r="H944" s="3" t="s">
        <v>20</v>
      </c>
      <c r="I944" s="20">
        <v>2</v>
      </c>
      <c r="J944" s="3" t="s">
        <v>29</v>
      </c>
      <c r="K944" s="3" t="s">
        <v>35</v>
      </c>
      <c r="L944" s="20">
        <v>50</v>
      </c>
      <c r="M944" s="3" t="s">
        <v>20</v>
      </c>
      <c r="N944" s="20" t="str" cm="1">
        <f t="array" ref="N944">_xlfn.IFS(tbl_Clean[[#This Row],[Age]]&lt;=30,"25-30",tbl_Clean[[#This Row],[Age]]&lt;=40,"31-40",tbl_Clean[[#This Row],[Age]]&lt;=50,"41-50",tbl_Clean[[#This Row],[Age]]&lt;=60,"51-60",TRUE,"61+")</f>
        <v>41-50</v>
      </c>
      <c r="O944" s="20">
        <f>_xlfn.XMATCH(tbl_Clean[[#This Row],[Age Band]],{"25-30","31-40","41-50","51-60","61+"})</f>
        <v>3</v>
      </c>
      <c r="P944" s="20" t="str" cm="1">
        <f t="array" ref="P944">_xlfn.IFS(tbl_Clean[[#This Row],[Income]]&lt;=30000,"$10k-30k",tbl_Clean[[#This Row],[Income]]&lt;=60000,"$40k-60k",tbl_Clean[[#This Row],[Income]]&lt;=90000,"$70k-90k",TRUE,"$100k+")</f>
        <v>$70k-90k</v>
      </c>
      <c r="Q944" s="20">
        <f>_xlfn.XMATCH(tbl_Clean[[#This Row],[Income Band]],{"$10k-30k","$40k-60k","$70k-90k","$100k+"})</f>
        <v>3</v>
      </c>
      <c r="R944" s="20" t="str">
        <f>IF(tbl_Clean[[#This Row],[Cars]]&lt;=1,"0-1 Cars","2+ Cars")</f>
        <v>2+ Cars</v>
      </c>
      <c r="S944" s="20">
        <f>_xlfn.XMATCH(tbl_Clean[[#This Row],[Commute Distance]],{"0-1 Miles","1-2 Miles","2-5 Miles","5-10 Miles","10+ Miles"})</f>
        <v>2</v>
      </c>
      <c r="T944" s="20">
        <f>_xlfn.XMATCH(tbl_Clean[[#This Row],[Education]],{"Partial High School","High School","Partial College","Bachelors","Graduate Degree"})</f>
        <v>1</v>
      </c>
      <c r="U944" s="20">
        <f>IF(tbl_Clean[[#This Row],[Purchased Bike]]="Yes",1,0)</f>
        <v>0</v>
      </c>
    </row>
    <row r="945" spans="1:21" x14ac:dyDescent="0.25">
      <c r="A945" s="20">
        <v>15292</v>
      </c>
      <c r="B945" s="3" t="s">
        <v>114</v>
      </c>
      <c r="C945" s="3" t="s">
        <v>112</v>
      </c>
      <c r="D945" s="19">
        <v>60000</v>
      </c>
      <c r="E945" s="20">
        <v>1</v>
      </c>
      <c r="F945" s="3" t="s">
        <v>34</v>
      </c>
      <c r="G945" s="3" t="s">
        <v>16</v>
      </c>
      <c r="H945" s="3" t="s">
        <v>17</v>
      </c>
      <c r="I945" s="20">
        <v>0</v>
      </c>
      <c r="J945" s="3" t="s">
        <v>29</v>
      </c>
      <c r="K945" s="3" t="s">
        <v>35</v>
      </c>
      <c r="L945" s="20">
        <v>35</v>
      </c>
      <c r="M945" s="3" t="s">
        <v>20</v>
      </c>
      <c r="N945" s="20" t="str" cm="1">
        <f t="array" ref="N945">_xlfn.IFS(tbl_Clean[[#This Row],[Age]]&lt;=30,"25-30",tbl_Clean[[#This Row],[Age]]&lt;=40,"31-40",tbl_Clean[[#This Row],[Age]]&lt;=50,"41-50",tbl_Clean[[#This Row],[Age]]&lt;=60,"51-60",TRUE,"61+")</f>
        <v>31-40</v>
      </c>
      <c r="O945" s="20">
        <f>_xlfn.XMATCH(tbl_Clean[[#This Row],[Age Band]],{"25-30","31-40","41-50","51-60","61+"})</f>
        <v>2</v>
      </c>
      <c r="P945" s="20" t="str" cm="1">
        <f t="array" ref="P945">_xlfn.IFS(tbl_Clean[[#This Row],[Income]]&lt;=30000,"$10k-30k",tbl_Clean[[#This Row],[Income]]&lt;=60000,"$40k-60k",tbl_Clean[[#This Row],[Income]]&lt;=90000,"$70k-90k",TRUE,"$100k+")</f>
        <v>$40k-60k</v>
      </c>
      <c r="Q945" s="20">
        <f>_xlfn.XMATCH(tbl_Clean[[#This Row],[Income Band]],{"$10k-30k","$40k-60k","$70k-90k","$100k+"})</f>
        <v>2</v>
      </c>
      <c r="R945" s="20" t="str">
        <f>IF(tbl_Clean[[#This Row],[Cars]]&lt;=1,"0-1 Cars","2+ Cars")</f>
        <v>0-1 Cars</v>
      </c>
      <c r="S945" s="20">
        <f>_xlfn.XMATCH(tbl_Clean[[#This Row],[Commute Distance]],{"0-1 Miles","1-2 Miles","2-5 Miles","5-10 Miles","10+ Miles"})</f>
        <v>2</v>
      </c>
      <c r="T945" s="20">
        <f>_xlfn.XMATCH(tbl_Clean[[#This Row],[Education]],{"Partial High School","High School","Partial College","Bachelors","Graduate Degree"})</f>
        <v>5</v>
      </c>
      <c r="U945" s="20">
        <f>IF(tbl_Clean[[#This Row],[Purchased Bike]]="Yes",1,0)</f>
        <v>0</v>
      </c>
    </row>
    <row r="946" spans="1:21" x14ac:dyDescent="0.25">
      <c r="A946" s="20">
        <v>21587</v>
      </c>
      <c r="B946" s="3" t="s">
        <v>111</v>
      </c>
      <c r="C946" s="3" t="s">
        <v>112</v>
      </c>
      <c r="D946" s="19">
        <v>60000</v>
      </c>
      <c r="E946" s="20">
        <v>1</v>
      </c>
      <c r="F946" s="3" t="s">
        <v>34</v>
      </c>
      <c r="G946" s="3" t="s">
        <v>16</v>
      </c>
      <c r="H946" s="3" t="s">
        <v>17</v>
      </c>
      <c r="I946" s="20">
        <v>0</v>
      </c>
      <c r="J946" s="3" t="s">
        <v>24</v>
      </c>
      <c r="K946" s="3" t="s">
        <v>35</v>
      </c>
      <c r="L946" s="20">
        <v>34</v>
      </c>
      <c r="M946" s="3" t="s">
        <v>17</v>
      </c>
      <c r="N946" s="20" t="str" cm="1">
        <f t="array" ref="N946">_xlfn.IFS(tbl_Clean[[#This Row],[Age]]&lt;=30,"25-30",tbl_Clean[[#This Row],[Age]]&lt;=40,"31-40",tbl_Clean[[#This Row],[Age]]&lt;=50,"41-50",tbl_Clean[[#This Row],[Age]]&lt;=60,"51-60",TRUE,"61+")</f>
        <v>31-40</v>
      </c>
      <c r="O946" s="20">
        <f>_xlfn.XMATCH(tbl_Clean[[#This Row],[Age Band]],{"25-30","31-40","41-50","51-60","61+"})</f>
        <v>2</v>
      </c>
      <c r="P946" s="20" t="str" cm="1">
        <f t="array" ref="P946">_xlfn.IFS(tbl_Clean[[#This Row],[Income]]&lt;=30000,"$10k-30k",tbl_Clean[[#This Row],[Income]]&lt;=60000,"$40k-60k",tbl_Clean[[#This Row],[Income]]&lt;=90000,"$70k-90k",TRUE,"$100k+")</f>
        <v>$40k-60k</v>
      </c>
      <c r="Q946" s="20">
        <f>_xlfn.XMATCH(tbl_Clean[[#This Row],[Income Band]],{"$10k-30k","$40k-60k","$70k-90k","$100k+"})</f>
        <v>2</v>
      </c>
      <c r="R946" s="20" t="str">
        <f>IF(tbl_Clean[[#This Row],[Cars]]&lt;=1,"0-1 Cars","2+ Cars")</f>
        <v>0-1 Cars</v>
      </c>
      <c r="S946" s="20">
        <f>_xlfn.XMATCH(tbl_Clean[[#This Row],[Commute Distance]],{"0-1 Miles","1-2 Miles","2-5 Miles","5-10 Miles","10+ Miles"})</f>
        <v>3</v>
      </c>
      <c r="T946" s="20">
        <f>_xlfn.XMATCH(tbl_Clean[[#This Row],[Education]],{"Partial High School","High School","Partial College","Bachelors","Graduate Degree"})</f>
        <v>5</v>
      </c>
      <c r="U946" s="20">
        <f>IF(tbl_Clean[[#This Row],[Purchased Bike]]="Yes",1,0)</f>
        <v>1</v>
      </c>
    </row>
    <row r="947" spans="1:21" x14ac:dyDescent="0.25">
      <c r="A947" s="20">
        <v>23513</v>
      </c>
      <c r="B947" s="3" t="s">
        <v>111</v>
      </c>
      <c r="C947" s="3" t="s">
        <v>112</v>
      </c>
      <c r="D947" s="19">
        <v>40000</v>
      </c>
      <c r="E947" s="20">
        <v>3</v>
      </c>
      <c r="F947" s="3" t="s">
        <v>21</v>
      </c>
      <c r="G947" s="3" t="s">
        <v>23</v>
      </c>
      <c r="H947" s="3" t="s">
        <v>17</v>
      </c>
      <c r="I947" s="20">
        <v>2</v>
      </c>
      <c r="J947" s="3" t="s">
        <v>26</v>
      </c>
      <c r="K947" s="3" t="s">
        <v>35</v>
      </c>
      <c r="L947" s="20">
        <v>54</v>
      </c>
      <c r="M947" s="3" t="s">
        <v>20</v>
      </c>
      <c r="N947" s="20" t="str" cm="1">
        <f t="array" ref="N947">_xlfn.IFS(tbl_Clean[[#This Row],[Age]]&lt;=30,"25-30",tbl_Clean[[#This Row],[Age]]&lt;=40,"31-40",tbl_Clean[[#This Row],[Age]]&lt;=50,"41-50",tbl_Clean[[#This Row],[Age]]&lt;=60,"51-60",TRUE,"61+")</f>
        <v>51-60</v>
      </c>
      <c r="O947" s="20">
        <f>_xlfn.XMATCH(tbl_Clean[[#This Row],[Age Band]],{"25-30","31-40","41-50","51-60","61+"})</f>
        <v>4</v>
      </c>
      <c r="P947" s="20" t="str" cm="1">
        <f t="array" ref="P947">_xlfn.IFS(tbl_Clean[[#This Row],[Income]]&lt;=30000,"$10k-30k",tbl_Clean[[#This Row],[Income]]&lt;=60000,"$40k-60k",tbl_Clean[[#This Row],[Income]]&lt;=90000,"$70k-90k",TRUE,"$100k+")</f>
        <v>$40k-60k</v>
      </c>
      <c r="Q947" s="20">
        <f>_xlfn.XMATCH(tbl_Clean[[#This Row],[Income Band]],{"$10k-30k","$40k-60k","$70k-90k","$100k+"})</f>
        <v>2</v>
      </c>
      <c r="R947" s="20" t="str">
        <f>IF(tbl_Clean[[#This Row],[Cars]]&lt;=1,"0-1 Cars","2+ Cars")</f>
        <v>2+ Cars</v>
      </c>
      <c r="S947" s="20">
        <f>_xlfn.XMATCH(tbl_Clean[[#This Row],[Commute Distance]],{"0-1 Miles","1-2 Miles","2-5 Miles","5-10 Miles","10+ Miles"})</f>
        <v>4</v>
      </c>
      <c r="T947" s="20">
        <f>_xlfn.XMATCH(tbl_Clean[[#This Row],[Education]],{"Partial High School","High School","Partial College","Bachelors","Graduate Degree"})</f>
        <v>3</v>
      </c>
      <c r="U947" s="20">
        <f>IF(tbl_Clean[[#This Row],[Purchased Bike]]="Yes",1,0)</f>
        <v>0</v>
      </c>
    </row>
    <row r="948" spans="1:21" x14ac:dyDescent="0.25">
      <c r="A948" s="20">
        <v>24322</v>
      </c>
      <c r="B948" s="3" t="s">
        <v>111</v>
      </c>
      <c r="C948" s="3" t="s">
        <v>112</v>
      </c>
      <c r="D948" s="19">
        <v>60000</v>
      </c>
      <c r="E948" s="20">
        <v>4</v>
      </c>
      <c r="F948" s="3" t="s">
        <v>15</v>
      </c>
      <c r="G948" s="3" t="s">
        <v>16</v>
      </c>
      <c r="H948" s="3" t="s">
        <v>20</v>
      </c>
      <c r="I948" s="20">
        <v>2</v>
      </c>
      <c r="J948" s="3" t="s">
        <v>18</v>
      </c>
      <c r="K948" s="3" t="s">
        <v>35</v>
      </c>
      <c r="L948" s="20">
        <v>42</v>
      </c>
      <c r="M948" s="3" t="s">
        <v>20</v>
      </c>
      <c r="N948" s="20" t="str" cm="1">
        <f t="array" ref="N948">_xlfn.IFS(tbl_Clean[[#This Row],[Age]]&lt;=30,"25-30",tbl_Clean[[#This Row],[Age]]&lt;=40,"31-40",tbl_Clean[[#This Row],[Age]]&lt;=50,"41-50",tbl_Clean[[#This Row],[Age]]&lt;=60,"51-60",TRUE,"61+")</f>
        <v>41-50</v>
      </c>
      <c r="O948" s="20">
        <f>_xlfn.XMATCH(tbl_Clean[[#This Row],[Age Band]],{"25-30","31-40","41-50","51-60","61+"})</f>
        <v>3</v>
      </c>
      <c r="P948" s="20" t="str" cm="1">
        <f t="array" ref="P948">_xlfn.IFS(tbl_Clean[[#This Row],[Income]]&lt;=30000,"$10k-30k",tbl_Clean[[#This Row],[Income]]&lt;=60000,"$40k-60k",tbl_Clean[[#This Row],[Income]]&lt;=90000,"$70k-90k",TRUE,"$100k+")</f>
        <v>$40k-60k</v>
      </c>
      <c r="Q948" s="20">
        <f>_xlfn.XMATCH(tbl_Clean[[#This Row],[Income Band]],{"$10k-30k","$40k-60k","$70k-90k","$100k+"})</f>
        <v>2</v>
      </c>
      <c r="R948" s="20" t="str">
        <f>IF(tbl_Clean[[#This Row],[Cars]]&lt;=1,"0-1 Cars","2+ Cars")</f>
        <v>2+ Cars</v>
      </c>
      <c r="S948" s="20">
        <f>_xlfn.XMATCH(tbl_Clean[[#This Row],[Commute Distance]],{"0-1 Miles","1-2 Miles","2-5 Miles","5-10 Miles","10+ Miles"})</f>
        <v>1</v>
      </c>
      <c r="T948" s="20">
        <f>_xlfn.XMATCH(tbl_Clean[[#This Row],[Education]],{"Partial High School","High School","Partial College","Bachelors","Graduate Degree"})</f>
        <v>4</v>
      </c>
      <c r="U948" s="20">
        <f>IF(tbl_Clean[[#This Row],[Purchased Bike]]="Yes",1,0)</f>
        <v>0</v>
      </c>
    </row>
    <row r="949" spans="1:21" x14ac:dyDescent="0.25">
      <c r="A949" s="20">
        <v>26298</v>
      </c>
      <c r="B949" s="3" t="s">
        <v>111</v>
      </c>
      <c r="C949" s="3" t="s">
        <v>112</v>
      </c>
      <c r="D949" s="19">
        <v>50000</v>
      </c>
      <c r="E949" s="20">
        <v>1</v>
      </c>
      <c r="F949" s="3" t="s">
        <v>15</v>
      </c>
      <c r="G949" s="3" t="s">
        <v>16</v>
      </c>
      <c r="H949" s="3" t="s">
        <v>17</v>
      </c>
      <c r="I949" s="20">
        <v>0</v>
      </c>
      <c r="J949" s="3" t="s">
        <v>24</v>
      </c>
      <c r="K949" s="3" t="s">
        <v>35</v>
      </c>
      <c r="L949" s="20">
        <v>34</v>
      </c>
      <c r="M949" s="3" t="s">
        <v>17</v>
      </c>
      <c r="N949" s="20" t="str" cm="1">
        <f t="array" ref="N949">_xlfn.IFS(tbl_Clean[[#This Row],[Age]]&lt;=30,"25-30",tbl_Clean[[#This Row],[Age]]&lt;=40,"31-40",tbl_Clean[[#This Row],[Age]]&lt;=50,"41-50",tbl_Clean[[#This Row],[Age]]&lt;=60,"51-60",TRUE,"61+")</f>
        <v>31-40</v>
      </c>
      <c r="O949" s="20">
        <f>_xlfn.XMATCH(tbl_Clean[[#This Row],[Age Band]],{"25-30","31-40","41-50","51-60","61+"})</f>
        <v>2</v>
      </c>
      <c r="P949" s="20" t="str" cm="1">
        <f t="array" ref="P949">_xlfn.IFS(tbl_Clean[[#This Row],[Income]]&lt;=30000,"$10k-30k",tbl_Clean[[#This Row],[Income]]&lt;=60000,"$40k-60k",tbl_Clean[[#This Row],[Income]]&lt;=90000,"$70k-90k",TRUE,"$100k+")</f>
        <v>$40k-60k</v>
      </c>
      <c r="Q949" s="20">
        <f>_xlfn.XMATCH(tbl_Clean[[#This Row],[Income Band]],{"$10k-30k","$40k-60k","$70k-90k","$100k+"})</f>
        <v>2</v>
      </c>
      <c r="R949" s="20" t="str">
        <f>IF(tbl_Clean[[#This Row],[Cars]]&lt;=1,"0-1 Cars","2+ Cars")</f>
        <v>0-1 Cars</v>
      </c>
      <c r="S949" s="20">
        <f>_xlfn.XMATCH(tbl_Clean[[#This Row],[Commute Distance]],{"0-1 Miles","1-2 Miles","2-5 Miles","5-10 Miles","10+ Miles"})</f>
        <v>3</v>
      </c>
      <c r="T949" s="20">
        <f>_xlfn.XMATCH(tbl_Clean[[#This Row],[Education]],{"Partial High School","High School","Partial College","Bachelors","Graduate Degree"})</f>
        <v>4</v>
      </c>
      <c r="U949" s="20">
        <f>IF(tbl_Clean[[#This Row],[Purchased Bike]]="Yes",1,0)</f>
        <v>1</v>
      </c>
    </row>
    <row r="950" spans="1:21" x14ac:dyDescent="0.25">
      <c r="A950" s="20">
        <v>25419</v>
      </c>
      <c r="B950" s="3" t="s">
        <v>114</v>
      </c>
      <c r="C950" s="3" t="s">
        <v>113</v>
      </c>
      <c r="D950" s="19">
        <v>50000</v>
      </c>
      <c r="E950" s="20">
        <v>2</v>
      </c>
      <c r="F950" s="3" t="s">
        <v>15</v>
      </c>
      <c r="G950" s="3" t="s">
        <v>16</v>
      </c>
      <c r="H950" s="3" t="s">
        <v>20</v>
      </c>
      <c r="I950" s="20">
        <v>1</v>
      </c>
      <c r="J950" s="3" t="s">
        <v>18</v>
      </c>
      <c r="K950" s="3" t="s">
        <v>35</v>
      </c>
      <c r="L950" s="20">
        <v>38</v>
      </c>
      <c r="M950" s="3" t="s">
        <v>17</v>
      </c>
      <c r="N950" s="20" t="str" cm="1">
        <f t="array" ref="N950">_xlfn.IFS(tbl_Clean[[#This Row],[Age]]&lt;=30,"25-30",tbl_Clean[[#This Row],[Age]]&lt;=40,"31-40",tbl_Clean[[#This Row],[Age]]&lt;=50,"41-50",tbl_Clean[[#This Row],[Age]]&lt;=60,"51-60",TRUE,"61+")</f>
        <v>31-40</v>
      </c>
      <c r="O950" s="20">
        <f>_xlfn.XMATCH(tbl_Clean[[#This Row],[Age Band]],{"25-30","31-40","41-50","51-60","61+"})</f>
        <v>2</v>
      </c>
      <c r="P950" s="20" t="str" cm="1">
        <f t="array" ref="P950">_xlfn.IFS(tbl_Clean[[#This Row],[Income]]&lt;=30000,"$10k-30k",tbl_Clean[[#This Row],[Income]]&lt;=60000,"$40k-60k",tbl_Clean[[#This Row],[Income]]&lt;=90000,"$70k-90k",TRUE,"$100k+")</f>
        <v>$40k-60k</v>
      </c>
      <c r="Q950" s="20">
        <f>_xlfn.XMATCH(tbl_Clean[[#This Row],[Income Band]],{"$10k-30k","$40k-60k","$70k-90k","$100k+"})</f>
        <v>2</v>
      </c>
      <c r="R950" s="20" t="str">
        <f>IF(tbl_Clean[[#This Row],[Cars]]&lt;=1,"0-1 Cars","2+ Cars")</f>
        <v>0-1 Cars</v>
      </c>
      <c r="S950" s="20">
        <f>_xlfn.XMATCH(tbl_Clean[[#This Row],[Commute Distance]],{"0-1 Miles","1-2 Miles","2-5 Miles","5-10 Miles","10+ Miles"})</f>
        <v>1</v>
      </c>
      <c r="T950" s="20">
        <f>_xlfn.XMATCH(tbl_Clean[[#This Row],[Education]],{"Partial High School","High School","Partial College","Bachelors","Graduate Degree"})</f>
        <v>4</v>
      </c>
      <c r="U950" s="20">
        <f>IF(tbl_Clean[[#This Row],[Purchased Bike]]="Yes",1,0)</f>
        <v>1</v>
      </c>
    </row>
    <row r="951" spans="1:21" x14ac:dyDescent="0.25">
      <c r="A951" s="20">
        <v>13343</v>
      </c>
      <c r="B951" s="3" t="s">
        <v>111</v>
      </c>
      <c r="C951" s="3" t="s">
        <v>112</v>
      </c>
      <c r="D951" s="19">
        <v>90000</v>
      </c>
      <c r="E951" s="20">
        <v>5</v>
      </c>
      <c r="F951" s="3" t="s">
        <v>15</v>
      </c>
      <c r="G951" s="3" t="s">
        <v>31</v>
      </c>
      <c r="H951" s="3" t="s">
        <v>17</v>
      </c>
      <c r="I951" s="20">
        <v>2</v>
      </c>
      <c r="J951" s="3" t="s">
        <v>29</v>
      </c>
      <c r="K951" s="3" t="s">
        <v>35</v>
      </c>
      <c r="L951" s="20">
        <v>63</v>
      </c>
      <c r="M951" s="3" t="s">
        <v>17</v>
      </c>
      <c r="N951" s="20" t="str" cm="1">
        <f t="array" ref="N951">_xlfn.IFS(tbl_Clean[[#This Row],[Age]]&lt;=30,"25-30",tbl_Clean[[#This Row],[Age]]&lt;=40,"31-40",tbl_Clean[[#This Row],[Age]]&lt;=50,"41-50",tbl_Clean[[#This Row],[Age]]&lt;=60,"51-60",TRUE,"61+")</f>
        <v>61+</v>
      </c>
      <c r="O951" s="20">
        <f>_xlfn.XMATCH(tbl_Clean[[#This Row],[Age Band]],{"25-30","31-40","41-50","51-60","61+"})</f>
        <v>5</v>
      </c>
      <c r="P951" s="20" t="str" cm="1">
        <f t="array" ref="P951">_xlfn.IFS(tbl_Clean[[#This Row],[Income]]&lt;=30000,"$10k-30k",tbl_Clean[[#This Row],[Income]]&lt;=60000,"$40k-60k",tbl_Clean[[#This Row],[Income]]&lt;=90000,"$70k-90k",TRUE,"$100k+")</f>
        <v>$70k-90k</v>
      </c>
      <c r="Q951" s="20">
        <f>_xlfn.XMATCH(tbl_Clean[[#This Row],[Income Band]],{"$10k-30k","$40k-60k","$70k-90k","$100k+"})</f>
        <v>3</v>
      </c>
      <c r="R951" s="20" t="str">
        <f>IF(tbl_Clean[[#This Row],[Cars]]&lt;=1,"0-1 Cars","2+ Cars")</f>
        <v>2+ Cars</v>
      </c>
      <c r="S951" s="20">
        <f>_xlfn.XMATCH(tbl_Clean[[#This Row],[Commute Distance]],{"0-1 Miles","1-2 Miles","2-5 Miles","5-10 Miles","10+ Miles"})</f>
        <v>2</v>
      </c>
      <c r="T951" s="20">
        <f>_xlfn.XMATCH(tbl_Clean[[#This Row],[Education]],{"Partial High School","High School","Partial College","Bachelors","Graduate Degree"})</f>
        <v>4</v>
      </c>
      <c r="U951" s="20">
        <f>IF(tbl_Clean[[#This Row],[Purchased Bike]]="Yes",1,0)</f>
        <v>1</v>
      </c>
    </row>
    <row r="952" spans="1:21" x14ac:dyDescent="0.25">
      <c r="A952" s="20">
        <v>11303</v>
      </c>
      <c r="B952" s="3" t="s">
        <v>114</v>
      </c>
      <c r="C952" s="3" t="s">
        <v>112</v>
      </c>
      <c r="D952" s="19">
        <v>90000</v>
      </c>
      <c r="E952" s="20">
        <v>4</v>
      </c>
      <c r="F952" s="3" t="s">
        <v>30</v>
      </c>
      <c r="G952" s="3" t="s">
        <v>23</v>
      </c>
      <c r="H952" s="3" t="s">
        <v>20</v>
      </c>
      <c r="I952" s="20">
        <v>3</v>
      </c>
      <c r="J952" s="3" t="s">
        <v>29</v>
      </c>
      <c r="K952" s="3" t="s">
        <v>35</v>
      </c>
      <c r="L952" s="20">
        <v>45</v>
      </c>
      <c r="M952" s="3" t="s">
        <v>17</v>
      </c>
      <c r="N952" s="20" t="str" cm="1">
        <f t="array" ref="N952">_xlfn.IFS(tbl_Clean[[#This Row],[Age]]&lt;=30,"25-30",tbl_Clean[[#This Row],[Age]]&lt;=40,"31-40",tbl_Clean[[#This Row],[Age]]&lt;=50,"41-50",tbl_Clean[[#This Row],[Age]]&lt;=60,"51-60",TRUE,"61+")</f>
        <v>41-50</v>
      </c>
      <c r="O952" s="20">
        <f>_xlfn.XMATCH(tbl_Clean[[#This Row],[Age Band]],{"25-30","31-40","41-50","51-60","61+"})</f>
        <v>3</v>
      </c>
      <c r="P952" s="20" t="str" cm="1">
        <f t="array" ref="P952">_xlfn.IFS(tbl_Clean[[#This Row],[Income]]&lt;=30000,"$10k-30k",tbl_Clean[[#This Row],[Income]]&lt;=60000,"$40k-60k",tbl_Clean[[#This Row],[Income]]&lt;=90000,"$70k-90k",TRUE,"$100k+")</f>
        <v>$70k-90k</v>
      </c>
      <c r="Q952" s="20">
        <f>_xlfn.XMATCH(tbl_Clean[[#This Row],[Income Band]],{"$10k-30k","$40k-60k","$70k-90k","$100k+"})</f>
        <v>3</v>
      </c>
      <c r="R952" s="20" t="str">
        <f>IF(tbl_Clean[[#This Row],[Cars]]&lt;=1,"0-1 Cars","2+ Cars")</f>
        <v>2+ Cars</v>
      </c>
      <c r="S952" s="20">
        <f>_xlfn.XMATCH(tbl_Clean[[#This Row],[Commute Distance]],{"0-1 Miles","1-2 Miles","2-5 Miles","5-10 Miles","10+ Miles"})</f>
        <v>2</v>
      </c>
      <c r="T952" s="20">
        <f>_xlfn.XMATCH(tbl_Clean[[#This Row],[Education]],{"Partial High School","High School","Partial College","Bachelors","Graduate Degree"})</f>
        <v>2</v>
      </c>
      <c r="U952" s="20">
        <f>IF(tbl_Clean[[#This Row],[Purchased Bike]]="Yes",1,0)</f>
        <v>1</v>
      </c>
    </row>
    <row r="953" spans="1:21" x14ac:dyDescent="0.25">
      <c r="A953" s="20">
        <v>21693</v>
      </c>
      <c r="B953" s="3" t="s">
        <v>114</v>
      </c>
      <c r="C953" s="3" t="s">
        <v>112</v>
      </c>
      <c r="D953" s="19">
        <v>60000</v>
      </c>
      <c r="E953" s="20">
        <v>0</v>
      </c>
      <c r="F953" s="3" t="s">
        <v>34</v>
      </c>
      <c r="G953" s="3" t="s">
        <v>16</v>
      </c>
      <c r="H953" s="3" t="s">
        <v>20</v>
      </c>
      <c r="I953" s="20">
        <v>0</v>
      </c>
      <c r="J953" s="3" t="s">
        <v>18</v>
      </c>
      <c r="K953" s="3" t="s">
        <v>35</v>
      </c>
      <c r="L953" s="20">
        <v>40</v>
      </c>
      <c r="M953" s="3" t="s">
        <v>20</v>
      </c>
      <c r="N953" s="20" t="str" cm="1">
        <f t="array" ref="N953">_xlfn.IFS(tbl_Clean[[#This Row],[Age]]&lt;=30,"25-30",tbl_Clean[[#This Row],[Age]]&lt;=40,"31-40",tbl_Clean[[#This Row],[Age]]&lt;=50,"41-50",tbl_Clean[[#This Row],[Age]]&lt;=60,"51-60",TRUE,"61+")</f>
        <v>31-40</v>
      </c>
      <c r="O953" s="20">
        <f>_xlfn.XMATCH(tbl_Clean[[#This Row],[Age Band]],{"25-30","31-40","41-50","51-60","61+"})</f>
        <v>2</v>
      </c>
      <c r="P953" s="20" t="str" cm="1">
        <f t="array" ref="P953">_xlfn.IFS(tbl_Clean[[#This Row],[Income]]&lt;=30000,"$10k-30k",tbl_Clean[[#This Row],[Income]]&lt;=60000,"$40k-60k",tbl_Clean[[#This Row],[Income]]&lt;=90000,"$70k-90k",TRUE,"$100k+")</f>
        <v>$40k-60k</v>
      </c>
      <c r="Q953" s="20">
        <f>_xlfn.XMATCH(tbl_Clean[[#This Row],[Income Band]],{"$10k-30k","$40k-60k","$70k-90k","$100k+"})</f>
        <v>2</v>
      </c>
      <c r="R953" s="20" t="str">
        <f>IF(tbl_Clean[[#This Row],[Cars]]&lt;=1,"0-1 Cars","2+ Cars")</f>
        <v>0-1 Cars</v>
      </c>
      <c r="S953" s="20">
        <f>_xlfn.XMATCH(tbl_Clean[[#This Row],[Commute Distance]],{"0-1 Miles","1-2 Miles","2-5 Miles","5-10 Miles","10+ Miles"})</f>
        <v>1</v>
      </c>
      <c r="T953" s="20">
        <f>_xlfn.XMATCH(tbl_Clean[[#This Row],[Education]],{"Partial High School","High School","Partial College","Bachelors","Graduate Degree"})</f>
        <v>5</v>
      </c>
      <c r="U953" s="20">
        <f>IF(tbl_Clean[[#This Row],[Purchased Bike]]="Yes",1,0)</f>
        <v>0</v>
      </c>
    </row>
    <row r="954" spans="1:21" x14ac:dyDescent="0.25">
      <c r="A954" s="20">
        <v>28056</v>
      </c>
      <c r="B954" s="3" t="s">
        <v>111</v>
      </c>
      <c r="C954" s="3" t="s">
        <v>113</v>
      </c>
      <c r="D954" s="19">
        <v>70000</v>
      </c>
      <c r="E954" s="20">
        <v>2</v>
      </c>
      <c r="F954" s="3" t="s">
        <v>32</v>
      </c>
      <c r="G954" s="3" t="s">
        <v>16</v>
      </c>
      <c r="H954" s="3" t="s">
        <v>17</v>
      </c>
      <c r="I954" s="20">
        <v>2</v>
      </c>
      <c r="J954" s="3" t="s">
        <v>33</v>
      </c>
      <c r="K954" s="3" t="s">
        <v>35</v>
      </c>
      <c r="L954" s="20">
        <v>53</v>
      </c>
      <c r="M954" s="3" t="s">
        <v>20</v>
      </c>
      <c r="N954" s="20" t="str" cm="1">
        <f t="array" ref="N954">_xlfn.IFS(tbl_Clean[[#This Row],[Age]]&lt;=30,"25-30",tbl_Clean[[#This Row],[Age]]&lt;=40,"31-40",tbl_Clean[[#This Row],[Age]]&lt;=50,"41-50",tbl_Clean[[#This Row],[Age]]&lt;=60,"51-60",TRUE,"61+")</f>
        <v>51-60</v>
      </c>
      <c r="O954" s="20">
        <f>_xlfn.XMATCH(tbl_Clean[[#This Row],[Age Band]],{"25-30","31-40","41-50","51-60","61+"})</f>
        <v>4</v>
      </c>
      <c r="P954" s="20" t="str" cm="1">
        <f t="array" ref="P954">_xlfn.IFS(tbl_Clean[[#This Row],[Income]]&lt;=30000,"$10k-30k",tbl_Clean[[#This Row],[Income]]&lt;=60000,"$40k-60k",tbl_Clean[[#This Row],[Income]]&lt;=90000,"$70k-90k",TRUE,"$100k+")</f>
        <v>$70k-90k</v>
      </c>
      <c r="Q954" s="20">
        <f>_xlfn.XMATCH(tbl_Clean[[#This Row],[Income Band]],{"$10k-30k","$40k-60k","$70k-90k","$100k+"})</f>
        <v>3</v>
      </c>
      <c r="R954" s="20" t="str">
        <f>IF(tbl_Clean[[#This Row],[Cars]]&lt;=1,"0-1 Cars","2+ Cars")</f>
        <v>2+ Cars</v>
      </c>
      <c r="S954" s="20">
        <f>_xlfn.XMATCH(tbl_Clean[[#This Row],[Commute Distance]],{"0-1 Miles","1-2 Miles","2-5 Miles","5-10 Miles","10+ Miles"})</f>
        <v>5</v>
      </c>
      <c r="T954" s="20">
        <f>_xlfn.XMATCH(tbl_Clean[[#This Row],[Education]],{"Partial High School","High School","Partial College","Bachelors","Graduate Degree"})</f>
        <v>1</v>
      </c>
      <c r="U954" s="20">
        <f>IF(tbl_Clean[[#This Row],[Purchased Bike]]="Yes",1,0)</f>
        <v>0</v>
      </c>
    </row>
    <row r="955" spans="1:21" x14ac:dyDescent="0.25">
      <c r="A955" s="20">
        <v>11788</v>
      </c>
      <c r="B955" s="3" t="s">
        <v>114</v>
      </c>
      <c r="C955" s="3" t="s">
        <v>112</v>
      </c>
      <c r="D955" s="19">
        <v>70000</v>
      </c>
      <c r="E955" s="20">
        <v>1</v>
      </c>
      <c r="F955" s="3" t="s">
        <v>34</v>
      </c>
      <c r="G955" s="3" t="s">
        <v>23</v>
      </c>
      <c r="H955" s="3" t="s">
        <v>17</v>
      </c>
      <c r="I955" s="20">
        <v>0</v>
      </c>
      <c r="J955" s="3" t="s">
        <v>24</v>
      </c>
      <c r="K955" s="3" t="s">
        <v>35</v>
      </c>
      <c r="L955" s="20">
        <v>34</v>
      </c>
      <c r="M955" s="3" t="s">
        <v>20</v>
      </c>
      <c r="N955" s="20" t="str" cm="1">
        <f t="array" ref="N955">_xlfn.IFS(tbl_Clean[[#This Row],[Age]]&lt;=30,"25-30",tbl_Clean[[#This Row],[Age]]&lt;=40,"31-40",tbl_Clean[[#This Row],[Age]]&lt;=50,"41-50",tbl_Clean[[#This Row],[Age]]&lt;=60,"51-60",TRUE,"61+")</f>
        <v>31-40</v>
      </c>
      <c r="O955" s="20">
        <f>_xlfn.XMATCH(tbl_Clean[[#This Row],[Age Band]],{"25-30","31-40","41-50","51-60","61+"})</f>
        <v>2</v>
      </c>
      <c r="P955" s="20" t="str" cm="1">
        <f t="array" ref="P955">_xlfn.IFS(tbl_Clean[[#This Row],[Income]]&lt;=30000,"$10k-30k",tbl_Clean[[#This Row],[Income]]&lt;=60000,"$40k-60k",tbl_Clean[[#This Row],[Income]]&lt;=90000,"$70k-90k",TRUE,"$100k+")</f>
        <v>$70k-90k</v>
      </c>
      <c r="Q955" s="20">
        <f>_xlfn.XMATCH(tbl_Clean[[#This Row],[Income Band]],{"$10k-30k","$40k-60k","$70k-90k","$100k+"})</f>
        <v>3</v>
      </c>
      <c r="R955" s="20" t="str">
        <f>IF(tbl_Clean[[#This Row],[Cars]]&lt;=1,"0-1 Cars","2+ Cars")</f>
        <v>0-1 Cars</v>
      </c>
      <c r="S955" s="20">
        <f>_xlfn.XMATCH(tbl_Clean[[#This Row],[Commute Distance]],{"0-1 Miles","1-2 Miles","2-5 Miles","5-10 Miles","10+ Miles"})</f>
        <v>3</v>
      </c>
      <c r="T955" s="20">
        <f>_xlfn.XMATCH(tbl_Clean[[#This Row],[Education]],{"Partial High School","High School","Partial College","Bachelors","Graduate Degree"})</f>
        <v>5</v>
      </c>
      <c r="U955" s="20">
        <f>IF(tbl_Clean[[#This Row],[Purchased Bike]]="Yes",1,0)</f>
        <v>0</v>
      </c>
    </row>
    <row r="956" spans="1:21" x14ac:dyDescent="0.25">
      <c r="A956" s="20">
        <v>22296</v>
      </c>
      <c r="B956" s="3" t="s">
        <v>111</v>
      </c>
      <c r="C956" s="3" t="s">
        <v>113</v>
      </c>
      <c r="D956" s="19">
        <v>70000</v>
      </c>
      <c r="E956" s="20">
        <v>0</v>
      </c>
      <c r="F956" s="3" t="s">
        <v>15</v>
      </c>
      <c r="G956" s="3" t="s">
        <v>23</v>
      </c>
      <c r="H956" s="3" t="s">
        <v>20</v>
      </c>
      <c r="I956" s="20">
        <v>1</v>
      </c>
      <c r="J956" s="3" t="s">
        <v>18</v>
      </c>
      <c r="K956" s="3" t="s">
        <v>35</v>
      </c>
      <c r="L956" s="20">
        <v>38</v>
      </c>
      <c r="M956" s="3" t="s">
        <v>20</v>
      </c>
      <c r="N956" s="20" t="str" cm="1">
        <f t="array" ref="N956">_xlfn.IFS(tbl_Clean[[#This Row],[Age]]&lt;=30,"25-30",tbl_Clean[[#This Row],[Age]]&lt;=40,"31-40",tbl_Clean[[#This Row],[Age]]&lt;=50,"41-50",tbl_Clean[[#This Row],[Age]]&lt;=60,"51-60",TRUE,"61+")</f>
        <v>31-40</v>
      </c>
      <c r="O956" s="20">
        <f>_xlfn.XMATCH(tbl_Clean[[#This Row],[Age Band]],{"25-30","31-40","41-50","51-60","61+"})</f>
        <v>2</v>
      </c>
      <c r="P956" s="20" t="str" cm="1">
        <f t="array" ref="P956">_xlfn.IFS(tbl_Clean[[#This Row],[Income]]&lt;=30000,"$10k-30k",tbl_Clean[[#This Row],[Income]]&lt;=60000,"$40k-60k",tbl_Clean[[#This Row],[Income]]&lt;=90000,"$70k-90k",TRUE,"$100k+")</f>
        <v>$70k-90k</v>
      </c>
      <c r="Q956" s="20">
        <f>_xlfn.XMATCH(tbl_Clean[[#This Row],[Income Band]],{"$10k-30k","$40k-60k","$70k-90k","$100k+"})</f>
        <v>3</v>
      </c>
      <c r="R956" s="20" t="str">
        <f>IF(tbl_Clean[[#This Row],[Cars]]&lt;=1,"0-1 Cars","2+ Cars")</f>
        <v>0-1 Cars</v>
      </c>
      <c r="S956" s="20">
        <f>_xlfn.XMATCH(tbl_Clean[[#This Row],[Commute Distance]],{"0-1 Miles","1-2 Miles","2-5 Miles","5-10 Miles","10+ Miles"})</f>
        <v>1</v>
      </c>
      <c r="T956" s="20">
        <f>_xlfn.XMATCH(tbl_Clean[[#This Row],[Education]],{"Partial High School","High School","Partial College","Bachelors","Graduate Degree"})</f>
        <v>4</v>
      </c>
      <c r="U956" s="20">
        <f>IF(tbl_Clean[[#This Row],[Purchased Bike]]="Yes",1,0)</f>
        <v>0</v>
      </c>
    </row>
    <row r="957" spans="1:21" x14ac:dyDescent="0.25">
      <c r="A957" s="20">
        <v>15319</v>
      </c>
      <c r="B957" s="3" t="s">
        <v>111</v>
      </c>
      <c r="C957" s="3" t="s">
        <v>112</v>
      </c>
      <c r="D957" s="19">
        <v>70000</v>
      </c>
      <c r="E957" s="20">
        <v>4</v>
      </c>
      <c r="F957" s="3" t="s">
        <v>15</v>
      </c>
      <c r="G957" s="3" t="s">
        <v>31</v>
      </c>
      <c r="H957" s="3" t="s">
        <v>20</v>
      </c>
      <c r="I957" s="20">
        <v>1</v>
      </c>
      <c r="J957" s="3" t="s">
        <v>29</v>
      </c>
      <c r="K957" s="3" t="s">
        <v>35</v>
      </c>
      <c r="L957" s="20">
        <v>59</v>
      </c>
      <c r="M957" s="3" t="s">
        <v>20</v>
      </c>
      <c r="N957" s="20" t="str" cm="1">
        <f t="array" ref="N957">_xlfn.IFS(tbl_Clean[[#This Row],[Age]]&lt;=30,"25-30",tbl_Clean[[#This Row],[Age]]&lt;=40,"31-40",tbl_Clean[[#This Row],[Age]]&lt;=50,"41-50",tbl_Clean[[#This Row],[Age]]&lt;=60,"51-60",TRUE,"61+")</f>
        <v>51-60</v>
      </c>
      <c r="O957" s="20">
        <f>_xlfn.XMATCH(tbl_Clean[[#This Row],[Age Band]],{"25-30","31-40","41-50","51-60","61+"})</f>
        <v>4</v>
      </c>
      <c r="P957" s="20" t="str" cm="1">
        <f t="array" ref="P957">_xlfn.IFS(tbl_Clean[[#This Row],[Income]]&lt;=30000,"$10k-30k",tbl_Clean[[#This Row],[Income]]&lt;=60000,"$40k-60k",tbl_Clean[[#This Row],[Income]]&lt;=90000,"$70k-90k",TRUE,"$100k+")</f>
        <v>$70k-90k</v>
      </c>
      <c r="Q957" s="20">
        <f>_xlfn.XMATCH(tbl_Clean[[#This Row],[Income Band]],{"$10k-30k","$40k-60k","$70k-90k","$100k+"})</f>
        <v>3</v>
      </c>
      <c r="R957" s="20" t="str">
        <f>IF(tbl_Clean[[#This Row],[Cars]]&lt;=1,"0-1 Cars","2+ Cars")</f>
        <v>0-1 Cars</v>
      </c>
      <c r="S957" s="20">
        <f>_xlfn.XMATCH(tbl_Clean[[#This Row],[Commute Distance]],{"0-1 Miles","1-2 Miles","2-5 Miles","5-10 Miles","10+ Miles"})</f>
        <v>2</v>
      </c>
      <c r="T957" s="20">
        <f>_xlfn.XMATCH(tbl_Clean[[#This Row],[Education]],{"Partial High School","High School","Partial College","Bachelors","Graduate Degree"})</f>
        <v>4</v>
      </c>
      <c r="U957" s="20">
        <f>IF(tbl_Clean[[#This Row],[Purchased Bike]]="Yes",1,0)</f>
        <v>0</v>
      </c>
    </row>
    <row r="958" spans="1:21" x14ac:dyDescent="0.25">
      <c r="A958" s="20">
        <v>17654</v>
      </c>
      <c r="B958" s="3" t="s">
        <v>114</v>
      </c>
      <c r="C958" s="3" t="s">
        <v>112</v>
      </c>
      <c r="D958" s="19">
        <v>40000</v>
      </c>
      <c r="E958" s="20">
        <v>3</v>
      </c>
      <c r="F958" s="3" t="s">
        <v>21</v>
      </c>
      <c r="G958" s="3" t="s">
        <v>22</v>
      </c>
      <c r="H958" s="3" t="s">
        <v>17</v>
      </c>
      <c r="I958" s="20">
        <v>1</v>
      </c>
      <c r="J958" s="3" t="s">
        <v>29</v>
      </c>
      <c r="K958" s="3" t="s">
        <v>35</v>
      </c>
      <c r="L958" s="20">
        <v>30</v>
      </c>
      <c r="M958" s="3" t="s">
        <v>17</v>
      </c>
      <c r="N958" s="20" t="str" cm="1">
        <f t="array" ref="N958">_xlfn.IFS(tbl_Clean[[#This Row],[Age]]&lt;=30,"25-30",tbl_Clean[[#This Row],[Age]]&lt;=40,"31-40",tbl_Clean[[#This Row],[Age]]&lt;=50,"41-50",tbl_Clean[[#This Row],[Age]]&lt;=60,"51-60",TRUE,"61+")</f>
        <v>25-30</v>
      </c>
      <c r="O958" s="20">
        <f>_xlfn.XMATCH(tbl_Clean[[#This Row],[Age Band]],{"25-30","31-40","41-50","51-60","61+"})</f>
        <v>1</v>
      </c>
      <c r="P958" s="20" t="str" cm="1">
        <f t="array" ref="P958">_xlfn.IFS(tbl_Clean[[#This Row],[Income]]&lt;=30000,"$10k-30k",tbl_Clean[[#This Row],[Income]]&lt;=60000,"$40k-60k",tbl_Clean[[#This Row],[Income]]&lt;=90000,"$70k-90k",TRUE,"$100k+")</f>
        <v>$40k-60k</v>
      </c>
      <c r="Q958" s="20">
        <f>_xlfn.XMATCH(tbl_Clean[[#This Row],[Income Band]],{"$10k-30k","$40k-60k","$70k-90k","$100k+"})</f>
        <v>2</v>
      </c>
      <c r="R958" s="20" t="str">
        <f>IF(tbl_Clean[[#This Row],[Cars]]&lt;=1,"0-1 Cars","2+ Cars")</f>
        <v>0-1 Cars</v>
      </c>
      <c r="S958" s="20">
        <f>_xlfn.XMATCH(tbl_Clean[[#This Row],[Commute Distance]],{"0-1 Miles","1-2 Miles","2-5 Miles","5-10 Miles","10+ Miles"})</f>
        <v>2</v>
      </c>
      <c r="T958" s="20">
        <f>_xlfn.XMATCH(tbl_Clean[[#This Row],[Education]],{"Partial High School","High School","Partial College","Bachelors","Graduate Degree"})</f>
        <v>3</v>
      </c>
      <c r="U958" s="20">
        <f>IF(tbl_Clean[[#This Row],[Purchased Bike]]="Yes",1,0)</f>
        <v>1</v>
      </c>
    </row>
    <row r="959" spans="1:21" x14ac:dyDescent="0.25">
      <c r="A959" s="20">
        <v>14662</v>
      </c>
      <c r="B959" s="3" t="s">
        <v>111</v>
      </c>
      <c r="C959" s="3" t="s">
        <v>113</v>
      </c>
      <c r="D959" s="19">
        <v>60000</v>
      </c>
      <c r="E959" s="20">
        <v>1</v>
      </c>
      <c r="F959" s="3" t="s">
        <v>15</v>
      </c>
      <c r="G959" s="3" t="s">
        <v>23</v>
      </c>
      <c r="H959" s="3" t="s">
        <v>17</v>
      </c>
      <c r="I959" s="20">
        <v>1</v>
      </c>
      <c r="J959" s="3" t="s">
        <v>18</v>
      </c>
      <c r="K959" s="3" t="s">
        <v>35</v>
      </c>
      <c r="L959" s="20">
        <v>48</v>
      </c>
      <c r="M959" s="3" t="s">
        <v>17</v>
      </c>
      <c r="N959" s="20" t="str" cm="1">
        <f t="array" ref="N959">_xlfn.IFS(tbl_Clean[[#This Row],[Age]]&lt;=30,"25-30",tbl_Clean[[#This Row],[Age]]&lt;=40,"31-40",tbl_Clean[[#This Row],[Age]]&lt;=50,"41-50",tbl_Clean[[#This Row],[Age]]&lt;=60,"51-60",TRUE,"61+")</f>
        <v>41-50</v>
      </c>
      <c r="O959" s="20">
        <f>_xlfn.XMATCH(tbl_Clean[[#This Row],[Age Band]],{"25-30","31-40","41-50","51-60","61+"})</f>
        <v>3</v>
      </c>
      <c r="P959" s="20" t="str" cm="1">
        <f t="array" ref="P959">_xlfn.IFS(tbl_Clean[[#This Row],[Income]]&lt;=30000,"$10k-30k",tbl_Clean[[#This Row],[Income]]&lt;=60000,"$40k-60k",tbl_Clean[[#This Row],[Income]]&lt;=90000,"$70k-90k",TRUE,"$100k+")</f>
        <v>$40k-60k</v>
      </c>
      <c r="Q959" s="20">
        <f>_xlfn.XMATCH(tbl_Clean[[#This Row],[Income Band]],{"$10k-30k","$40k-60k","$70k-90k","$100k+"})</f>
        <v>2</v>
      </c>
      <c r="R959" s="20" t="str">
        <f>IF(tbl_Clean[[#This Row],[Cars]]&lt;=1,"0-1 Cars","2+ Cars")</f>
        <v>0-1 Cars</v>
      </c>
      <c r="S959" s="20">
        <f>_xlfn.XMATCH(tbl_Clean[[#This Row],[Commute Distance]],{"0-1 Miles","1-2 Miles","2-5 Miles","5-10 Miles","10+ Miles"})</f>
        <v>1</v>
      </c>
      <c r="T959" s="20">
        <f>_xlfn.XMATCH(tbl_Clean[[#This Row],[Education]],{"Partial High School","High School","Partial College","Bachelors","Graduate Degree"})</f>
        <v>4</v>
      </c>
      <c r="U959" s="20">
        <f>IF(tbl_Clean[[#This Row],[Purchased Bike]]="Yes",1,0)</f>
        <v>1</v>
      </c>
    </row>
    <row r="960" spans="1:21" x14ac:dyDescent="0.25">
      <c r="A960" s="20">
        <v>17541</v>
      </c>
      <c r="B960" s="3" t="s">
        <v>111</v>
      </c>
      <c r="C960" s="3" t="s">
        <v>112</v>
      </c>
      <c r="D960" s="19">
        <v>40000</v>
      </c>
      <c r="E960" s="20">
        <v>4</v>
      </c>
      <c r="F960" s="3" t="s">
        <v>30</v>
      </c>
      <c r="G960" s="3" t="s">
        <v>16</v>
      </c>
      <c r="H960" s="3" t="s">
        <v>17</v>
      </c>
      <c r="I960" s="20">
        <v>2</v>
      </c>
      <c r="J960" s="3" t="s">
        <v>24</v>
      </c>
      <c r="K960" s="3" t="s">
        <v>35</v>
      </c>
      <c r="L960" s="20">
        <v>43</v>
      </c>
      <c r="M960" s="3" t="s">
        <v>20</v>
      </c>
      <c r="N960" s="20" t="str" cm="1">
        <f t="array" ref="N960">_xlfn.IFS(tbl_Clean[[#This Row],[Age]]&lt;=30,"25-30",tbl_Clean[[#This Row],[Age]]&lt;=40,"31-40",tbl_Clean[[#This Row],[Age]]&lt;=50,"41-50",tbl_Clean[[#This Row],[Age]]&lt;=60,"51-60",TRUE,"61+")</f>
        <v>41-50</v>
      </c>
      <c r="O960" s="20">
        <f>_xlfn.XMATCH(tbl_Clean[[#This Row],[Age Band]],{"25-30","31-40","41-50","51-60","61+"})</f>
        <v>3</v>
      </c>
      <c r="P960" s="20" t="str" cm="1">
        <f t="array" ref="P960">_xlfn.IFS(tbl_Clean[[#This Row],[Income]]&lt;=30000,"$10k-30k",tbl_Clean[[#This Row],[Income]]&lt;=60000,"$40k-60k",tbl_Clean[[#This Row],[Income]]&lt;=90000,"$70k-90k",TRUE,"$100k+")</f>
        <v>$40k-60k</v>
      </c>
      <c r="Q960" s="20">
        <f>_xlfn.XMATCH(tbl_Clean[[#This Row],[Income Band]],{"$10k-30k","$40k-60k","$70k-90k","$100k+"})</f>
        <v>2</v>
      </c>
      <c r="R960" s="20" t="str">
        <f>IF(tbl_Clean[[#This Row],[Cars]]&lt;=1,"0-1 Cars","2+ Cars")</f>
        <v>2+ Cars</v>
      </c>
      <c r="S960" s="20">
        <f>_xlfn.XMATCH(tbl_Clean[[#This Row],[Commute Distance]],{"0-1 Miles","1-2 Miles","2-5 Miles","5-10 Miles","10+ Miles"})</f>
        <v>3</v>
      </c>
      <c r="T960" s="20">
        <f>_xlfn.XMATCH(tbl_Clean[[#This Row],[Education]],{"Partial High School","High School","Partial College","Bachelors","Graduate Degree"})</f>
        <v>2</v>
      </c>
      <c r="U960" s="20">
        <f>IF(tbl_Clean[[#This Row],[Purchased Bike]]="Yes",1,0)</f>
        <v>0</v>
      </c>
    </row>
    <row r="961" spans="1:21" x14ac:dyDescent="0.25">
      <c r="A961" s="20">
        <v>13886</v>
      </c>
      <c r="B961" s="3" t="s">
        <v>111</v>
      </c>
      <c r="C961" s="3" t="s">
        <v>112</v>
      </c>
      <c r="D961" s="19">
        <v>70000</v>
      </c>
      <c r="E961" s="20">
        <v>4</v>
      </c>
      <c r="F961" s="3" t="s">
        <v>34</v>
      </c>
      <c r="G961" s="3" t="s">
        <v>23</v>
      </c>
      <c r="H961" s="3" t="s">
        <v>17</v>
      </c>
      <c r="I961" s="20">
        <v>0</v>
      </c>
      <c r="J961" s="3" t="s">
        <v>24</v>
      </c>
      <c r="K961" s="3" t="s">
        <v>35</v>
      </c>
      <c r="L961" s="20">
        <v>35</v>
      </c>
      <c r="M961" s="3" t="s">
        <v>17</v>
      </c>
      <c r="N961" s="20" t="str" cm="1">
        <f t="array" ref="N961">_xlfn.IFS(tbl_Clean[[#This Row],[Age]]&lt;=30,"25-30",tbl_Clean[[#This Row],[Age]]&lt;=40,"31-40",tbl_Clean[[#This Row],[Age]]&lt;=50,"41-50",tbl_Clean[[#This Row],[Age]]&lt;=60,"51-60",TRUE,"61+")</f>
        <v>31-40</v>
      </c>
      <c r="O961" s="20">
        <f>_xlfn.XMATCH(tbl_Clean[[#This Row],[Age Band]],{"25-30","31-40","41-50","51-60","61+"})</f>
        <v>2</v>
      </c>
      <c r="P961" s="20" t="str" cm="1">
        <f t="array" ref="P961">_xlfn.IFS(tbl_Clean[[#This Row],[Income]]&lt;=30000,"$10k-30k",tbl_Clean[[#This Row],[Income]]&lt;=60000,"$40k-60k",tbl_Clean[[#This Row],[Income]]&lt;=90000,"$70k-90k",TRUE,"$100k+")</f>
        <v>$70k-90k</v>
      </c>
      <c r="Q961" s="20">
        <f>_xlfn.XMATCH(tbl_Clean[[#This Row],[Income Band]],{"$10k-30k","$40k-60k","$70k-90k","$100k+"})</f>
        <v>3</v>
      </c>
      <c r="R961" s="20" t="str">
        <f>IF(tbl_Clean[[#This Row],[Cars]]&lt;=1,"0-1 Cars","2+ Cars")</f>
        <v>0-1 Cars</v>
      </c>
      <c r="S961" s="20">
        <f>_xlfn.XMATCH(tbl_Clean[[#This Row],[Commute Distance]],{"0-1 Miles","1-2 Miles","2-5 Miles","5-10 Miles","10+ Miles"})</f>
        <v>3</v>
      </c>
      <c r="T961" s="20">
        <f>_xlfn.XMATCH(tbl_Clean[[#This Row],[Education]],{"Partial High School","High School","Partial College","Bachelors","Graduate Degree"})</f>
        <v>5</v>
      </c>
      <c r="U961" s="20">
        <f>IF(tbl_Clean[[#This Row],[Purchased Bike]]="Yes",1,0)</f>
        <v>1</v>
      </c>
    </row>
    <row r="962" spans="1:21" x14ac:dyDescent="0.25">
      <c r="A962" s="20">
        <v>13073</v>
      </c>
      <c r="B962" s="3" t="s">
        <v>111</v>
      </c>
      <c r="C962" s="3" t="s">
        <v>112</v>
      </c>
      <c r="D962" s="19">
        <v>60000</v>
      </c>
      <c r="E962" s="20">
        <v>0</v>
      </c>
      <c r="F962" s="3" t="s">
        <v>21</v>
      </c>
      <c r="G962" s="3" t="s">
        <v>23</v>
      </c>
      <c r="H962" s="3" t="s">
        <v>17</v>
      </c>
      <c r="I962" s="20">
        <v>2</v>
      </c>
      <c r="J962" s="3" t="s">
        <v>26</v>
      </c>
      <c r="K962" s="3" t="s">
        <v>35</v>
      </c>
      <c r="L962" s="20">
        <v>30</v>
      </c>
      <c r="M962" s="3" t="s">
        <v>20</v>
      </c>
      <c r="N962" s="20" t="str" cm="1">
        <f t="array" ref="N962">_xlfn.IFS(tbl_Clean[[#This Row],[Age]]&lt;=30,"25-30",tbl_Clean[[#This Row],[Age]]&lt;=40,"31-40",tbl_Clean[[#This Row],[Age]]&lt;=50,"41-50",tbl_Clean[[#This Row],[Age]]&lt;=60,"51-60",TRUE,"61+")</f>
        <v>25-30</v>
      </c>
      <c r="O962" s="20">
        <f>_xlfn.XMATCH(tbl_Clean[[#This Row],[Age Band]],{"25-30","31-40","41-50","51-60","61+"})</f>
        <v>1</v>
      </c>
      <c r="P962" s="20" t="str" cm="1">
        <f t="array" ref="P962">_xlfn.IFS(tbl_Clean[[#This Row],[Income]]&lt;=30000,"$10k-30k",tbl_Clean[[#This Row],[Income]]&lt;=60000,"$40k-60k",tbl_Clean[[#This Row],[Income]]&lt;=90000,"$70k-90k",TRUE,"$100k+")</f>
        <v>$40k-60k</v>
      </c>
      <c r="Q962" s="20">
        <f>_xlfn.XMATCH(tbl_Clean[[#This Row],[Income Band]],{"$10k-30k","$40k-60k","$70k-90k","$100k+"})</f>
        <v>2</v>
      </c>
      <c r="R962" s="20" t="str">
        <f>IF(tbl_Clean[[#This Row],[Cars]]&lt;=1,"0-1 Cars","2+ Cars")</f>
        <v>2+ Cars</v>
      </c>
      <c r="S962" s="20">
        <f>_xlfn.XMATCH(tbl_Clean[[#This Row],[Commute Distance]],{"0-1 Miles","1-2 Miles","2-5 Miles","5-10 Miles","10+ Miles"})</f>
        <v>4</v>
      </c>
      <c r="T962" s="20">
        <f>_xlfn.XMATCH(tbl_Clean[[#This Row],[Education]],{"Partial High School","High School","Partial College","Bachelors","Graduate Degree"})</f>
        <v>3</v>
      </c>
      <c r="U962" s="20">
        <f>IF(tbl_Clean[[#This Row],[Purchased Bike]]="Yes",1,0)</f>
        <v>0</v>
      </c>
    </row>
    <row r="963" spans="1:21" x14ac:dyDescent="0.25">
      <c r="A963" s="20">
        <v>21940</v>
      </c>
      <c r="B963" s="3" t="s">
        <v>111</v>
      </c>
      <c r="C963" s="3" t="s">
        <v>113</v>
      </c>
      <c r="D963" s="19">
        <v>90000</v>
      </c>
      <c r="E963" s="20">
        <v>5</v>
      </c>
      <c r="F963" s="3" t="s">
        <v>34</v>
      </c>
      <c r="G963" s="3" t="s">
        <v>23</v>
      </c>
      <c r="H963" s="3" t="s">
        <v>17</v>
      </c>
      <c r="I963" s="20">
        <v>0</v>
      </c>
      <c r="J963" s="3" t="s">
        <v>18</v>
      </c>
      <c r="K963" s="3" t="s">
        <v>35</v>
      </c>
      <c r="L963" s="20">
        <v>47</v>
      </c>
      <c r="M963" s="3" t="s">
        <v>17</v>
      </c>
      <c r="N963" s="20" t="str" cm="1">
        <f t="array" ref="N963">_xlfn.IFS(tbl_Clean[[#This Row],[Age]]&lt;=30,"25-30",tbl_Clean[[#This Row],[Age]]&lt;=40,"31-40",tbl_Clean[[#This Row],[Age]]&lt;=50,"41-50",tbl_Clean[[#This Row],[Age]]&lt;=60,"51-60",TRUE,"61+")</f>
        <v>41-50</v>
      </c>
      <c r="O963" s="20">
        <f>_xlfn.XMATCH(tbl_Clean[[#This Row],[Age Band]],{"25-30","31-40","41-50","51-60","61+"})</f>
        <v>3</v>
      </c>
      <c r="P963" s="20" t="str" cm="1">
        <f t="array" ref="P963">_xlfn.IFS(tbl_Clean[[#This Row],[Income]]&lt;=30000,"$10k-30k",tbl_Clean[[#This Row],[Income]]&lt;=60000,"$40k-60k",tbl_Clean[[#This Row],[Income]]&lt;=90000,"$70k-90k",TRUE,"$100k+")</f>
        <v>$70k-90k</v>
      </c>
      <c r="Q963" s="20">
        <f>_xlfn.XMATCH(tbl_Clean[[#This Row],[Income Band]],{"$10k-30k","$40k-60k","$70k-90k","$100k+"})</f>
        <v>3</v>
      </c>
      <c r="R963" s="20" t="str">
        <f>IF(tbl_Clean[[#This Row],[Cars]]&lt;=1,"0-1 Cars","2+ Cars")</f>
        <v>0-1 Cars</v>
      </c>
      <c r="S963" s="20">
        <f>_xlfn.XMATCH(tbl_Clean[[#This Row],[Commute Distance]],{"0-1 Miles","1-2 Miles","2-5 Miles","5-10 Miles","10+ Miles"})</f>
        <v>1</v>
      </c>
      <c r="T963" s="20">
        <f>_xlfn.XMATCH(tbl_Clean[[#This Row],[Education]],{"Partial High School","High School","Partial College","Bachelors","Graduate Degree"})</f>
        <v>5</v>
      </c>
      <c r="U963" s="20">
        <f>IF(tbl_Clean[[#This Row],[Purchased Bike]]="Yes",1,0)</f>
        <v>1</v>
      </c>
    </row>
    <row r="964" spans="1:21" x14ac:dyDescent="0.25">
      <c r="A964" s="20">
        <v>20196</v>
      </c>
      <c r="B964" s="3" t="s">
        <v>111</v>
      </c>
      <c r="C964" s="3" t="s">
        <v>113</v>
      </c>
      <c r="D964" s="19">
        <v>60000</v>
      </c>
      <c r="E964" s="20">
        <v>1</v>
      </c>
      <c r="F964" s="3" t="s">
        <v>21</v>
      </c>
      <c r="G964" s="3" t="s">
        <v>16</v>
      </c>
      <c r="H964" s="3" t="s">
        <v>17</v>
      </c>
      <c r="I964" s="20">
        <v>1</v>
      </c>
      <c r="J964" s="3" t="s">
        <v>24</v>
      </c>
      <c r="K964" s="3" t="s">
        <v>35</v>
      </c>
      <c r="L964" s="20">
        <v>45</v>
      </c>
      <c r="M964" s="3" t="s">
        <v>17</v>
      </c>
      <c r="N964" s="20" t="str" cm="1">
        <f t="array" ref="N964">_xlfn.IFS(tbl_Clean[[#This Row],[Age]]&lt;=30,"25-30",tbl_Clean[[#This Row],[Age]]&lt;=40,"31-40",tbl_Clean[[#This Row],[Age]]&lt;=50,"41-50",tbl_Clean[[#This Row],[Age]]&lt;=60,"51-60",TRUE,"61+")</f>
        <v>41-50</v>
      </c>
      <c r="O964" s="20">
        <f>_xlfn.XMATCH(tbl_Clean[[#This Row],[Age Band]],{"25-30","31-40","41-50","51-60","61+"})</f>
        <v>3</v>
      </c>
      <c r="P964" s="20" t="str" cm="1">
        <f t="array" ref="P964">_xlfn.IFS(tbl_Clean[[#This Row],[Income]]&lt;=30000,"$10k-30k",tbl_Clean[[#This Row],[Income]]&lt;=60000,"$40k-60k",tbl_Clean[[#This Row],[Income]]&lt;=90000,"$70k-90k",TRUE,"$100k+")</f>
        <v>$40k-60k</v>
      </c>
      <c r="Q964" s="20">
        <f>_xlfn.XMATCH(tbl_Clean[[#This Row],[Income Band]],{"$10k-30k","$40k-60k","$70k-90k","$100k+"})</f>
        <v>2</v>
      </c>
      <c r="R964" s="20" t="str">
        <f>IF(tbl_Clean[[#This Row],[Cars]]&lt;=1,"0-1 Cars","2+ Cars")</f>
        <v>0-1 Cars</v>
      </c>
      <c r="S964" s="20">
        <f>_xlfn.XMATCH(tbl_Clean[[#This Row],[Commute Distance]],{"0-1 Miles","1-2 Miles","2-5 Miles","5-10 Miles","10+ Miles"})</f>
        <v>3</v>
      </c>
      <c r="T964" s="20">
        <f>_xlfn.XMATCH(tbl_Clean[[#This Row],[Education]],{"Partial High School","High School","Partial College","Bachelors","Graduate Degree"})</f>
        <v>3</v>
      </c>
      <c r="U964" s="20">
        <f>IF(tbl_Clean[[#This Row],[Purchased Bike]]="Yes",1,0)</f>
        <v>1</v>
      </c>
    </row>
    <row r="965" spans="1:21" x14ac:dyDescent="0.25">
      <c r="A965" s="20">
        <v>23491</v>
      </c>
      <c r="B965" s="3" t="s">
        <v>114</v>
      </c>
      <c r="C965" s="3" t="s">
        <v>113</v>
      </c>
      <c r="D965" s="19">
        <v>100000</v>
      </c>
      <c r="E965" s="20">
        <v>0</v>
      </c>
      <c r="F965" s="3" t="s">
        <v>21</v>
      </c>
      <c r="G965" s="3" t="s">
        <v>23</v>
      </c>
      <c r="H965" s="3" t="s">
        <v>20</v>
      </c>
      <c r="I965" s="20">
        <v>4</v>
      </c>
      <c r="J965" s="3" t="s">
        <v>29</v>
      </c>
      <c r="K965" s="3" t="s">
        <v>35</v>
      </c>
      <c r="L965" s="20">
        <v>45</v>
      </c>
      <c r="M965" s="3" t="s">
        <v>20</v>
      </c>
      <c r="N965" s="20" t="str" cm="1">
        <f t="array" ref="N965">_xlfn.IFS(tbl_Clean[[#This Row],[Age]]&lt;=30,"25-30",tbl_Clean[[#This Row],[Age]]&lt;=40,"31-40",tbl_Clean[[#This Row],[Age]]&lt;=50,"41-50",tbl_Clean[[#This Row],[Age]]&lt;=60,"51-60",TRUE,"61+")</f>
        <v>41-50</v>
      </c>
      <c r="O965" s="20">
        <f>_xlfn.XMATCH(tbl_Clean[[#This Row],[Age Band]],{"25-30","31-40","41-50","51-60","61+"})</f>
        <v>3</v>
      </c>
      <c r="P965" s="20" t="str" cm="1">
        <f t="array" ref="P965">_xlfn.IFS(tbl_Clean[[#This Row],[Income]]&lt;=30000,"$10k-30k",tbl_Clean[[#This Row],[Income]]&lt;=60000,"$40k-60k",tbl_Clean[[#This Row],[Income]]&lt;=90000,"$70k-90k",TRUE,"$100k+")</f>
        <v>$100k+</v>
      </c>
      <c r="Q965" s="20">
        <f>_xlfn.XMATCH(tbl_Clean[[#This Row],[Income Band]],{"$10k-30k","$40k-60k","$70k-90k","$100k+"})</f>
        <v>4</v>
      </c>
      <c r="R965" s="20" t="str">
        <f>IF(tbl_Clean[[#This Row],[Cars]]&lt;=1,"0-1 Cars","2+ Cars")</f>
        <v>2+ Cars</v>
      </c>
      <c r="S965" s="20">
        <f>_xlfn.XMATCH(tbl_Clean[[#This Row],[Commute Distance]],{"0-1 Miles","1-2 Miles","2-5 Miles","5-10 Miles","10+ Miles"})</f>
        <v>2</v>
      </c>
      <c r="T965" s="20">
        <f>_xlfn.XMATCH(tbl_Clean[[#This Row],[Education]],{"Partial High School","High School","Partial College","Bachelors","Graduate Degree"})</f>
        <v>3</v>
      </c>
      <c r="U965" s="20">
        <f>IF(tbl_Clean[[#This Row],[Purchased Bike]]="Yes",1,0)</f>
        <v>0</v>
      </c>
    </row>
    <row r="966" spans="1:21" x14ac:dyDescent="0.25">
      <c r="A966" s="20">
        <v>16651</v>
      </c>
      <c r="B966" s="3" t="s">
        <v>111</v>
      </c>
      <c r="C966" s="3" t="s">
        <v>112</v>
      </c>
      <c r="D966" s="19">
        <v>120000</v>
      </c>
      <c r="E966" s="20">
        <v>2</v>
      </c>
      <c r="F966" s="3" t="s">
        <v>15</v>
      </c>
      <c r="G966" s="3" t="s">
        <v>31</v>
      </c>
      <c r="H966" s="3" t="s">
        <v>17</v>
      </c>
      <c r="I966" s="20">
        <v>3</v>
      </c>
      <c r="J966" s="3" t="s">
        <v>26</v>
      </c>
      <c r="K966" s="3" t="s">
        <v>35</v>
      </c>
      <c r="L966" s="20">
        <v>62</v>
      </c>
      <c r="M966" s="3" t="s">
        <v>20</v>
      </c>
      <c r="N966" s="20" t="str" cm="1">
        <f t="array" ref="N966">_xlfn.IFS(tbl_Clean[[#This Row],[Age]]&lt;=30,"25-30",tbl_Clean[[#This Row],[Age]]&lt;=40,"31-40",tbl_Clean[[#This Row],[Age]]&lt;=50,"41-50",tbl_Clean[[#This Row],[Age]]&lt;=60,"51-60",TRUE,"61+")</f>
        <v>61+</v>
      </c>
      <c r="O966" s="20">
        <f>_xlfn.XMATCH(tbl_Clean[[#This Row],[Age Band]],{"25-30","31-40","41-50","51-60","61+"})</f>
        <v>5</v>
      </c>
      <c r="P966" s="20" t="str" cm="1">
        <f t="array" ref="P966">_xlfn.IFS(tbl_Clean[[#This Row],[Income]]&lt;=30000,"$10k-30k",tbl_Clean[[#This Row],[Income]]&lt;=60000,"$40k-60k",tbl_Clean[[#This Row],[Income]]&lt;=90000,"$70k-90k",TRUE,"$100k+")</f>
        <v>$100k+</v>
      </c>
      <c r="Q966" s="20">
        <f>_xlfn.XMATCH(tbl_Clean[[#This Row],[Income Band]],{"$10k-30k","$40k-60k","$70k-90k","$100k+"})</f>
        <v>4</v>
      </c>
      <c r="R966" s="20" t="str">
        <f>IF(tbl_Clean[[#This Row],[Cars]]&lt;=1,"0-1 Cars","2+ Cars")</f>
        <v>2+ Cars</v>
      </c>
      <c r="S966" s="20">
        <f>_xlfn.XMATCH(tbl_Clean[[#This Row],[Commute Distance]],{"0-1 Miles","1-2 Miles","2-5 Miles","5-10 Miles","10+ Miles"})</f>
        <v>4</v>
      </c>
      <c r="T966" s="20">
        <f>_xlfn.XMATCH(tbl_Clean[[#This Row],[Education]],{"Partial High School","High School","Partial College","Bachelors","Graduate Degree"})</f>
        <v>4</v>
      </c>
      <c r="U966" s="20">
        <f>IF(tbl_Clean[[#This Row],[Purchased Bike]]="Yes",1,0)</f>
        <v>0</v>
      </c>
    </row>
    <row r="967" spans="1:21" x14ac:dyDescent="0.25">
      <c r="A967" s="20">
        <v>16813</v>
      </c>
      <c r="B967" s="3" t="s">
        <v>111</v>
      </c>
      <c r="C967" s="3" t="s">
        <v>113</v>
      </c>
      <c r="D967" s="19">
        <v>60000</v>
      </c>
      <c r="E967" s="20">
        <v>2</v>
      </c>
      <c r="F967" s="3" t="s">
        <v>21</v>
      </c>
      <c r="G967" s="3" t="s">
        <v>23</v>
      </c>
      <c r="H967" s="3" t="s">
        <v>17</v>
      </c>
      <c r="I967" s="20">
        <v>2</v>
      </c>
      <c r="J967" s="3" t="s">
        <v>33</v>
      </c>
      <c r="K967" s="3" t="s">
        <v>35</v>
      </c>
      <c r="L967" s="20">
        <v>55</v>
      </c>
      <c r="M967" s="3" t="s">
        <v>20</v>
      </c>
      <c r="N967" s="20" t="str" cm="1">
        <f t="array" ref="N967">_xlfn.IFS(tbl_Clean[[#This Row],[Age]]&lt;=30,"25-30",tbl_Clean[[#This Row],[Age]]&lt;=40,"31-40",tbl_Clean[[#This Row],[Age]]&lt;=50,"41-50",tbl_Clean[[#This Row],[Age]]&lt;=60,"51-60",TRUE,"61+")</f>
        <v>51-60</v>
      </c>
      <c r="O967" s="20">
        <f>_xlfn.XMATCH(tbl_Clean[[#This Row],[Age Band]],{"25-30","31-40","41-50","51-60","61+"})</f>
        <v>4</v>
      </c>
      <c r="P967" s="20" t="str" cm="1">
        <f t="array" ref="P967">_xlfn.IFS(tbl_Clean[[#This Row],[Income]]&lt;=30000,"$10k-30k",tbl_Clean[[#This Row],[Income]]&lt;=60000,"$40k-60k",tbl_Clean[[#This Row],[Income]]&lt;=90000,"$70k-90k",TRUE,"$100k+")</f>
        <v>$40k-60k</v>
      </c>
      <c r="Q967" s="20">
        <f>_xlfn.XMATCH(tbl_Clean[[#This Row],[Income Band]],{"$10k-30k","$40k-60k","$70k-90k","$100k+"})</f>
        <v>2</v>
      </c>
      <c r="R967" s="20" t="str">
        <f>IF(tbl_Clean[[#This Row],[Cars]]&lt;=1,"0-1 Cars","2+ Cars")</f>
        <v>2+ Cars</v>
      </c>
      <c r="S967" s="20">
        <f>_xlfn.XMATCH(tbl_Clean[[#This Row],[Commute Distance]],{"0-1 Miles","1-2 Miles","2-5 Miles","5-10 Miles","10+ Miles"})</f>
        <v>5</v>
      </c>
      <c r="T967" s="20">
        <f>_xlfn.XMATCH(tbl_Clean[[#This Row],[Education]],{"Partial High School","High School","Partial College","Bachelors","Graduate Degree"})</f>
        <v>3</v>
      </c>
      <c r="U967" s="20">
        <f>IF(tbl_Clean[[#This Row],[Purchased Bike]]="Yes",1,0)</f>
        <v>0</v>
      </c>
    </row>
    <row r="968" spans="1:21" x14ac:dyDescent="0.25">
      <c r="A968" s="20">
        <v>16007</v>
      </c>
      <c r="B968" s="3" t="s">
        <v>111</v>
      </c>
      <c r="C968" s="3" t="s">
        <v>112</v>
      </c>
      <c r="D968" s="19">
        <v>90000</v>
      </c>
      <c r="E968" s="20">
        <v>5</v>
      </c>
      <c r="F968" s="3" t="s">
        <v>15</v>
      </c>
      <c r="G968" s="3" t="s">
        <v>31</v>
      </c>
      <c r="H968" s="3" t="s">
        <v>17</v>
      </c>
      <c r="I968" s="20">
        <v>2</v>
      </c>
      <c r="J968" s="3" t="s">
        <v>29</v>
      </c>
      <c r="K968" s="3" t="s">
        <v>35</v>
      </c>
      <c r="L968" s="20">
        <v>66</v>
      </c>
      <c r="M968" s="3" t="s">
        <v>17</v>
      </c>
      <c r="N968" s="20" t="str" cm="1">
        <f t="array" ref="N968">_xlfn.IFS(tbl_Clean[[#This Row],[Age]]&lt;=30,"25-30",tbl_Clean[[#This Row],[Age]]&lt;=40,"31-40",tbl_Clean[[#This Row],[Age]]&lt;=50,"41-50",tbl_Clean[[#This Row],[Age]]&lt;=60,"51-60",TRUE,"61+")</f>
        <v>61+</v>
      </c>
      <c r="O968" s="20">
        <f>_xlfn.XMATCH(tbl_Clean[[#This Row],[Age Band]],{"25-30","31-40","41-50","51-60","61+"})</f>
        <v>5</v>
      </c>
      <c r="P968" s="20" t="str" cm="1">
        <f t="array" ref="P968">_xlfn.IFS(tbl_Clean[[#This Row],[Income]]&lt;=30000,"$10k-30k",tbl_Clean[[#This Row],[Income]]&lt;=60000,"$40k-60k",tbl_Clean[[#This Row],[Income]]&lt;=90000,"$70k-90k",TRUE,"$100k+")</f>
        <v>$70k-90k</v>
      </c>
      <c r="Q968" s="20">
        <f>_xlfn.XMATCH(tbl_Clean[[#This Row],[Income Band]],{"$10k-30k","$40k-60k","$70k-90k","$100k+"})</f>
        <v>3</v>
      </c>
      <c r="R968" s="20" t="str">
        <f>IF(tbl_Clean[[#This Row],[Cars]]&lt;=1,"0-1 Cars","2+ Cars")</f>
        <v>2+ Cars</v>
      </c>
      <c r="S968" s="20">
        <f>_xlfn.XMATCH(tbl_Clean[[#This Row],[Commute Distance]],{"0-1 Miles","1-2 Miles","2-5 Miles","5-10 Miles","10+ Miles"})</f>
        <v>2</v>
      </c>
      <c r="T968" s="20">
        <f>_xlfn.XMATCH(tbl_Clean[[#This Row],[Education]],{"Partial High School","High School","Partial College","Bachelors","Graduate Degree"})</f>
        <v>4</v>
      </c>
      <c r="U968" s="20">
        <f>IF(tbl_Clean[[#This Row],[Purchased Bike]]="Yes",1,0)</f>
        <v>1</v>
      </c>
    </row>
    <row r="969" spans="1:21" x14ac:dyDescent="0.25">
      <c r="A969" s="20">
        <v>27434</v>
      </c>
      <c r="B969" s="3" t="s">
        <v>114</v>
      </c>
      <c r="C969" s="3" t="s">
        <v>113</v>
      </c>
      <c r="D969" s="19">
        <v>70000</v>
      </c>
      <c r="E969" s="20">
        <v>4</v>
      </c>
      <c r="F969" s="3" t="s">
        <v>21</v>
      </c>
      <c r="G969" s="3" t="s">
        <v>23</v>
      </c>
      <c r="H969" s="3" t="s">
        <v>17</v>
      </c>
      <c r="I969" s="20">
        <v>1</v>
      </c>
      <c r="J969" s="3" t="s">
        <v>33</v>
      </c>
      <c r="K969" s="3" t="s">
        <v>35</v>
      </c>
      <c r="L969" s="20">
        <v>56</v>
      </c>
      <c r="M969" s="3" t="s">
        <v>20</v>
      </c>
      <c r="N969" s="20" t="str" cm="1">
        <f t="array" ref="N969">_xlfn.IFS(tbl_Clean[[#This Row],[Age]]&lt;=30,"25-30",tbl_Clean[[#This Row],[Age]]&lt;=40,"31-40",tbl_Clean[[#This Row],[Age]]&lt;=50,"41-50",tbl_Clean[[#This Row],[Age]]&lt;=60,"51-60",TRUE,"61+")</f>
        <v>51-60</v>
      </c>
      <c r="O969" s="20">
        <f>_xlfn.XMATCH(tbl_Clean[[#This Row],[Age Band]],{"25-30","31-40","41-50","51-60","61+"})</f>
        <v>4</v>
      </c>
      <c r="P969" s="20" t="str" cm="1">
        <f t="array" ref="P969">_xlfn.IFS(tbl_Clean[[#This Row],[Income]]&lt;=30000,"$10k-30k",tbl_Clean[[#This Row],[Income]]&lt;=60000,"$40k-60k",tbl_Clean[[#This Row],[Income]]&lt;=90000,"$70k-90k",TRUE,"$100k+")</f>
        <v>$70k-90k</v>
      </c>
      <c r="Q969" s="20">
        <f>_xlfn.XMATCH(tbl_Clean[[#This Row],[Income Band]],{"$10k-30k","$40k-60k","$70k-90k","$100k+"})</f>
        <v>3</v>
      </c>
      <c r="R969" s="20" t="str">
        <f>IF(tbl_Clean[[#This Row],[Cars]]&lt;=1,"0-1 Cars","2+ Cars")</f>
        <v>0-1 Cars</v>
      </c>
      <c r="S969" s="20">
        <f>_xlfn.XMATCH(tbl_Clean[[#This Row],[Commute Distance]],{"0-1 Miles","1-2 Miles","2-5 Miles","5-10 Miles","10+ Miles"})</f>
        <v>5</v>
      </c>
      <c r="T969" s="20">
        <f>_xlfn.XMATCH(tbl_Clean[[#This Row],[Education]],{"Partial High School","High School","Partial College","Bachelors","Graduate Degree"})</f>
        <v>3</v>
      </c>
      <c r="U969" s="20">
        <f>IF(tbl_Clean[[#This Row],[Purchased Bike]]="Yes",1,0)</f>
        <v>0</v>
      </c>
    </row>
    <row r="970" spans="1:21" x14ac:dyDescent="0.25">
      <c r="A970" s="20">
        <v>27756</v>
      </c>
      <c r="B970" s="3" t="s">
        <v>114</v>
      </c>
      <c r="C970" s="3" t="s">
        <v>112</v>
      </c>
      <c r="D970" s="19">
        <v>50000</v>
      </c>
      <c r="E970" s="20">
        <v>3</v>
      </c>
      <c r="F970" s="3" t="s">
        <v>15</v>
      </c>
      <c r="G970" s="3" t="s">
        <v>16</v>
      </c>
      <c r="H970" s="3" t="s">
        <v>20</v>
      </c>
      <c r="I970" s="20">
        <v>1</v>
      </c>
      <c r="J970" s="3" t="s">
        <v>18</v>
      </c>
      <c r="K970" s="3" t="s">
        <v>35</v>
      </c>
      <c r="L970" s="20">
        <v>40</v>
      </c>
      <c r="M970" s="3" t="s">
        <v>20</v>
      </c>
      <c r="N970" s="20" t="str" cm="1">
        <f t="array" ref="N970">_xlfn.IFS(tbl_Clean[[#This Row],[Age]]&lt;=30,"25-30",tbl_Clean[[#This Row],[Age]]&lt;=40,"31-40",tbl_Clean[[#This Row],[Age]]&lt;=50,"41-50",tbl_Clean[[#This Row],[Age]]&lt;=60,"51-60",TRUE,"61+")</f>
        <v>31-40</v>
      </c>
      <c r="O970" s="20">
        <f>_xlfn.XMATCH(tbl_Clean[[#This Row],[Age Band]],{"25-30","31-40","41-50","51-60","61+"})</f>
        <v>2</v>
      </c>
      <c r="P970" s="20" t="str" cm="1">
        <f t="array" ref="P970">_xlfn.IFS(tbl_Clean[[#This Row],[Income]]&lt;=30000,"$10k-30k",tbl_Clean[[#This Row],[Income]]&lt;=60000,"$40k-60k",tbl_Clean[[#This Row],[Income]]&lt;=90000,"$70k-90k",TRUE,"$100k+")</f>
        <v>$40k-60k</v>
      </c>
      <c r="Q970" s="20">
        <f>_xlfn.XMATCH(tbl_Clean[[#This Row],[Income Band]],{"$10k-30k","$40k-60k","$70k-90k","$100k+"})</f>
        <v>2</v>
      </c>
      <c r="R970" s="20" t="str">
        <f>IF(tbl_Clean[[#This Row],[Cars]]&lt;=1,"0-1 Cars","2+ Cars")</f>
        <v>0-1 Cars</v>
      </c>
      <c r="S970" s="20">
        <f>_xlfn.XMATCH(tbl_Clean[[#This Row],[Commute Distance]],{"0-1 Miles","1-2 Miles","2-5 Miles","5-10 Miles","10+ Miles"})</f>
        <v>1</v>
      </c>
      <c r="T970" s="20">
        <f>_xlfn.XMATCH(tbl_Clean[[#This Row],[Education]],{"Partial High School","High School","Partial College","Bachelors","Graduate Degree"})</f>
        <v>4</v>
      </c>
      <c r="U970" s="20">
        <f>IF(tbl_Clean[[#This Row],[Purchased Bike]]="Yes",1,0)</f>
        <v>0</v>
      </c>
    </row>
    <row r="971" spans="1:21" x14ac:dyDescent="0.25">
      <c r="A971" s="20">
        <v>23818</v>
      </c>
      <c r="B971" s="3" t="s">
        <v>111</v>
      </c>
      <c r="C971" s="3" t="s">
        <v>112</v>
      </c>
      <c r="D971" s="19">
        <v>50000</v>
      </c>
      <c r="E971" s="20">
        <v>0</v>
      </c>
      <c r="F971" s="3" t="s">
        <v>34</v>
      </c>
      <c r="G971" s="3" t="s">
        <v>16</v>
      </c>
      <c r="H971" s="3" t="s">
        <v>17</v>
      </c>
      <c r="I971" s="20">
        <v>0</v>
      </c>
      <c r="J971" s="3" t="s">
        <v>29</v>
      </c>
      <c r="K971" s="3" t="s">
        <v>35</v>
      </c>
      <c r="L971" s="20">
        <v>33</v>
      </c>
      <c r="M971" s="3" t="s">
        <v>17</v>
      </c>
      <c r="N971" s="20" t="str" cm="1">
        <f t="array" ref="N971">_xlfn.IFS(tbl_Clean[[#This Row],[Age]]&lt;=30,"25-30",tbl_Clean[[#This Row],[Age]]&lt;=40,"31-40",tbl_Clean[[#This Row],[Age]]&lt;=50,"41-50",tbl_Clean[[#This Row],[Age]]&lt;=60,"51-60",TRUE,"61+")</f>
        <v>31-40</v>
      </c>
      <c r="O971" s="20">
        <f>_xlfn.XMATCH(tbl_Clean[[#This Row],[Age Band]],{"25-30","31-40","41-50","51-60","61+"})</f>
        <v>2</v>
      </c>
      <c r="P971" s="20" t="str" cm="1">
        <f t="array" ref="P971">_xlfn.IFS(tbl_Clean[[#This Row],[Income]]&lt;=30000,"$10k-30k",tbl_Clean[[#This Row],[Income]]&lt;=60000,"$40k-60k",tbl_Clean[[#This Row],[Income]]&lt;=90000,"$70k-90k",TRUE,"$100k+")</f>
        <v>$40k-60k</v>
      </c>
      <c r="Q971" s="20">
        <f>_xlfn.XMATCH(tbl_Clean[[#This Row],[Income Band]],{"$10k-30k","$40k-60k","$70k-90k","$100k+"})</f>
        <v>2</v>
      </c>
      <c r="R971" s="20" t="str">
        <f>IF(tbl_Clean[[#This Row],[Cars]]&lt;=1,"0-1 Cars","2+ Cars")</f>
        <v>0-1 Cars</v>
      </c>
      <c r="S971" s="20">
        <f>_xlfn.XMATCH(tbl_Clean[[#This Row],[Commute Distance]],{"0-1 Miles","1-2 Miles","2-5 Miles","5-10 Miles","10+ Miles"})</f>
        <v>2</v>
      </c>
      <c r="T971" s="20">
        <f>_xlfn.XMATCH(tbl_Clean[[#This Row],[Education]],{"Partial High School","High School","Partial College","Bachelors","Graduate Degree"})</f>
        <v>5</v>
      </c>
      <c r="U971" s="20">
        <f>IF(tbl_Clean[[#This Row],[Purchased Bike]]="Yes",1,0)</f>
        <v>1</v>
      </c>
    </row>
    <row r="972" spans="1:21" x14ac:dyDescent="0.25">
      <c r="A972" s="20">
        <v>19012</v>
      </c>
      <c r="B972" s="3" t="s">
        <v>111</v>
      </c>
      <c r="C972" s="3" t="s">
        <v>113</v>
      </c>
      <c r="D972" s="19">
        <v>80000</v>
      </c>
      <c r="E972" s="20">
        <v>3</v>
      </c>
      <c r="F972" s="3" t="s">
        <v>15</v>
      </c>
      <c r="G972" s="3" t="s">
        <v>31</v>
      </c>
      <c r="H972" s="3" t="s">
        <v>17</v>
      </c>
      <c r="I972" s="20">
        <v>1</v>
      </c>
      <c r="J972" s="3" t="s">
        <v>29</v>
      </c>
      <c r="K972" s="3" t="s">
        <v>35</v>
      </c>
      <c r="L972" s="20">
        <v>56</v>
      </c>
      <c r="M972" s="3" t="s">
        <v>20</v>
      </c>
      <c r="N972" s="20" t="str" cm="1">
        <f t="array" ref="N972">_xlfn.IFS(tbl_Clean[[#This Row],[Age]]&lt;=30,"25-30",tbl_Clean[[#This Row],[Age]]&lt;=40,"31-40",tbl_Clean[[#This Row],[Age]]&lt;=50,"41-50",tbl_Clean[[#This Row],[Age]]&lt;=60,"51-60",TRUE,"61+")</f>
        <v>51-60</v>
      </c>
      <c r="O972" s="20">
        <f>_xlfn.XMATCH(tbl_Clean[[#This Row],[Age Band]],{"25-30","31-40","41-50","51-60","61+"})</f>
        <v>4</v>
      </c>
      <c r="P972" s="20" t="str" cm="1">
        <f t="array" ref="P972">_xlfn.IFS(tbl_Clean[[#This Row],[Income]]&lt;=30000,"$10k-30k",tbl_Clean[[#This Row],[Income]]&lt;=60000,"$40k-60k",tbl_Clean[[#This Row],[Income]]&lt;=90000,"$70k-90k",TRUE,"$100k+")</f>
        <v>$70k-90k</v>
      </c>
      <c r="Q972" s="20">
        <f>_xlfn.XMATCH(tbl_Clean[[#This Row],[Income Band]],{"$10k-30k","$40k-60k","$70k-90k","$100k+"})</f>
        <v>3</v>
      </c>
      <c r="R972" s="20" t="str">
        <f>IF(tbl_Clean[[#This Row],[Cars]]&lt;=1,"0-1 Cars","2+ Cars")</f>
        <v>0-1 Cars</v>
      </c>
      <c r="S972" s="20">
        <f>_xlfn.XMATCH(tbl_Clean[[#This Row],[Commute Distance]],{"0-1 Miles","1-2 Miles","2-5 Miles","5-10 Miles","10+ Miles"})</f>
        <v>2</v>
      </c>
      <c r="T972" s="20">
        <f>_xlfn.XMATCH(tbl_Clean[[#This Row],[Education]],{"Partial High School","High School","Partial College","Bachelors","Graduate Degree"})</f>
        <v>4</v>
      </c>
      <c r="U972" s="20">
        <f>IF(tbl_Clean[[#This Row],[Purchased Bike]]="Yes",1,0)</f>
        <v>0</v>
      </c>
    </row>
    <row r="973" spans="1:21" x14ac:dyDescent="0.25">
      <c r="A973" s="20">
        <v>18329</v>
      </c>
      <c r="B973" s="3" t="s">
        <v>114</v>
      </c>
      <c r="C973" s="3" t="s">
        <v>113</v>
      </c>
      <c r="D973" s="19">
        <v>30000</v>
      </c>
      <c r="E973" s="20">
        <v>0</v>
      </c>
      <c r="F973" s="3" t="s">
        <v>32</v>
      </c>
      <c r="G973" s="3" t="s">
        <v>22</v>
      </c>
      <c r="H973" s="3" t="s">
        <v>20</v>
      </c>
      <c r="I973" s="20">
        <v>2</v>
      </c>
      <c r="J973" s="3" t="s">
        <v>26</v>
      </c>
      <c r="K973" s="3" t="s">
        <v>35</v>
      </c>
      <c r="L973" s="20">
        <v>27</v>
      </c>
      <c r="M973" s="3" t="s">
        <v>20</v>
      </c>
      <c r="N973" s="20" t="str" cm="1">
        <f t="array" ref="N973">_xlfn.IFS(tbl_Clean[[#This Row],[Age]]&lt;=30,"25-30",tbl_Clean[[#This Row],[Age]]&lt;=40,"31-40",tbl_Clean[[#This Row],[Age]]&lt;=50,"41-50",tbl_Clean[[#This Row],[Age]]&lt;=60,"51-60",TRUE,"61+")</f>
        <v>25-30</v>
      </c>
      <c r="O973" s="20">
        <f>_xlfn.XMATCH(tbl_Clean[[#This Row],[Age Band]],{"25-30","31-40","41-50","51-60","61+"})</f>
        <v>1</v>
      </c>
      <c r="P973" s="20" t="str" cm="1">
        <f t="array" ref="P973">_xlfn.IFS(tbl_Clean[[#This Row],[Income]]&lt;=30000,"$10k-30k",tbl_Clean[[#This Row],[Income]]&lt;=60000,"$40k-60k",tbl_Clean[[#This Row],[Income]]&lt;=90000,"$70k-90k",TRUE,"$100k+")</f>
        <v>$10k-30k</v>
      </c>
      <c r="Q973" s="20">
        <f>_xlfn.XMATCH(tbl_Clean[[#This Row],[Income Band]],{"$10k-30k","$40k-60k","$70k-90k","$100k+"})</f>
        <v>1</v>
      </c>
      <c r="R973" s="20" t="str">
        <f>IF(tbl_Clean[[#This Row],[Cars]]&lt;=1,"0-1 Cars","2+ Cars")</f>
        <v>2+ Cars</v>
      </c>
      <c r="S973" s="20">
        <f>_xlfn.XMATCH(tbl_Clean[[#This Row],[Commute Distance]],{"0-1 Miles","1-2 Miles","2-5 Miles","5-10 Miles","10+ Miles"})</f>
        <v>4</v>
      </c>
      <c r="T973" s="20">
        <f>_xlfn.XMATCH(tbl_Clean[[#This Row],[Education]],{"Partial High School","High School","Partial College","Bachelors","Graduate Degree"})</f>
        <v>1</v>
      </c>
      <c r="U973" s="20">
        <f>IF(tbl_Clean[[#This Row],[Purchased Bike]]="Yes",1,0)</f>
        <v>0</v>
      </c>
    </row>
    <row r="974" spans="1:21" x14ac:dyDescent="0.25">
      <c r="A974" s="20">
        <v>29037</v>
      </c>
      <c r="B974" s="3" t="s">
        <v>111</v>
      </c>
      <c r="C974" s="3" t="s">
        <v>113</v>
      </c>
      <c r="D974" s="19">
        <v>60000</v>
      </c>
      <c r="E974" s="20">
        <v>0</v>
      </c>
      <c r="F974" s="3" t="s">
        <v>34</v>
      </c>
      <c r="G974" s="3" t="s">
        <v>23</v>
      </c>
      <c r="H974" s="3" t="s">
        <v>20</v>
      </c>
      <c r="I974" s="20">
        <v>0</v>
      </c>
      <c r="J974" s="3" t="s">
        <v>18</v>
      </c>
      <c r="K974" s="3" t="s">
        <v>35</v>
      </c>
      <c r="L974" s="20">
        <v>39</v>
      </c>
      <c r="M974" s="3" t="s">
        <v>20</v>
      </c>
      <c r="N974" s="20" t="str" cm="1">
        <f t="array" ref="N974">_xlfn.IFS(tbl_Clean[[#This Row],[Age]]&lt;=30,"25-30",tbl_Clean[[#This Row],[Age]]&lt;=40,"31-40",tbl_Clean[[#This Row],[Age]]&lt;=50,"41-50",tbl_Clean[[#This Row],[Age]]&lt;=60,"51-60",TRUE,"61+")</f>
        <v>31-40</v>
      </c>
      <c r="O974" s="20">
        <f>_xlfn.XMATCH(tbl_Clean[[#This Row],[Age Band]],{"25-30","31-40","41-50","51-60","61+"})</f>
        <v>2</v>
      </c>
      <c r="P974" s="20" t="str" cm="1">
        <f t="array" ref="P974">_xlfn.IFS(tbl_Clean[[#This Row],[Income]]&lt;=30000,"$10k-30k",tbl_Clean[[#This Row],[Income]]&lt;=60000,"$40k-60k",tbl_Clean[[#This Row],[Income]]&lt;=90000,"$70k-90k",TRUE,"$100k+")</f>
        <v>$40k-60k</v>
      </c>
      <c r="Q974" s="20">
        <f>_xlfn.XMATCH(tbl_Clean[[#This Row],[Income Band]],{"$10k-30k","$40k-60k","$70k-90k","$100k+"})</f>
        <v>2</v>
      </c>
      <c r="R974" s="20" t="str">
        <f>IF(tbl_Clean[[#This Row],[Cars]]&lt;=1,"0-1 Cars","2+ Cars")</f>
        <v>0-1 Cars</v>
      </c>
      <c r="S974" s="20">
        <f>_xlfn.XMATCH(tbl_Clean[[#This Row],[Commute Distance]],{"0-1 Miles","1-2 Miles","2-5 Miles","5-10 Miles","10+ Miles"})</f>
        <v>1</v>
      </c>
      <c r="T974" s="20">
        <f>_xlfn.XMATCH(tbl_Clean[[#This Row],[Education]],{"Partial High School","High School","Partial College","Bachelors","Graduate Degree"})</f>
        <v>5</v>
      </c>
      <c r="U974" s="20">
        <f>IF(tbl_Clean[[#This Row],[Purchased Bike]]="Yes",1,0)</f>
        <v>0</v>
      </c>
    </row>
    <row r="975" spans="1:21" x14ac:dyDescent="0.25">
      <c r="A975" s="20">
        <v>26576</v>
      </c>
      <c r="B975" s="3" t="s">
        <v>111</v>
      </c>
      <c r="C975" s="3" t="s">
        <v>112</v>
      </c>
      <c r="D975" s="19">
        <v>60000</v>
      </c>
      <c r="E975" s="20">
        <v>0</v>
      </c>
      <c r="F975" s="3" t="s">
        <v>21</v>
      </c>
      <c r="G975" s="3" t="s">
        <v>16</v>
      </c>
      <c r="H975" s="3" t="s">
        <v>17</v>
      </c>
      <c r="I975" s="20">
        <v>2</v>
      </c>
      <c r="J975" s="3" t="s">
        <v>26</v>
      </c>
      <c r="K975" s="3" t="s">
        <v>35</v>
      </c>
      <c r="L975" s="20">
        <v>31</v>
      </c>
      <c r="M975" s="3" t="s">
        <v>20</v>
      </c>
      <c r="N975" s="20" t="str" cm="1">
        <f t="array" ref="N975">_xlfn.IFS(tbl_Clean[[#This Row],[Age]]&lt;=30,"25-30",tbl_Clean[[#This Row],[Age]]&lt;=40,"31-40",tbl_Clean[[#This Row],[Age]]&lt;=50,"41-50",tbl_Clean[[#This Row],[Age]]&lt;=60,"51-60",TRUE,"61+")</f>
        <v>31-40</v>
      </c>
      <c r="O975" s="20">
        <f>_xlfn.XMATCH(tbl_Clean[[#This Row],[Age Band]],{"25-30","31-40","41-50","51-60","61+"})</f>
        <v>2</v>
      </c>
      <c r="P975" s="20" t="str" cm="1">
        <f t="array" ref="P975">_xlfn.IFS(tbl_Clean[[#This Row],[Income]]&lt;=30000,"$10k-30k",tbl_Clean[[#This Row],[Income]]&lt;=60000,"$40k-60k",tbl_Clean[[#This Row],[Income]]&lt;=90000,"$70k-90k",TRUE,"$100k+")</f>
        <v>$40k-60k</v>
      </c>
      <c r="Q975" s="20">
        <f>_xlfn.XMATCH(tbl_Clean[[#This Row],[Income Band]],{"$10k-30k","$40k-60k","$70k-90k","$100k+"})</f>
        <v>2</v>
      </c>
      <c r="R975" s="20" t="str">
        <f>IF(tbl_Clean[[#This Row],[Cars]]&lt;=1,"0-1 Cars","2+ Cars")</f>
        <v>2+ Cars</v>
      </c>
      <c r="S975" s="20">
        <f>_xlfn.XMATCH(tbl_Clean[[#This Row],[Commute Distance]],{"0-1 Miles","1-2 Miles","2-5 Miles","5-10 Miles","10+ Miles"})</f>
        <v>4</v>
      </c>
      <c r="T975" s="20">
        <f>_xlfn.XMATCH(tbl_Clean[[#This Row],[Education]],{"Partial High School","High School","Partial College","Bachelors","Graduate Degree"})</f>
        <v>3</v>
      </c>
      <c r="U975" s="20">
        <f>IF(tbl_Clean[[#This Row],[Purchased Bike]]="Yes",1,0)</f>
        <v>0</v>
      </c>
    </row>
    <row r="976" spans="1:21" x14ac:dyDescent="0.25">
      <c r="A976" s="20">
        <v>12192</v>
      </c>
      <c r="B976" s="3" t="s">
        <v>114</v>
      </c>
      <c r="C976" s="3" t="s">
        <v>112</v>
      </c>
      <c r="D976" s="19">
        <v>60000</v>
      </c>
      <c r="E976" s="20">
        <v>2</v>
      </c>
      <c r="F976" s="3" t="s">
        <v>32</v>
      </c>
      <c r="G976" s="3" t="s">
        <v>16</v>
      </c>
      <c r="H976" s="3" t="s">
        <v>20</v>
      </c>
      <c r="I976" s="20">
        <v>2</v>
      </c>
      <c r="J976" s="3" t="s">
        <v>29</v>
      </c>
      <c r="K976" s="3" t="s">
        <v>35</v>
      </c>
      <c r="L976" s="20">
        <v>51</v>
      </c>
      <c r="M976" s="3" t="s">
        <v>20</v>
      </c>
      <c r="N976" s="20" t="str" cm="1">
        <f t="array" ref="N976">_xlfn.IFS(tbl_Clean[[#This Row],[Age]]&lt;=30,"25-30",tbl_Clean[[#This Row],[Age]]&lt;=40,"31-40",tbl_Clean[[#This Row],[Age]]&lt;=50,"41-50",tbl_Clean[[#This Row],[Age]]&lt;=60,"51-60",TRUE,"61+")</f>
        <v>51-60</v>
      </c>
      <c r="O976" s="20">
        <f>_xlfn.XMATCH(tbl_Clean[[#This Row],[Age Band]],{"25-30","31-40","41-50","51-60","61+"})</f>
        <v>4</v>
      </c>
      <c r="P976" s="20" t="str" cm="1">
        <f t="array" ref="P976">_xlfn.IFS(tbl_Clean[[#This Row],[Income]]&lt;=30000,"$10k-30k",tbl_Clean[[#This Row],[Income]]&lt;=60000,"$40k-60k",tbl_Clean[[#This Row],[Income]]&lt;=90000,"$70k-90k",TRUE,"$100k+")</f>
        <v>$40k-60k</v>
      </c>
      <c r="Q976" s="20">
        <f>_xlfn.XMATCH(tbl_Clean[[#This Row],[Income Band]],{"$10k-30k","$40k-60k","$70k-90k","$100k+"})</f>
        <v>2</v>
      </c>
      <c r="R976" s="20" t="str">
        <f>IF(tbl_Clean[[#This Row],[Cars]]&lt;=1,"0-1 Cars","2+ Cars")</f>
        <v>2+ Cars</v>
      </c>
      <c r="S976" s="20">
        <f>_xlfn.XMATCH(tbl_Clean[[#This Row],[Commute Distance]],{"0-1 Miles","1-2 Miles","2-5 Miles","5-10 Miles","10+ Miles"})</f>
        <v>2</v>
      </c>
      <c r="T976" s="20">
        <f>_xlfn.XMATCH(tbl_Clean[[#This Row],[Education]],{"Partial High School","High School","Partial College","Bachelors","Graduate Degree"})</f>
        <v>1</v>
      </c>
      <c r="U976" s="20">
        <f>IF(tbl_Clean[[#This Row],[Purchased Bike]]="Yes",1,0)</f>
        <v>0</v>
      </c>
    </row>
    <row r="977" spans="1:21" x14ac:dyDescent="0.25">
      <c r="A977" s="20">
        <v>14887</v>
      </c>
      <c r="B977" s="3" t="s">
        <v>111</v>
      </c>
      <c r="C977" s="3" t="s">
        <v>112</v>
      </c>
      <c r="D977" s="19">
        <v>30000</v>
      </c>
      <c r="E977" s="20">
        <v>1</v>
      </c>
      <c r="F977" s="3" t="s">
        <v>30</v>
      </c>
      <c r="G977" s="3" t="s">
        <v>22</v>
      </c>
      <c r="H977" s="3" t="s">
        <v>17</v>
      </c>
      <c r="I977" s="20">
        <v>1</v>
      </c>
      <c r="J977" s="3" t="s">
        <v>26</v>
      </c>
      <c r="K977" s="3" t="s">
        <v>35</v>
      </c>
      <c r="L977" s="20">
        <v>52</v>
      </c>
      <c r="M977" s="3" t="s">
        <v>20</v>
      </c>
      <c r="N977" s="20" t="str" cm="1">
        <f t="array" ref="N977">_xlfn.IFS(tbl_Clean[[#This Row],[Age]]&lt;=30,"25-30",tbl_Clean[[#This Row],[Age]]&lt;=40,"31-40",tbl_Clean[[#This Row],[Age]]&lt;=50,"41-50",tbl_Clean[[#This Row],[Age]]&lt;=60,"51-60",TRUE,"61+")</f>
        <v>51-60</v>
      </c>
      <c r="O977" s="20">
        <f>_xlfn.XMATCH(tbl_Clean[[#This Row],[Age Band]],{"25-30","31-40","41-50","51-60","61+"})</f>
        <v>4</v>
      </c>
      <c r="P977" s="20" t="str" cm="1">
        <f t="array" ref="P977">_xlfn.IFS(tbl_Clean[[#This Row],[Income]]&lt;=30000,"$10k-30k",tbl_Clean[[#This Row],[Income]]&lt;=60000,"$40k-60k",tbl_Clean[[#This Row],[Income]]&lt;=90000,"$70k-90k",TRUE,"$100k+")</f>
        <v>$10k-30k</v>
      </c>
      <c r="Q977" s="20">
        <f>_xlfn.XMATCH(tbl_Clean[[#This Row],[Income Band]],{"$10k-30k","$40k-60k","$70k-90k","$100k+"})</f>
        <v>1</v>
      </c>
      <c r="R977" s="20" t="str">
        <f>IF(tbl_Clean[[#This Row],[Cars]]&lt;=1,"0-1 Cars","2+ Cars")</f>
        <v>0-1 Cars</v>
      </c>
      <c r="S977" s="20">
        <f>_xlfn.XMATCH(tbl_Clean[[#This Row],[Commute Distance]],{"0-1 Miles","1-2 Miles","2-5 Miles","5-10 Miles","10+ Miles"})</f>
        <v>4</v>
      </c>
      <c r="T977" s="20">
        <f>_xlfn.XMATCH(tbl_Clean[[#This Row],[Education]],{"Partial High School","High School","Partial College","Bachelors","Graduate Degree"})</f>
        <v>2</v>
      </c>
      <c r="U977" s="20">
        <f>IF(tbl_Clean[[#This Row],[Purchased Bike]]="Yes",1,0)</f>
        <v>0</v>
      </c>
    </row>
    <row r="978" spans="1:21" x14ac:dyDescent="0.25">
      <c r="A978" s="20">
        <v>11734</v>
      </c>
      <c r="B978" s="3" t="s">
        <v>111</v>
      </c>
      <c r="C978" s="3" t="s">
        <v>113</v>
      </c>
      <c r="D978" s="19">
        <v>60000</v>
      </c>
      <c r="E978" s="20">
        <v>1</v>
      </c>
      <c r="F978" s="3" t="s">
        <v>21</v>
      </c>
      <c r="G978" s="3" t="s">
        <v>16</v>
      </c>
      <c r="H978" s="3" t="s">
        <v>20</v>
      </c>
      <c r="I978" s="20">
        <v>1</v>
      </c>
      <c r="J978" s="3" t="s">
        <v>18</v>
      </c>
      <c r="K978" s="3" t="s">
        <v>35</v>
      </c>
      <c r="L978" s="20">
        <v>47</v>
      </c>
      <c r="M978" s="3" t="s">
        <v>20</v>
      </c>
      <c r="N978" s="20" t="str" cm="1">
        <f t="array" ref="N978">_xlfn.IFS(tbl_Clean[[#This Row],[Age]]&lt;=30,"25-30",tbl_Clean[[#This Row],[Age]]&lt;=40,"31-40",tbl_Clean[[#This Row],[Age]]&lt;=50,"41-50",tbl_Clean[[#This Row],[Age]]&lt;=60,"51-60",TRUE,"61+")</f>
        <v>41-50</v>
      </c>
      <c r="O978" s="20">
        <f>_xlfn.XMATCH(tbl_Clean[[#This Row],[Age Band]],{"25-30","31-40","41-50","51-60","61+"})</f>
        <v>3</v>
      </c>
      <c r="P978" s="20" t="str" cm="1">
        <f t="array" ref="P978">_xlfn.IFS(tbl_Clean[[#This Row],[Income]]&lt;=30000,"$10k-30k",tbl_Clean[[#This Row],[Income]]&lt;=60000,"$40k-60k",tbl_Clean[[#This Row],[Income]]&lt;=90000,"$70k-90k",TRUE,"$100k+")</f>
        <v>$40k-60k</v>
      </c>
      <c r="Q978" s="20">
        <f>_xlfn.XMATCH(tbl_Clean[[#This Row],[Income Band]],{"$10k-30k","$40k-60k","$70k-90k","$100k+"})</f>
        <v>2</v>
      </c>
      <c r="R978" s="20" t="str">
        <f>IF(tbl_Clean[[#This Row],[Cars]]&lt;=1,"0-1 Cars","2+ Cars")</f>
        <v>0-1 Cars</v>
      </c>
      <c r="S978" s="20">
        <f>_xlfn.XMATCH(tbl_Clean[[#This Row],[Commute Distance]],{"0-1 Miles","1-2 Miles","2-5 Miles","5-10 Miles","10+ Miles"})</f>
        <v>1</v>
      </c>
      <c r="T978" s="20">
        <f>_xlfn.XMATCH(tbl_Clean[[#This Row],[Education]],{"Partial High School","High School","Partial College","Bachelors","Graduate Degree"})</f>
        <v>3</v>
      </c>
      <c r="U978" s="20">
        <f>IF(tbl_Clean[[#This Row],[Purchased Bike]]="Yes",1,0)</f>
        <v>0</v>
      </c>
    </row>
    <row r="979" spans="1:21" x14ac:dyDescent="0.25">
      <c r="A979" s="20">
        <v>17462</v>
      </c>
      <c r="B979" s="3" t="s">
        <v>111</v>
      </c>
      <c r="C979" s="3" t="s">
        <v>113</v>
      </c>
      <c r="D979" s="19">
        <v>70000</v>
      </c>
      <c r="E979" s="20">
        <v>3</v>
      </c>
      <c r="F979" s="3" t="s">
        <v>34</v>
      </c>
      <c r="G979" s="3" t="s">
        <v>31</v>
      </c>
      <c r="H979" s="3" t="s">
        <v>17</v>
      </c>
      <c r="I979" s="20">
        <v>2</v>
      </c>
      <c r="J979" s="3" t="s">
        <v>26</v>
      </c>
      <c r="K979" s="3" t="s">
        <v>35</v>
      </c>
      <c r="L979" s="20">
        <v>53</v>
      </c>
      <c r="M979" s="3" t="s">
        <v>17</v>
      </c>
      <c r="N979" s="20" t="str" cm="1">
        <f t="array" ref="N979">_xlfn.IFS(tbl_Clean[[#This Row],[Age]]&lt;=30,"25-30",tbl_Clean[[#This Row],[Age]]&lt;=40,"31-40",tbl_Clean[[#This Row],[Age]]&lt;=50,"41-50",tbl_Clean[[#This Row],[Age]]&lt;=60,"51-60",TRUE,"61+")</f>
        <v>51-60</v>
      </c>
      <c r="O979" s="20">
        <f>_xlfn.XMATCH(tbl_Clean[[#This Row],[Age Band]],{"25-30","31-40","41-50","51-60","61+"})</f>
        <v>4</v>
      </c>
      <c r="P979" s="20" t="str" cm="1">
        <f t="array" ref="P979">_xlfn.IFS(tbl_Clean[[#This Row],[Income]]&lt;=30000,"$10k-30k",tbl_Clean[[#This Row],[Income]]&lt;=60000,"$40k-60k",tbl_Clean[[#This Row],[Income]]&lt;=90000,"$70k-90k",TRUE,"$100k+")</f>
        <v>$70k-90k</v>
      </c>
      <c r="Q979" s="20">
        <f>_xlfn.XMATCH(tbl_Clean[[#This Row],[Income Band]],{"$10k-30k","$40k-60k","$70k-90k","$100k+"})</f>
        <v>3</v>
      </c>
      <c r="R979" s="20" t="str">
        <f>IF(tbl_Clean[[#This Row],[Cars]]&lt;=1,"0-1 Cars","2+ Cars")</f>
        <v>2+ Cars</v>
      </c>
      <c r="S979" s="20">
        <f>_xlfn.XMATCH(tbl_Clean[[#This Row],[Commute Distance]],{"0-1 Miles","1-2 Miles","2-5 Miles","5-10 Miles","10+ Miles"})</f>
        <v>4</v>
      </c>
      <c r="T979" s="20">
        <f>_xlfn.XMATCH(tbl_Clean[[#This Row],[Education]],{"Partial High School","High School","Partial College","Bachelors","Graduate Degree"})</f>
        <v>5</v>
      </c>
      <c r="U979" s="20">
        <f>IF(tbl_Clean[[#This Row],[Purchased Bike]]="Yes",1,0)</f>
        <v>1</v>
      </c>
    </row>
    <row r="980" spans="1:21" x14ac:dyDescent="0.25">
      <c r="A980" s="20">
        <v>20659</v>
      </c>
      <c r="B980" s="3" t="s">
        <v>111</v>
      </c>
      <c r="C980" s="3" t="s">
        <v>113</v>
      </c>
      <c r="D980" s="19">
        <v>70000</v>
      </c>
      <c r="E980" s="20">
        <v>3</v>
      </c>
      <c r="F980" s="3" t="s">
        <v>34</v>
      </c>
      <c r="G980" s="3" t="s">
        <v>23</v>
      </c>
      <c r="H980" s="3" t="s">
        <v>17</v>
      </c>
      <c r="I980" s="20">
        <v>0</v>
      </c>
      <c r="J980" s="3" t="s">
        <v>18</v>
      </c>
      <c r="K980" s="3" t="s">
        <v>35</v>
      </c>
      <c r="L980" s="20">
        <v>35</v>
      </c>
      <c r="M980" s="3" t="s">
        <v>17</v>
      </c>
      <c r="N980" s="20" t="str" cm="1">
        <f t="array" ref="N980">_xlfn.IFS(tbl_Clean[[#This Row],[Age]]&lt;=30,"25-30",tbl_Clean[[#This Row],[Age]]&lt;=40,"31-40",tbl_Clean[[#This Row],[Age]]&lt;=50,"41-50",tbl_Clean[[#This Row],[Age]]&lt;=60,"51-60",TRUE,"61+")</f>
        <v>31-40</v>
      </c>
      <c r="O980" s="20">
        <f>_xlfn.XMATCH(tbl_Clean[[#This Row],[Age Band]],{"25-30","31-40","41-50","51-60","61+"})</f>
        <v>2</v>
      </c>
      <c r="P980" s="20" t="str" cm="1">
        <f t="array" ref="P980">_xlfn.IFS(tbl_Clean[[#This Row],[Income]]&lt;=30000,"$10k-30k",tbl_Clean[[#This Row],[Income]]&lt;=60000,"$40k-60k",tbl_Clean[[#This Row],[Income]]&lt;=90000,"$70k-90k",TRUE,"$100k+")</f>
        <v>$70k-90k</v>
      </c>
      <c r="Q980" s="20">
        <f>_xlfn.XMATCH(tbl_Clean[[#This Row],[Income Band]],{"$10k-30k","$40k-60k","$70k-90k","$100k+"})</f>
        <v>3</v>
      </c>
      <c r="R980" s="20" t="str">
        <f>IF(tbl_Clean[[#This Row],[Cars]]&lt;=1,"0-1 Cars","2+ Cars")</f>
        <v>0-1 Cars</v>
      </c>
      <c r="S980" s="20">
        <f>_xlfn.XMATCH(tbl_Clean[[#This Row],[Commute Distance]],{"0-1 Miles","1-2 Miles","2-5 Miles","5-10 Miles","10+ Miles"})</f>
        <v>1</v>
      </c>
      <c r="T980" s="20">
        <f>_xlfn.XMATCH(tbl_Clean[[#This Row],[Education]],{"Partial High School","High School","Partial College","Bachelors","Graduate Degree"})</f>
        <v>5</v>
      </c>
      <c r="U980" s="20">
        <f>IF(tbl_Clean[[#This Row],[Purchased Bike]]="Yes",1,0)</f>
        <v>1</v>
      </c>
    </row>
    <row r="981" spans="1:21" x14ac:dyDescent="0.25">
      <c r="A981" s="20">
        <v>28004</v>
      </c>
      <c r="B981" s="3" t="s">
        <v>111</v>
      </c>
      <c r="C981" s="3" t="s">
        <v>112</v>
      </c>
      <c r="D981" s="19">
        <v>60000</v>
      </c>
      <c r="E981" s="20">
        <v>3</v>
      </c>
      <c r="F981" s="3" t="s">
        <v>15</v>
      </c>
      <c r="G981" s="3" t="s">
        <v>31</v>
      </c>
      <c r="H981" s="3" t="s">
        <v>17</v>
      </c>
      <c r="I981" s="20">
        <v>2</v>
      </c>
      <c r="J981" s="3" t="s">
        <v>33</v>
      </c>
      <c r="K981" s="3" t="s">
        <v>35</v>
      </c>
      <c r="L981" s="20">
        <v>66</v>
      </c>
      <c r="M981" s="3" t="s">
        <v>20</v>
      </c>
      <c r="N981" s="20" t="str" cm="1">
        <f t="array" ref="N981">_xlfn.IFS(tbl_Clean[[#This Row],[Age]]&lt;=30,"25-30",tbl_Clean[[#This Row],[Age]]&lt;=40,"31-40",tbl_Clean[[#This Row],[Age]]&lt;=50,"41-50",tbl_Clean[[#This Row],[Age]]&lt;=60,"51-60",TRUE,"61+")</f>
        <v>61+</v>
      </c>
      <c r="O981" s="20">
        <f>_xlfn.XMATCH(tbl_Clean[[#This Row],[Age Band]],{"25-30","31-40","41-50","51-60","61+"})</f>
        <v>5</v>
      </c>
      <c r="P981" s="20" t="str" cm="1">
        <f t="array" ref="P981">_xlfn.IFS(tbl_Clean[[#This Row],[Income]]&lt;=30000,"$10k-30k",tbl_Clean[[#This Row],[Income]]&lt;=60000,"$40k-60k",tbl_Clean[[#This Row],[Income]]&lt;=90000,"$70k-90k",TRUE,"$100k+")</f>
        <v>$40k-60k</v>
      </c>
      <c r="Q981" s="20">
        <f>_xlfn.XMATCH(tbl_Clean[[#This Row],[Income Band]],{"$10k-30k","$40k-60k","$70k-90k","$100k+"})</f>
        <v>2</v>
      </c>
      <c r="R981" s="20" t="str">
        <f>IF(tbl_Clean[[#This Row],[Cars]]&lt;=1,"0-1 Cars","2+ Cars")</f>
        <v>2+ Cars</v>
      </c>
      <c r="S981" s="20">
        <f>_xlfn.XMATCH(tbl_Clean[[#This Row],[Commute Distance]],{"0-1 Miles","1-2 Miles","2-5 Miles","5-10 Miles","10+ Miles"})</f>
        <v>5</v>
      </c>
      <c r="T981" s="20">
        <f>_xlfn.XMATCH(tbl_Clean[[#This Row],[Education]],{"Partial High School","High School","Partial College","Bachelors","Graduate Degree"})</f>
        <v>4</v>
      </c>
      <c r="U981" s="20">
        <f>IF(tbl_Clean[[#This Row],[Purchased Bike]]="Yes",1,0)</f>
        <v>0</v>
      </c>
    </row>
    <row r="982" spans="1:21" x14ac:dyDescent="0.25">
      <c r="A982" s="20">
        <v>19741</v>
      </c>
      <c r="B982" s="3" t="s">
        <v>114</v>
      </c>
      <c r="C982" s="3" t="s">
        <v>112</v>
      </c>
      <c r="D982" s="19">
        <v>80000</v>
      </c>
      <c r="E982" s="20">
        <v>4</v>
      </c>
      <c r="F982" s="3" t="s">
        <v>34</v>
      </c>
      <c r="G982" s="3" t="s">
        <v>31</v>
      </c>
      <c r="H982" s="3" t="s">
        <v>17</v>
      </c>
      <c r="I982" s="20">
        <v>2</v>
      </c>
      <c r="J982" s="3" t="s">
        <v>26</v>
      </c>
      <c r="K982" s="3" t="s">
        <v>35</v>
      </c>
      <c r="L982" s="20">
        <v>65</v>
      </c>
      <c r="M982" s="3" t="s">
        <v>20</v>
      </c>
      <c r="N982" s="20" t="str" cm="1">
        <f t="array" ref="N982">_xlfn.IFS(tbl_Clean[[#This Row],[Age]]&lt;=30,"25-30",tbl_Clean[[#This Row],[Age]]&lt;=40,"31-40",tbl_Clean[[#This Row],[Age]]&lt;=50,"41-50",tbl_Clean[[#This Row],[Age]]&lt;=60,"51-60",TRUE,"61+")</f>
        <v>61+</v>
      </c>
      <c r="O982" s="20">
        <f>_xlfn.XMATCH(tbl_Clean[[#This Row],[Age Band]],{"25-30","31-40","41-50","51-60","61+"})</f>
        <v>5</v>
      </c>
      <c r="P982" s="20" t="str" cm="1">
        <f t="array" ref="P982">_xlfn.IFS(tbl_Clean[[#This Row],[Income]]&lt;=30000,"$10k-30k",tbl_Clean[[#This Row],[Income]]&lt;=60000,"$40k-60k",tbl_Clean[[#This Row],[Income]]&lt;=90000,"$70k-90k",TRUE,"$100k+")</f>
        <v>$70k-90k</v>
      </c>
      <c r="Q982" s="20">
        <f>_xlfn.XMATCH(tbl_Clean[[#This Row],[Income Band]],{"$10k-30k","$40k-60k","$70k-90k","$100k+"})</f>
        <v>3</v>
      </c>
      <c r="R982" s="20" t="str">
        <f>IF(tbl_Clean[[#This Row],[Cars]]&lt;=1,"0-1 Cars","2+ Cars")</f>
        <v>2+ Cars</v>
      </c>
      <c r="S982" s="20">
        <f>_xlfn.XMATCH(tbl_Clean[[#This Row],[Commute Distance]],{"0-1 Miles","1-2 Miles","2-5 Miles","5-10 Miles","10+ Miles"})</f>
        <v>4</v>
      </c>
      <c r="T982" s="20">
        <f>_xlfn.XMATCH(tbl_Clean[[#This Row],[Education]],{"Partial High School","High School","Partial College","Bachelors","Graduate Degree"})</f>
        <v>5</v>
      </c>
      <c r="U982" s="20">
        <f>IF(tbl_Clean[[#This Row],[Purchased Bike]]="Yes",1,0)</f>
        <v>0</v>
      </c>
    </row>
    <row r="983" spans="1:21" x14ac:dyDescent="0.25">
      <c r="A983" s="20">
        <v>17450</v>
      </c>
      <c r="B983" s="3" t="s">
        <v>111</v>
      </c>
      <c r="C983" s="3" t="s">
        <v>113</v>
      </c>
      <c r="D983" s="19">
        <v>80000</v>
      </c>
      <c r="E983" s="20">
        <v>5</v>
      </c>
      <c r="F983" s="3" t="s">
        <v>21</v>
      </c>
      <c r="G983" s="3" t="s">
        <v>23</v>
      </c>
      <c r="H983" s="3" t="s">
        <v>17</v>
      </c>
      <c r="I983" s="20">
        <v>3</v>
      </c>
      <c r="J983" s="3" t="s">
        <v>26</v>
      </c>
      <c r="K983" s="3" t="s">
        <v>35</v>
      </c>
      <c r="L983" s="20">
        <v>45</v>
      </c>
      <c r="M983" s="3" t="s">
        <v>20</v>
      </c>
      <c r="N983" s="20" t="str" cm="1">
        <f t="array" ref="N983">_xlfn.IFS(tbl_Clean[[#This Row],[Age]]&lt;=30,"25-30",tbl_Clean[[#This Row],[Age]]&lt;=40,"31-40",tbl_Clean[[#This Row],[Age]]&lt;=50,"41-50",tbl_Clean[[#This Row],[Age]]&lt;=60,"51-60",TRUE,"61+")</f>
        <v>41-50</v>
      </c>
      <c r="O983" s="20">
        <f>_xlfn.XMATCH(tbl_Clean[[#This Row],[Age Band]],{"25-30","31-40","41-50","51-60","61+"})</f>
        <v>3</v>
      </c>
      <c r="P983" s="20" t="str" cm="1">
        <f t="array" ref="P983">_xlfn.IFS(tbl_Clean[[#This Row],[Income]]&lt;=30000,"$10k-30k",tbl_Clean[[#This Row],[Income]]&lt;=60000,"$40k-60k",tbl_Clean[[#This Row],[Income]]&lt;=90000,"$70k-90k",TRUE,"$100k+")</f>
        <v>$70k-90k</v>
      </c>
      <c r="Q983" s="20">
        <f>_xlfn.XMATCH(tbl_Clean[[#This Row],[Income Band]],{"$10k-30k","$40k-60k","$70k-90k","$100k+"})</f>
        <v>3</v>
      </c>
      <c r="R983" s="20" t="str">
        <f>IF(tbl_Clean[[#This Row],[Cars]]&lt;=1,"0-1 Cars","2+ Cars")</f>
        <v>2+ Cars</v>
      </c>
      <c r="S983" s="20">
        <f>_xlfn.XMATCH(tbl_Clean[[#This Row],[Commute Distance]],{"0-1 Miles","1-2 Miles","2-5 Miles","5-10 Miles","10+ Miles"})</f>
        <v>4</v>
      </c>
      <c r="T983" s="20">
        <f>_xlfn.XMATCH(tbl_Clean[[#This Row],[Education]],{"Partial High School","High School","Partial College","Bachelors","Graduate Degree"})</f>
        <v>3</v>
      </c>
      <c r="U983" s="20">
        <f>IF(tbl_Clean[[#This Row],[Purchased Bike]]="Yes",1,0)</f>
        <v>0</v>
      </c>
    </row>
    <row r="984" spans="1:21" x14ac:dyDescent="0.25">
      <c r="A984" s="20">
        <v>17337</v>
      </c>
      <c r="B984" s="3" t="s">
        <v>114</v>
      </c>
      <c r="C984" s="3" t="s">
        <v>113</v>
      </c>
      <c r="D984" s="19">
        <v>40000</v>
      </c>
      <c r="E984" s="20">
        <v>0</v>
      </c>
      <c r="F984" s="3" t="s">
        <v>30</v>
      </c>
      <c r="G984" s="3" t="s">
        <v>16</v>
      </c>
      <c r="H984" s="3" t="s">
        <v>17</v>
      </c>
      <c r="I984" s="20">
        <v>1</v>
      </c>
      <c r="J984" s="3" t="s">
        <v>26</v>
      </c>
      <c r="K984" s="3" t="s">
        <v>35</v>
      </c>
      <c r="L984" s="20">
        <v>31</v>
      </c>
      <c r="M984" s="3" t="s">
        <v>20</v>
      </c>
      <c r="N984" s="20" t="str" cm="1">
        <f t="array" ref="N984">_xlfn.IFS(tbl_Clean[[#This Row],[Age]]&lt;=30,"25-30",tbl_Clean[[#This Row],[Age]]&lt;=40,"31-40",tbl_Clean[[#This Row],[Age]]&lt;=50,"41-50",tbl_Clean[[#This Row],[Age]]&lt;=60,"51-60",TRUE,"61+")</f>
        <v>31-40</v>
      </c>
      <c r="O984" s="20">
        <f>_xlfn.XMATCH(tbl_Clean[[#This Row],[Age Band]],{"25-30","31-40","41-50","51-60","61+"})</f>
        <v>2</v>
      </c>
      <c r="P984" s="20" t="str" cm="1">
        <f t="array" ref="P984">_xlfn.IFS(tbl_Clean[[#This Row],[Income]]&lt;=30000,"$10k-30k",tbl_Clean[[#This Row],[Income]]&lt;=60000,"$40k-60k",tbl_Clean[[#This Row],[Income]]&lt;=90000,"$70k-90k",TRUE,"$100k+")</f>
        <v>$40k-60k</v>
      </c>
      <c r="Q984" s="20">
        <f>_xlfn.XMATCH(tbl_Clean[[#This Row],[Income Band]],{"$10k-30k","$40k-60k","$70k-90k","$100k+"})</f>
        <v>2</v>
      </c>
      <c r="R984" s="20" t="str">
        <f>IF(tbl_Clean[[#This Row],[Cars]]&lt;=1,"0-1 Cars","2+ Cars")</f>
        <v>0-1 Cars</v>
      </c>
      <c r="S984" s="20">
        <f>_xlfn.XMATCH(tbl_Clean[[#This Row],[Commute Distance]],{"0-1 Miles","1-2 Miles","2-5 Miles","5-10 Miles","10+ Miles"})</f>
        <v>4</v>
      </c>
      <c r="T984" s="20">
        <f>_xlfn.XMATCH(tbl_Clean[[#This Row],[Education]],{"Partial High School","High School","Partial College","Bachelors","Graduate Degree"})</f>
        <v>2</v>
      </c>
      <c r="U984" s="20">
        <f>IF(tbl_Clean[[#This Row],[Purchased Bike]]="Yes",1,0)</f>
        <v>0</v>
      </c>
    </row>
    <row r="985" spans="1:21" x14ac:dyDescent="0.25">
      <c r="A985" s="20">
        <v>18594</v>
      </c>
      <c r="B985" s="3" t="s">
        <v>114</v>
      </c>
      <c r="C985" s="3" t="s">
        <v>112</v>
      </c>
      <c r="D985" s="19">
        <v>80000</v>
      </c>
      <c r="E985" s="20">
        <v>3</v>
      </c>
      <c r="F985" s="3" t="s">
        <v>15</v>
      </c>
      <c r="G985" s="3" t="s">
        <v>16</v>
      </c>
      <c r="H985" s="3" t="s">
        <v>17</v>
      </c>
      <c r="I985" s="20">
        <v>3</v>
      </c>
      <c r="J985" s="3" t="s">
        <v>33</v>
      </c>
      <c r="K985" s="3" t="s">
        <v>35</v>
      </c>
      <c r="L985" s="20">
        <v>40</v>
      </c>
      <c r="M985" s="3" t="s">
        <v>17</v>
      </c>
      <c r="N985" s="20" t="str" cm="1">
        <f t="array" ref="N985">_xlfn.IFS(tbl_Clean[[#This Row],[Age]]&lt;=30,"25-30",tbl_Clean[[#This Row],[Age]]&lt;=40,"31-40",tbl_Clean[[#This Row],[Age]]&lt;=50,"41-50",tbl_Clean[[#This Row],[Age]]&lt;=60,"51-60",TRUE,"61+")</f>
        <v>31-40</v>
      </c>
      <c r="O985" s="20">
        <f>_xlfn.XMATCH(tbl_Clean[[#This Row],[Age Band]],{"25-30","31-40","41-50","51-60","61+"})</f>
        <v>2</v>
      </c>
      <c r="P985" s="20" t="str" cm="1">
        <f t="array" ref="P985">_xlfn.IFS(tbl_Clean[[#This Row],[Income]]&lt;=30000,"$10k-30k",tbl_Clean[[#This Row],[Income]]&lt;=60000,"$40k-60k",tbl_Clean[[#This Row],[Income]]&lt;=90000,"$70k-90k",TRUE,"$100k+")</f>
        <v>$70k-90k</v>
      </c>
      <c r="Q985" s="20">
        <f>_xlfn.XMATCH(tbl_Clean[[#This Row],[Income Band]],{"$10k-30k","$40k-60k","$70k-90k","$100k+"})</f>
        <v>3</v>
      </c>
      <c r="R985" s="20" t="str">
        <f>IF(tbl_Clean[[#This Row],[Cars]]&lt;=1,"0-1 Cars","2+ Cars")</f>
        <v>2+ Cars</v>
      </c>
      <c r="S985" s="20">
        <f>_xlfn.XMATCH(tbl_Clean[[#This Row],[Commute Distance]],{"0-1 Miles","1-2 Miles","2-5 Miles","5-10 Miles","10+ Miles"})</f>
        <v>5</v>
      </c>
      <c r="T985" s="20">
        <f>_xlfn.XMATCH(tbl_Clean[[#This Row],[Education]],{"Partial High School","High School","Partial College","Bachelors","Graduate Degree"})</f>
        <v>4</v>
      </c>
      <c r="U985" s="20">
        <f>IF(tbl_Clean[[#This Row],[Purchased Bike]]="Yes",1,0)</f>
        <v>1</v>
      </c>
    </row>
    <row r="986" spans="1:21" x14ac:dyDescent="0.25">
      <c r="A986" s="20">
        <v>15982</v>
      </c>
      <c r="B986" s="3" t="s">
        <v>111</v>
      </c>
      <c r="C986" s="3" t="s">
        <v>113</v>
      </c>
      <c r="D986" s="19">
        <v>110000</v>
      </c>
      <c r="E986" s="20">
        <v>5</v>
      </c>
      <c r="F986" s="3" t="s">
        <v>21</v>
      </c>
      <c r="G986" s="3" t="s">
        <v>23</v>
      </c>
      <c r="H986" s="3" t="s">
        <v>17</v>
      </c>
      <c r="I986" s="20">
        <v>4</v>
      </c>
      <c r="J986" s="3" t="s">
        <v>24</v>
      </c>
      <c r="K986" s="3" t="s">
        <v>35</v>
      </c>
      <c r="L986" s="20">
        <v>46</v>
      </c>
      <c r="M986" s="3" t="s">
        <v>20</v>
      </c>
      <c r="N986" s="20" t="str" cm="1">
        <f t="array" ref="N986">_xlfn.IFS(tbl_Clean[[#This Row],[Age]]&lt;=30,"25-30",tbl_Clean[[#This Row],[Age]]&lt;=40,"31-40",tbl_Clean[[#This Row],[Age]]&lt;=50,"41-50",tbl_Clean[[#This Row],[Age]]&lt;=60,"51-60",TRUE,"61+")</f>
        <v>41-50</v>
      </c>
      <c r="O986" s="20">
        <f>_xlfn.XMATCH(tbl_Clean[[#This Row],[Age Band]],{"25-30","31-40","41-50","51-60","61+"})</f>
        <v>3</v>
      </c>
      <c r="P986" s="20" t="str" cm="1">
        <f t="array" ref="P986">_xlfn.IFS(tbl_Clean[[#This Row],[Income]]&lt;=30000,"$10k-30k",tbl_Clean[[#This Row],[Income]]&lt;=60000,"$40k-60k",tbl_Clean[[#This Row],[Income]]&lt;=90000,"$70k-90k",TRUE,"$100k+")</f>
        <v>$100k+</v>
      </c>
      <c r="Q986" s="20">
        <f>_xlfn.XMATCH(tbl_Clean[[#This Row],[Income Band]],{"$10k-30k","$40k-60k","$70k-90k","$100k+"})</f>
        <v>4</v>
      </c>
      <c r="R986" s="20" t="str">
        <f>IF(tbl_Clean[[#This Row],[Cars]]&lt;=1,"0-1 Cars","2+ Cars")</f>
        <v>2+ Cars</v>
      </c>
      <c r="S986" s="20">
        <f>_xlfn.XMATCH(tbl_Clean[[#This Row],[Commute Distance]],{"0-1 Miles","1-2 Miles","2-5 Miles","5-10 Miles","10+ Miles"})</f>
        <v>3</v>
      </c>
      <c r="T986" s="20">
        <f>_xlfn.XMATCH(tbl_Clean[[#This Row],[Education]],{"Partial High School","High School","Partial College","Bachelors","Graduate Degree"})</f>
        <v>3</v>
      </c>
      <c r="U986" s="20">
        <f>IF(tbl_Clean[[#This Row],[Purchased Bike]]="Yes",1,0)</f>
        <v>0</v>
      </c>
    </row>
    <row r="987" spans="1:21" x14ac:dyDescent="0.25">
      <c r="A987" s="20">
        <v>28625</v>
      </c>
      <c r="B987" s="3" t="s">
        <v>114</v>
      </c>
      <c r="C987" s="3" t="s">
        <v>113</v>
      </c>
      <c r="D987" s="19">
        <v>40000</v>
      </c>
      <c r="E987" s="20">
        <v>2</v>
      </c>
      <c r="F987" s="3" t="s">
        <v>21</v>
      </c>
      <c r="G987" s="3" t="s">
        <v>22</v>
      </c>
      <c r="H987" s="3" t="s">
        <v>20</v>
      </c>
      <c r="I987" s="20">
        <v>1</v>
      </c>
      <c r="J987" s="3" t="s">
        <v>29</v>
      </c>
      <c r="K987" s="3" t="s">
        <v>35</v>
      </c>
      <c r="L987" s="20">
        <v>47</v>
      </c>
      <c r="M987" s="3" t="s">
        <v>17</v>
      </c>
      <c r="N987" s="20" t="str" cm="1">
        <f t="array" ref="N987">_xlfn.IFS(tbl_Clean[[#This Row],[Age]]&lt;=30,"25-30",tbl_Clean[[#This Row],[Age]]&lt;=40,"31-40",tbl_Clean[[#This Row],[Age]]&lt;=50,"41-50",tbl_Clean[[#This Row],[Age]]&lt;=60,"51-60",TRUE,"61+")</f>
        <v>41-50</v>
      </c>
      <c r="O987" s="20">
        <f>_xlfn.XMATCH(tbl_Clean[[#This Row],[Age Band]],{"25-30","31-40","41-50","51-60","61+"})</f>
        <v>3</v>
      </c>
      <c r="P987" s="20" t="str" cm="1">
        <f t="array" ref="P987">_xlfn.IFS(tbl_Clean[[#This Row],[Income]]&lt;=30000,"$10k-30k",tbl_Clean[[#This Row],[Income]]&lt;=60000,"$40k-60k",tbl_Clean[[#This Row],[Income]]&lt;=90000,"$70k-90k",TRUE,"$100k+")</f>
        <v>$40k-60k</v>
      </c>
      <c r="Q987" s="20">
        <f>_xlfn.XMATCH(tbl_Clean[[#This Row],[Income Band]],{"$10k-30k","$40k-60k","$70k-90k","$100k+"})</f>
        <v>2</v>
      </c>
      <c r="R987" s="20" t="str">
        <f>IF(tbl_Clean[[#This Row],[Cars]]&lt;=1,"0-1 Cars","2+ Cars")</f>
        <v>0-1 Cars</v>
      </c>
      <c r="S987" s="20">
        <f>_xlfn.XMATCH(tbl_Clean[[#This Row],[Commute Distance]],{"0-1 Miles","1-2 Miles","2-5 Miles","5-10 Miles","10+ Miles"})</f>
        <v>2</v>
      </c>
      <c r="T987" s="20">
        <f>_xlfn.XMATCH(tbl_Clean[[#This Row],[Education]],{"Partial High School","High School","Partial College","Bachelors","Graduate Degree"})</f>
        <v>3</v>
      </c>
      <c r="U987" s="20">
        <f>IF(tbl_Clean[[#This Row],[Purchased Bike]]="Yes",1,0)</f>
        <v>1</v>
      </c>
    </row>
    <row r="988" spans="1:21" x14ac:dyDescent="0.25">
      <c r="A988" s="20">
        <v>11269</v>
      </c>
      <c r="B988" s="3" t="s">
        <v>111</v>
      </c>
      <c r="C988" s="3" t="s">
        <v>113</v>
      </c>
      <c r="D988" s="19">
        <v>130000</v>
      </c>
      <c r="E988" s="20">
        <v>2</v>
      </c>
      <c r="F988" s="3" t="s">
        <v>34</v>
      </c>
      <c r="G988" s="3" t="s">
        <v>31</v>
      </c>
      <c r="H988" s="3" t="s">
        <v>17</v>
      </c>
      <c r="I988" s="20">
        <v>2</v>
      </c>
      <c r="J988" s="3" t="s">
        <v>18</v>
      </c>
      <c r="K988" s="3" t="s">
        <v>35</v>
      </c>
      <c r="L988" s="20">
        <v>41</v>
      </c>
      <c r="M988" s="3" t="s">
        <v>20</v>
      </c>
      <c r="N988" s="20" t="str" cm="1">
        <f t="array" ref="N988">_xlfn.IFS(tbl_Clean[[#This Row],[Age]]&lt;=30,"25-30",tbl_Clean[[#This Row],[Age]]&lt;=40,"31-40",tbl_Clean[[#This Row],[Age]]&lt;=50,"41-50",tbl_Clean[[#This Row],[Age]]&lt;=60,"51-60",TRUE,"61+")</f>
        <v>41-50</v>
      </c>
      <c r="O988" s="20">
        <f>_xlfn.XMATCH(tbl_Clean[[#This Row],[Age Band]],{"25-30","31-40","41-50","51-60","61+"})</f>
        <v>3</v>
      </c>
      <c r="P988" s="20" t="str" cm="1">
        <f t="array" ref="P988">_xlfn.IFS(tbl_Clean[[#This Row],[Income]]&lt;=30000,"$10k-30k",tbl_Clean[[#This Row],[Income]]&lt;=60000,"$40k-60k",tbl_Clean[[#This Row],[Income]]&lt;=90000,"$70k-90k",TRUE,"$100k+")</f>
        <v>$100k+</v>
      </c>
      <c r="Q988" s="20">
        <f>_xlfn.XMATCH(tbl_Clean[[#This Row],[Income Band]],{"$10k-30k","$40k-60k","$70k-90k","$100k+"})</f>
        <v>4</v>
      </c>
      <c r="R988" s="20" t="str">
        <f>IF(tbl_Clean[[#This Row],[Cars]]&lt;=1,"0-1 Cars","2+ Cars")</f>
        <v>2+ Cars</v>
      </c>
      <c r="S988" s="20">
        <f>_xlfn.XMATCH(tbl_Clean[[#This Row],[Commute Distance]],{"0-1 Miles","1-2 Miles","2-5 Miles","5-10 Miles","10+ Miles"})</f>
        <v>1</v>
      </c>
      <c r="T988" s="20">
        <f>_xlfn.XMATCH(tbl_Clean[[#This Row],[Education]],{"Partial High School","High School","Partial College","Bachelors","Graduate Degree"})</f>
        <v>5</v>
      </c>
      <c r="U988" s="20">
        <f>IF(tbl_Clean[[#This Row],[Purchased Bike]]="Yes",1,0)</f>
        <v>0</v>
      </c>
    </row>
    <row r="989" spans="1:21" x14ac:dyDescent="0.25">
      <c r="A989" s="20">
        <v>25148</v>
      </c>
      <c r="B989" s="3" t="s">
        <v>111</v>
      </c>
      <c r="C989" s="3" t="s">
        <v>113</v>
      </c>
      <c r="D989" s="19">
        <v>60000</v>
      </c>
      <c r="E989" s="20">
        <v>2</v>
      </c>
      <c r="F989" s="3" t="s">
        <v>30</v>
      </c>
      <c r="G989" s="3" t="s">
        <v>23</v>
      </c>
      <c r="H989" s="3" t="s">
        <v>20</v>
      </c>
      <c r="I989" s="20">
        <v>2</v>
      </c>
      <c r="J989" s="3" t="s">
        <v>29</v>
      </c>
      <c r="K989" s="3" t="s">
        <v>35</v>
      </c>
      <c r="L989" s="20">
        <v>48</v>
      </c>
      <c r="M989" s="3" t="s">
        <v>17</v>
      </c>
      <c r="N989" s="20" t="str" cm="1">
        <f t="array" ref="N989">_xlfn.IFS(tbl_Clean[[#This Row],[Age]]&lt;=30,"25-30",tbl_Clean[[#This Row],[Age]]&lt;=40,"31-40",tbl_Clean[[#This Row],[Age]]&lt;=50,"41-50",tbl_Clean[[#This Row],[Age]]&lt;=60,"51-60",TRUE,"61+")</f>
        <v>41-50</v>
      </c>
      <c r="O989" s="20">
        <f>_xlfn.XMATCH(tbl_Clean[[#This Row],[Age Band]],{"25-30","31-40","41-50","51-60","61+"})</f>
        <v>3</v>
      </c>
      <c r="P989" s="20" t="str" cm="1">
        <f t="array" ref="P989">_xlfn.IFS(tbl_Clean[[#This Row],[Income]]&lt;=30000,"$10k-30k",tbl_Clean[[#This Row],[Income]]&lt;=60000,"$40k-60k",tbl_Clean[[#This Row],[Income]]&lt;=90000,"$70k-90k",TRUE,"$100k+")</f>
        <v>$40k-60k</v>
      </c>
      <c r="Q989" s="20">
        <f>_xlfn.XMATCH(tbl_Clean[[#This Row],[Income Band]],{"$10k-30k","$40k-60k","$70k-90k","$100k+"})</f>
        <v>2</v>
      </c>
      <c r="R989" s="20" t="str">
        <f>IF(tbl_Clean[[#This Row],[Cars]]&lt;=1,"0-1 Cars","2+ Cars")</f>
        <v>2+ Cars</v>
      </c>
      <c r="S989" s="20">
        <f>_xlfn.XMATCH(tbl_Clean[[#This Row],[Commute Distance]],{"0-1 Miles","1-2 Miles","2-5 Miles","5-10 Miles","10+ Miles"})</f>
        <v>2</v>
      </c>
      <c r="T989" s="20">
        <f>_xlfn.XMATCH(tbl_Clean[[#This Row],[Education]],{"Partial High School","High School","Partial College","Bachelors","Graduate Degree"})</f>
        <v>2</v>
      </c>
      <c r="U989" s="20">
        <f>IF(tbl_Clean[[#This Row],[Purchased Bike]]="Yes",1,0)</f>
        <v>1</v>
      </c>
    </row>
    <row r="990" spans="1:21" x14ac:dyDescent="0.25">
      <c r="A990" s="20">
        <v>13920</v>
      </c>
      <c r="B990" s="3" t="s">
        <v>114</v>
      </c>
      <c r="C990" s="3" t="s">
        <v>112</v>
      </c>
      <c r="D990" s="19">
        <v>50000</v>
      </c>
      <c r="E990" s="20">
        <v>4</v>
      </c>
      <c r="F990" s="3" t="s">
        <v>15</v>
      </c>
      <c r="G990" s="3" t="s">
        <v>16</v>
      </c>
      <c r="H990" s="3" t="s">
        <v>17</v>
      </c>
      <c r="I990" s="20">
        <v>2</v>
      </c>
      <c r="J990" s="3" t="s">
        <v>18</v>
      </c>
      <c r="K990" s="3" t="s">
        <v>35</v>
      </c>
      <c r="L990" s="20">
        <v>42</v>
      </c>
      <c r="M990" s="3" t="s">
        <v>20</v>
      </c>
      <c r="N990" s="20" t="str" cm="1">
        <f t="array" ref="N990">_xlfn.IFS(tbl_Clean[[#This Row],[Age]]&lt;=30,"25-30",tbl_Clean[[#This Row],[Age]]&lt;=40,"31-40",tbl_Clean[[#This Row],[Age]]&lt;=50,"41-50",tbl_Clean[[#This Row],[Age]]&lt;=60,"51-60",TRUE,"61+")</f>
        <v>41-50</v>
      </c>
      <c r="O990" s="20">
        <f>_xlfn.XMATCH(tbl_Clean[[#This Row],[Age Band]],{"25-30","31-40","41-50","51-60","61+"})</f>
        <v>3</v>
      </c>
      <c r="P990" s="20" t="str" cm="1">
        <f t="array" ref="P990">_xlfn.IFS(tbl_Clean[[#This Row],[Income]]&lt;=30000,"$10k-30k",tbl_Clean[[#This Row],[Income]]&lt;=60000,"$40k-60k",tbl_Clean[[#This Row],[Income]]&lt;=90000,"$70k-90k",TRUE,"$100k+")</f>
        <v>$40k-60k</v>
      </c>
      <c r="Q990" s="20">
        <f>_xlfn.XMATCH(tbl_Clean[[#This Row],[Income Band]],{"$10k-30k","$40k-60k","$70k-90k","$100k+"})</f>
        <v>2</v>
      </c>
      <c r="R990" s="20" t="str">
        <f>IF(tbl_Clean[[#This Row],[Cars]]&lt;=1,"0-1 Cars","2+ Cars")</f>
        <v>2+ Cars</v>
      </c>
      <c r="S990" s="20">
        <f>_xlfn.XMATCH(tbl_Clean[[#This Row],[Commute Distance]],{"0-1 Miles","1-2 Miles","2-5 Miles","5-10 Miles","10+ Miles"})</f>
        <v>1</v>
      </c>
      <c r="T990" s="20">
        <f>_xlfn.XMATCH(tbl_Clean[[#This Row],[Education]],{"Partial High School","High School","Partial College","Bachelors","Graduate Degree"})</f>
        <v>4</v>
      </c>
      <c r="U990" s="20">
        <f>IF(tbl_Clean[[#This Row],[Purchased Bike]]="Yes",1,0)</f>
        <v>0</v>
      </c>
    </row>
    <row r="991" spans="1:21" x14ac:dyDescent="0.25">
      <c r="A991" s="20">
        <v>23704</v>
      </c>
      <c r="B991" s="3" t="s">
        <v>114</v>
      </c>
      <c r="C991" s="3" t="s">
        <v>113</v>
      </c>
      <c r="D991" s="19">
        <v>40000</v>
      </c>
      <c r="E991" s="20">
        <v>5</v>
      </c>
      <c r="F991" s="3" t="s">
        <v>30</v>
      </c>
      <c r="G991" s="3" t="s">
        <v>23</v>
      </c>
      <c r="H991" s="3" t="s">
        <v>17</v>
      </c>
      <c r="I991" s="20">
        <v>4</v>
      </c>
      <c r="J991" s="3" t="s">
        <v>33</v>
      </c>
      <c r="K991" s="3" t="s">
        <v>35</v>
      </c>
      <c r="L991" s="20">
        <v>60</v>
      </c>
      <c r="M991" s="3" t="s">
        <v>17</v>
      </c>
      <c r="N991" s="20" t="str" cm="1">
        <f t="array" ref="N991">_xlfn.IFS(tbl_Clean[[#This Row],[Age]]&lt;=30,"25-30",tbl_Clean[[#This Row],[Age]]&lt;=40,"31-40",tbl_Clean[[#This Row],[Age]]&lt;=50,"41-50",tbl_Clean[[#This Row],[Age]]&lt;=60,"51-60",TRUE,"61+")</f>
        <v>51-60</v>
      </c>
      <c r="O991" s="20">
        <f>_xlfn.XMATCH(tbl_Clean[[#This Row],[Age Band]],{"25-30","31-40","41-50","51-60","61+"})</f>
        <v>4</v>
      </c>
      <c r="P991" s="20" t="str" cm="1">
        <f t="array" ref="P991">_xlfn.IFS(tbl_Clean[[#This Row],[Income]]&lt;=30000,"$10k-30k",tbl_Clean[[#This Row],[Income]]&lt;=60000,"$40k-60k",tbl_Clean[[#This Row],[Income]]&lt;=90000,"$70k-90k",TRUE,"$100k+")</f>
        <v>$40k-60k</v>
      </c>
      <c r="Q991" s="20">
        <f>_xlfn.XMATCH(tbl_Clean[[#This Row],[Income Band]],{"$10k-30k","$40k-60k","$70k-90k","$100k+"})</f>
        <v>2</v>
      </c>
      <c r="R991" s="20" t="str">
        <f>IF(tbl_Clean[[#This Row],[Cars]]&lt;=1,"0-1 Cars","2+ Cars")</f>
        <v>2+ Cars</v>
      </c>
      <c r="S991" s="20">
        <f>_xlfn.XMATCH(tbl_Clean[[#This Row],[Commute Distance]],{"0-1 Miles","1-2 Miles","2-5 Miles","5-10 Miles","10+ Miles"})</f>
        <v>5</v>
      </c>
      <c r="T991" s="20">
        <f>_xlfn.XMATCH(tbl_Clean[[#This Row],[Education]],{"Partial High School","High School","Partial College","Bachelors","Graduate Degree"})</f>
        <v>2</v>
      </c>
      <c r="U991" s="20">
        <f>IF(tbl_Clean[[#This Row],[Purchased Bike]]="Yes",1,0)</f>
        <v>1</v>
      </c>
    </row>
    <row r="992" spans="1:21" x14ac:dyDescent="0.25">
      <c r="A992" s="20">
        <v>28972</v>
      </c>
      <c r="B992" s="3" t="s">
        <v>114</v>
      </c>
      <c r="C992" s="3" t="s">
        <v>112</v>
      </c>
      <c r="D992" s="19">
        <v>60000</v>
      </c>
      <c r="E992" s="20">
        <v>3</v>
      </c>
      <c r="F992" s="3" t="s">
        <v>34</v>
      </c>
      <c r="G992" s="3" t="s">
        <v>31</v>
      </c>
      <c r="H992" s="3" t="s">
        <v>17</v>
      </c>
      <c r="I992" s="20">
        <v>2</v>
      </c>
      <c r="J992" s="3" t="s">
        <v>33</v>
      </c>
      <c r="K992" s="3" t="s">
        <v>35</v>
      </c>
      <c r="L992" s="20">
        <v>66</v>
      </c>
      <c r="M992" s="3" t="s">
        <v>20</v>
      </c>
      <c r="N992" s="20" t="str" cm="1">
        <f t="array" ref="N992">_xlfn.IFS(tbl_Clean[[#This Row],[Age]]&lt;=30,"25-30",tbl_Clean[[#This Row],[Age]]&lt;=40,"31-40",tbl_Clean[[#This Row],[Age]]&lt;=50,"41-50",tbl_Clean[[#This Row],[Age]]&lt;=60,"51-60",TRUE,"61+")</f>
        <v>61+</v>
      </c>
      <c r="O992" s="20">
        <f>_xlfn.XMATCH(tbl_Clean[[#This Row],[Age Band]],{"25-30","31-40","41-50","51-60","61+"})</f>
        <v>5</v>
      </c>
      <c r="P992" s="20" t="str" cm="1">
        <f t="array" ref="P992">_xlfn.IFS(tbl_Clean[[#This Row],[Income]]&lt;=30000,"$10k-30k",tbl_Clean[[#This Row],[Income]]&lt;=60000,"$40k-60k",tbl_Clean[[#This Row],[Income]]&lt;=90000,"$70k-90k",TRUE,"$100k+")</f>
        <v>$40k-60k</v>
      </c>
      <c r="Q992" s="20">
        <f>_xlfn.XMATCH(tbl_Clean[[#This Row],[Income Band]],{"$10k-30k","$40k-60k","$70k-90k","$100k+"})</f>
        <v>2</v>
      </c>
      <c r="R992" s="20" t="str">
        <f>IF(tbl_Clean[[#This Row],[Cars]]&lt;=1,"0-1 Cars","2+ Cars")</f>
        <v>2+ Cars</v>
      </c>
      <c r="S992" s="20">
        <f>_xlfn.XMATCH(tbl_Clean[[#This Row],[Commute Distance]],{"0-1 Miles","1-2 Miles","2-5 Miles","5-10 Miles","10+ Miles"})</f>
        <v>5</v>
      </c>
      <c r="T992" s="20">
        <f>_xlfn.XMATCH(tbl_Clean[[#This Row],[Education]],{"Partial High School","High School","Partial College","Bachelors","Graduate Degree"})</f>
        <v>5</v>
      </c>
      <c r="U992" s="20">
        <f>IF(tbl_Clean[[#This Row],[Purchased Bike]]="Yes",1,0)</f>
        <v>0</v>
      </c>
    </row>
    <row r="993" spans="1:21" x14ac:dyDescent="0.25">
      <c r="A993" s="20">
        <v>22730</v>
      </c>
      <c r="B993" s="3" t="s">
        <v>111</v>
      </c>
      <c r="C993" s="3" t="s">
        <v>113</v>
      </c>
      <c r="D993" s="19">
        <v>70000</v>
      </c>
      <c r="E993" s="20">
        <v>5</v>
      </c>
      <c r="F993" s="3" t="s">
        <v>15</v>
      </c>
      <c r="G993" s="3" t="s">
        <v>31</v>
      </c>
      <c r="H993" s="3" t="s">
        <v>17</v>
      </c>
      <c r="I993" s="20">
        <v>2</v>
      </c>
      <c r="J993" s="3" t="s">
        <v>33</v>
      </c>
      <c r="K993" s="3" t="s">
        <v>35</v>
      </c>
      <c r="L993" s="20">
        <v>63</v>
      </c>
      <c r="M993" s="3" t="s">
        <v>20</v>
      </c>
      <c r="N993" s="20" t="str" cm="1">
        <f t="array" ref="N993">_xlfn.IFS(tbl_Clean[[#This Row],[Age]]&lt;=30,"25-30",tbl_Clean[[#This Row],[Age]]&lt;=40,"31-40",tbl_Clean[[#This Row],[Age]]&lt;=50,"41-50",tbl_Clean[[#This Row],[Age]]&lt;=60,"51-60",TRUE,"61+")</f>
        <v>61+</v>
      </c>
      <c r="O993" s="20">
        <f>_xlfn.XMATCH(tbl_Clean[[#This Row],[Age Band]],{"25-30","31-40","41-50","51-60","61+"})</f>
        <v>5</v>
      </c>
      <c r="P993" s="20" t="str" cm="1">
        <f t="array" ref="P993">_xlfn.IFS(tbl_Clean[[#This Row],[Income]]&lt;=30000,"$10k-30k",tbl_Clean[[#This Row],[Income]]&lt;=60000,"$40k-60k",tbl_Clean[[#This Row],[Income]]&lt;=90000,"$70k-90k",TRUE,"$100k+")</f>
        <v>$70k-90k</v>
      </c>
      <c r="Q993" s="20">
        <f>_xlfn.XMATCH(tbl_Clean[[#This Row],[Income Band]],{"$10k-30k","$40k-60k","$70k-90k","$100k+"})</f>
        <v>3</v>
      </c>
      <c r="R993" s="20" t="str">
        <f>IF(tbl_Clean[[#This Row],[Cars]]&lt;=1,"0-1 Cars","2+ Cars")</f>
        <v>2+ Cars</v>
      </c>
      <c r="S993" s="20">
        <f>_xlfn.XMATCH(tbl_Clean[[#This Row],[Commute Distance]],{"0-1 Miles","1-2 Miles","2-5 Miles","5-10 Miles","10+ Miles"})</f>
        <v>5</v>
      </c>
      <c r="T993" s="20">
        <f>_xlfn.XMATCH(tbl_Clean[[#This Row],[Education]],{"Partial High School","High School","Partial College","Bachelors","Graduate Degree"})</f>
        <v>4</v>
      </c>
      <c r="U993" s="20">
        <f>IF(tbl_Clean[[#This Row],[Purchased Bike]]="Yes",1,0)</f>
        <v>0</v>
      </c>
    </row>
    <row r="994" spans="1:21" x14ac:dyDescent="0.25">
      <c r="A994" s="20">
        <v>29134</v>
      </c>
      <c r="B994" s="3" t="s">
        <v>111</v>
      </c>
      <c r="C994" s="3" t="s">
        <v>113</v>
      </c>
      <c r="D994" s="19">
        <v>60000</v>
      </c>
      <c r="E994" s="20">
        <v>4</v>
      </c>
      <c r="F994" s="3" t="s">
        <v>15</v>
      </c>
      <c r="G994" s="3" t="s">
        <v>16</v>
      </c>
      <c r="H994" s="3" t="s">
        <v>20</v>
      </c>
      <c r="I994" s="20">
        <v>3</v>
      </c>
      <c r="J994" s="3" t="s">
        <v>33</v>
      </c>
      <c r="K994" s="3" t="s">
        <v>35</v>
      </c>
      <c r="L994" s="20">
        <v>42</v>
      </c>
      <c r="M994" s="3" t="s">
        <v>20</v>
      </c>
      <c r="N994" s="20" t="str" cm="1">
        <f t="array" ref="N994">_xlfn.IFS(tbl_Clean[[#This Row],[Age]]&lt;=30,"25-30",tbl_Clean[[#This Row],[Age]]&lt;=40,"31-40",tbl_Clean[[#This Row],[Age]]&lt;=50,"41-50",tbl_Clean[[#This Row],[Age]]&lt;=60,"51-60",TRUE,"61+")</f>
        <v>41-50</v>
      </c>
      <c r="O994" s="20">
        <f>_xlfn.XMATCH(tbl_Clean[[#This Row],[Age Band]],{"25-30","31-40","41-50","51-60","61+"})</f>
        <v>3</v>
      </c>
      <c r="P994" s="20" t="str" cm="1">
        <f t="array" ref="P994">_xlfn.IFS(tbl_Clean[[#This Row],[Income]]&lt;=30000,"$10k-30k",tbl_Clean[[#This Row],[Income]]&lt;=60000,"$40k-60k",tbl_Clean[[#This Row],[Income]]&lt;=90000,"$70k-90k",TRUE,"$100k+")</f>
        <v>$40k-60k</v>
      </c>
      <c r="Q994" s="20">
        <f>_xlfn.XMATCH(tbl_Clean[[#This Row],[Income Band]],{"$10k-30k","$40k-60k","$70k-90k","$100k+"})</f>
        <v>2</v>
      </c>
      <c r="R994" s="20" t="str">
        <f>IF(tbl_Clean[[#This Row],[Cars]]&lt;=1,"0-1 Cars","2+ Cars")</f>
        <v>2+ Cars</v>
      </c>
      <c r="S994" s="20">
        <f>_xlfn.XMATCH(tbl_Clean[[#This Row],[Commute Distance]],{"0-1 Miles","1-2 Miles","2-5 Miles","5-10 Miles","10+ Miles"})</f>
        <v>5</v>
      </c>
      <c r="T994" s="20">
        <f>_xlfn.XMATCH(tbl_Clean[[#This Row],[Education]],{"Partial High School","High School","Partial College","Bachelors","Graduate Degree"})</f>
        <v>4</v>
      </c>
      <c r="U994" s="20">
        <f>IF(tbl_Clean[[#This Row],[Purchased Bike]]="Yes",1,0)</f>
        <v>0</v>
      </c>
    </row>
    <row r="995" spans="1:21" x14ac:dyDescent="0.25">
      <c r="A995" s="20">
        <v>14332</v>
      </c>
      <c r="B995" s="3" t="s">
        <v>114</v>
      </c>
      <c r="C995" s="3" t="s">
        <v>112</v>
      </c>
      <c r="D995" s="19">
        <v>30000</v>
      </c>
      <c r="E995" s="20">
        <v>0</v>
      </c>
      <c r="F995" s="3" t="s">
        <v>30</v>
      </c>
      <c r="G995" s="3" t="s">
        <v>16</v>
      </c>
      <c r="H995" s="3" t="s">
        <v>20</v>
      </c>
      <c r="I995" s="20">
        <v>2</v>
      </c>
      <c r="J995" s="3" t="s">
        <v>26</v>
      </c>
      <c r="K995" s="3" t="s">
        <v>35</v>
      </c>
      <c r="L995" s="20">
        <v>26</v>
      </c>
      <c r="M995" s="3" t="s">
        <v>20</v>
      </c>
      <c r="N995" s="20" t="str" cm="1">
        <f t="array" ref="N995">_xlfn.IFS(tbl_Clean[[#This Row],[Age]]&lt;=30,"25-30",tbl_Clean[[#This Row],[Age]]&lt;=40,"31-40",tbl_Clean[[#This Row],[Age]]&lt;=50,"41-50",tbl_Clean[[#This Row],[Age]]&lt;=60,"51-60",TRUE,"61+")</f>
        <v>25-30</v>
      </c>
      <c r="O995" s="20">
        <f>_xlfn.XMATCH(tbl_Clean[[#This Row],[Age Band]],{"25-30","31-40","41-50","51-60","61+"})</f>
        <v>1</v>
      </c>
      <c r="P995" s="20" t="str" cm="1">
        <f t="array" ref="P995">_xlfn.IFS(tbl_Clean[[#This Row],[Income]]&lt;=30000,"$10k-30k",tbl_Clean[[#This Row],[Income]]&lt;=60000,"$40k-60k",tbl_Clean[[#This Row],[Income]]&lt;=90000,"$70k-90k",TRUE,"$100k+")</f>
        <v>$10k-30k</v>
      </c>
      <c r="Q995" s="20">
        <f>_xlfn.XMATCH(tbl_Clean[[#This Row],[Income Band]],{"$10k-30k","$40k-60k","$70k-90k","$100k+"})</f>
        <v>1</v>
      </c>
      <c r="R995" s="20" t="str">
        <f>IF(tbl_Clean[[#This Row],[Cars]]&lt;=1,"0-1 Cars","2+ Cars")</f>
        <v>2+ Cars</v>
      </c>
      <c r="S995" s="20">
        <f>_xlfn.XMATCH(tbl_Clean[[#This Row],[Commute Distance]],{"0-1 Miles","1-2 Miles","2-5 Miles","5-10 Miles","10+ Miles"})</f>
        <v>4</v>
      </c>
      <c r="T995" s="20">
        <f>_xlfn.XMATCH(tbl_Clean[[#This Row],[Education]],{"Partial High School","High School","Partial College","Bachelors","Graduate Degree"})</f>
        <v>2</v>
      </c>
      <c r="U995" s="20">
        <f>IF(tbl_Clean[[#This Row],[Purchased Bike]]="Yes",1,0)</f>
        <v>0</v>
      </c>
    </row>
    <row r="996" spans="1:21" x14ac:dyDescent="0.25">
      <c r="A996" s="20">
        <v>19117</v>
      </c>
      <c r="B996" s="3" t="s">
        <v>114</v>
      </c>
      <c r="C996" s="3" t="s">
        <v>112</v>
      </c>
      <c r="D996" s="19">
        <v>60000</v>
      </c>
      <c r="E996" s="20">
        <v>1</v>
      </c>
      <c r="F996" s="3" t="s">
        <v>34</v>
      </c>
      <c r="G996" s="3" t="s">
        <v>23</v>
      </c>
      <c r="H996" s="3" t="s">
        <v>17</v>
      </c>
      <c r="I996" s="20">
        <v>0</v>
      </c>
      <c r="J996" s="3" t="s">
        <v>24</v>
      </c>
      <c r="K996" s="3" t="s">
        <v>35</v>
      </c>
      <c r="L996" s="20">
        <v>36</v>
      </c>
      <c r="M996" s="3" t="s">
        <v>17</v>
      </c>
      <c r="N996" s="20" t="str" cm="1">
        <f t="array" ref="N996">_xlfn.IFS(tbl_Clean[[#This Row],[Age]]&lt;=30,"25-30",tbl_Clean[[#This Row],[Age]]&lt;=40,"31-40",tbl_Clean[[#This Row],[Age]]&lt;=50,"41-50",tbl_Clean[[#This Row],[Age]]&lt;=60,"51-60",TRUE,"61+")</f>
        <v>31-40</v>
      </c>
      <c r="O996" s="20">
        <f>_xlfn.XMATCH(tbl_Clean[[#This Row],[Age Band]],{"25-30","31-40","41-50","51-60","61+"})</f>
        <v>2</v>
      </c>
      <c r="P996" s="20" t="str" cm="1">
        <f t="array" ref="P996">_xlfn.IFS(tbl_Clean[[#This Row],[Income]]&lt;=30000,"$10k-30k",tbl_Clean[[#This Row],[Income]]&lt;=60000,"$40k-60k",tbl_Clean[[#This Row],[Income]]&lt;=90000,"$70k-90k",TRUE,"$100k+")</f>
        <v>$40k-60k</v>
      </c>
      <c r="Q996" s="20">
        <f>_xlfn.XMATCH(tbl_Clean[[#This Row],[Income Band]],{"$10k-30k","$40k-60k","$70k-90k","$100k+"})</f>
        <v>2</v>
      </c>
      <c r="R996" s="20" t="str">
        <f>IF(tbl_Clean[[#This Row],[Cars]]&lt;=1,"0-1 Cars","2+ Cars")</f>
        <v>0-1 Cars</v>
      </c>
      <c r="S996" s="20">
        <f>_xlfn.XMATCH(tbl_Clean[[#This Row],[Commute Distance]],{"0-1 Miles","1-2 Miles","2-5 Miles","5-10 Miles","10+ Miles"})</f>
        <v>3</v>
      </c>
      <c r="T996" s="20">
        <f>_xlfn.XMATCH(tbl_Clean[[#This Row],[Education]],{"Partial High School","High School","Partial College","Bachelors","Graduate Degree"})</f>
        <v>5</v>
      </c>
      <c r="U996" s="20">
        <f>IF(tbl_Clean[[#This Row],[Purchased Bike]]="Yes",1,0)</f>
        <v>1</v>
      </c>
    </row>
    <row r="997" spans="1:21" x14ac:dyDescent="0.25">
      <c r="A997" s="20">
        <v>22864</v>
      </c>
      <c r="B997" s="3" t="s">
        <v>111</v>
      </c>
      <c r="C997" s="3" t="s">
        <v>113</v>
      </c>
      <c r="D997" s="19">
        <v>90000</v>
      </c>
      <c r="E997" s="20">
        <v>2</v>
      </c>
      <c r="F997" s="3" t="s">
        <v>21</v>
      </c>
      <c r="G997" s="3" t="s">
        <v>23</v>
      </c>
      <c r="H997" s="3" t="s">
        <v>20</v>
      </c>
      <c r="I997" s="20">
        <v>0</v>
      </c>
      <c r="J997" s="3" t="s">
        <v>26</v>
      </c>
      <c r="K997" s="3" t="s">
        <v>35</v>
      </c>
      <c r="L997" s="20">
        <v>49</v>
      </c>
      <c r="M997" s="3" t="s">
        <v>17</v>
      </c>
      <c r="N997" s="20" t="str" cm="1">
        <f t="array" ref="N997">_xlfn.IFS(tbl_Clean[[#This Row],[Age]]&lt;=30,"25-30",tbl_Clean[[#This Row],[Age]]&lt;=40,"31-40",tbl_Clean[[#This Row],[Age]]&lt;=50,"41-50",tbl_Clean[[#This Row],[Age]]&lt;=60,"51-60",TRUE,"61+")</f>
        <v>41-50</v>
      </c>
      <c r="O997" s="20">
        <f>_xlfn.XMATCH(tbl_Clean[[#This Row],[Age Band]],{"25-30","31-40","41-50","51-60","61+"})</f>
        <v>3</v>
      </c>
      <c r="P997" s="20" t="str" cm="1">
        <f t="array" ref="P997">_xlfn.IFS(tbl_Clean[[#This Row],[Income]]&lt;=30000,"$10k-30k",tbl_Clean[[#This Row],[Income]]&lt;=60000,"$40k-60k",tbl_Clean[[#This Row],[Income]]&lt;=90000,"$70k-90k",TRUE,"$100k+")</f>
        <v>$70k-90k</v>
      </c>
      <c r="Q997" s="20">
        <f>_xlfn.XMATCH(tbl_Clean[[#This Row],[Income Band]],{"$10k-30k","$40k-60k","$70k-90k","$100k+"})</f>
        <v>3</v>
      </c>
      <c r="R997" s="20" t="str">
        <f>IF(tbl_Clean[[#This Row],[Cars]]&lt;=1,"0-1 Cars","2+ Cars")</f>
        <v>0-1 Cars</v>
      </c>
      <c r="S997" s="20">
        <f>_xlfn.XMATCH(tbl_Clean[[#This Row],[Commute Distance]],{"0-1 Miles","1-2 Miles","2-5 Miles","5-10 Miles","10+ Miles"})</f>
        <v>4</v>
      </c>
      <c r="T997" s="20">
        <f>_xlfn.XMATCH(tbl_Clean[[#This Row],[Education]],{"Partial High School","High School","Partial College","Bachelors","Graduate Degree"})</f>
        <v>3</v>
      </c>
      <c r="U997" s="20">
        <f>IF(tbl_Clean[[#This Row],[Purchased Bike]]="Yes",1,0)</f>
        <v>1</v>
      </c>
    </row>
    <row r="998" spans="1:21" x14ac:dyDescent="0.25">
      <c r="A998" s="20">
        <v>11292</v>
      </c>
      <c r="B998" s="3" t="s">
        <v>114</v>
      </c>
      <c r="C998" s="3" t="s">
        <v>113</v>
      </c>
      <c r="D998" s="19">
        <v>150000</v>
      </c>
      <c r="E998" s="20">
        <v>1</v>
      </c>
      <c r="F998" s="3" t="s">
        <v>21</v>
      </c>
      <c r="G998" s="3" t="s">
        <v>23</v>
      </c>
      <c r="H998" s="3" t="s">
        <v>20</v>
      </c>
      <c r="I998" s="20">
        <v>3</v>
      </c>
      <c r="J998" s="3" t="s">
        <v>18</v>
      </c>
      <c r="K998" s="3" t="s">
        <v>35</v>
      </c>
      <c r="L998" s="20">
        <v>44</v>
      </c>
      <c r="M998" s="3" t="s">
        <v>17</v>
      </c>
      <c r="N998" s="20" t="str" cm="1">
        <f t="array" ref="N998">_xlfn.IFS(tbl_Clean[[#This Row],[Age]]&lt;=30,"25-30",tbl_Clean[[#This Row],[Age]]&lt;=40,"31-40",tbl_Clean[[#This Row],[Age]]&lt;=50,"41-50",tbl_Clean[[#This Row],[Age]]&lt;=60,"51-60",TRUE,"61+")</f>
        <v>41-50</v>
      </c>
      <c r="O998" s="20">
        <f>_xlfn.XMATCH(tbl_Clean[[#This Row],[Age Band]],{"25-30","31-40","41-50","51-60","61+"})</f>
        <v>3</v>
      </c>
      <c r="P998" s="20" t="str" cm="1">
        <f t="array" ref="P998">_xlfn.IFS(tbl_Clean[[#This Row],[Income]]&lt;=30000,"$10k-30k",tbl_Clean[[#This Row],[Income]]&lt;=60000,"$40k-60k",tbl_Clean[[#This Row],[Income]]&lt;=90000,"$70k-90k",TRUE,"$100k+")</f>
        <v>$100k+</v>
      </c>
      <c r="Q998" s="20">
        <f>_xlfn.XMATCH(tbl_Clean[[#This Row],[Income Band]],{"$10k-30k","$40k-60k","$70k-90k","$100k+"})</f>
        <v>4</v>
      </c>
      <c r="R998" s="20" t="str">
        <f>IF(tbl_Clean[[#This Row],[Cars]]&lt;=1,"0-1 Cars","2+ Cars")</f>
        <v>2+ Cars</v>
      </c>
      <c r="S998" s="20">
        <f>_xlfn.XMATCH(tbl_Clean[[#This Row],[Commute Distance]],{"0-1 Miles","1-2 Miles","2-5 Miles","5-10 Miles","10+ Miles"})</f>
        <v>1</v>
      </c>
      <c r="T998" s="20">
        <f>_xlfn.XMATCH(tbl_Clean[[#This Row],[Education]],{"Partial High School","High School","Partial College","Bachelors","Graduate Degree"})</f>
        <v>3</v>
      </c>
      <c r="U998" s="20">
        <f>IF(tbl_Clean[[#This Row],[Purchased Bike]]="Yes",1,0)</f>
        <v>1</v>
      </c>
    </row>
    <row r="999" spans="1:21" x14ac:dyDescent="0.25">
      <c r="A999" s="20">
        <v>13466</v>
      </c>
      <c r="B999" s="3" t="s">
        <v>111</v>
      </c>
      <c r="C999" s="3" t="s">
        <v>113</v>
      </c>
      <c r="D999" s="19">
        <v>80000</v>
      </c>
      <c r="E999" s="20">
        <v>5</v>
      </c>
      <c r="F999" s="3" t="s">
        <v>21</v>
      </c>
      <c r="G999" s="3" t="s">
        <v>23</v>
      </c>
      <c r="H999" s="3" t="s">
        <v>17</v>
      </c>
      <c r="I999" s="20">
        <v>3</v>
      </c>
      <c r="J999" s="3" t="s">
        <v>29</v>
      </c>
      <c r="K999" s="3" t="s">
        <v>35</v>
      </c>
      <c r="L999" s="20">
        <v>46</v>
      </c>
      <c r="M999" s="3" t="s">
        <v>20</v>
      </c>
      <c r="N999" s="20" t="str" cm="1">
        <f t="array" ref="N999">_xlfn.IFS(tbl_Clean[[#This Row],[Age]]&lt;=30,"25-30",tbl_Clean[[#This Row],[Age]]&lt;=40,"31-40",tbl_Clean[[#This Row],[Age]]&lt;=50,"41-50",tbl_Clean[[#This Row],[Age]]&lt;=60,"51-60",TRUE,"61+")</f>
        <v>41-50</v>
      </c>
      <c r="O999" s="20">
        <f>_xlfn.XMATCH(tbl_Clean[[#This Row],[Age Band]],{"25-30","31-40","41-50","51-60","61+"})</f>
        <v>3</v>
      </c>
      <c r="P999" s="20" t="str" cm="1">
        <f t="array" ref="P999">_xlfn.IFS(tbl_Clean[[#This Row],[Income]]&lt;=30000,"$10k-30k",tbl_Clean[[#This Row],[Income]]&lt;=60000,"$40k-60k",tbl_Clean[[#This Row],[Income]]&lt;=90000,"$70k-90k",TRUE,"$100k+")</f>
        <v>$70k-90k</v>
      </c>
      <c r="Q999" s="20">
        <f>_xlfn.XMATCH(tbl_Clean[[#This Row],[Income Band]],{"$10k-30k","$40k-60k","$70k-90k","$100k+"})</f>
        <v>3</v>
      </c>
      <c r="R999" s="20" t="str">
        <f>IF(tbl_Clean[[#This Row],[Cars]]&lt;=1,"0-1 Cars","2+ Cars")</f>
        <v>2+ Cars</v>
      </c>
      <c r="S999" s="20">
        <f>_xlfn.XMATCH(tbl_Clean[[#This Row],[Commute Distance]],{"0-1 Miles","1-2 Miles","2-5 Miles","5-10 Miles","10+ Miles"})</f>
        <v>2</v>
      </c>
      <c r="T999" s="20">
        <f>_xlfn.XMATCH(tbl_Clean[[#This Row],[Education]],{"Partial High School","High School","Partial College","Bachelors","Graduate Degree"})</f>
        <v>3</v>
      </c>
      <c r="U999" s="20">
        <f>IF(tbl_Clean[[#This Row],[Purchased Bike]]="Yes",1,0)</f>
        <v>0</v>
      </c>
    </row>
    <row r="1000" spans="1:21" x14ac:dyDescent="0.25">
      <c r="A1000" s="20">
        <v>23731</v>
      </c>
      <c r="B1000" s="3" t="s">
        <v>111</v>
      </c>
      <c r="C1000" s="3" t="s">
        <v>113</v>
      </c>
      <c r="D1000" s="19">
        <v>60000</v>
      </c>
      <c r="E1000" s="20">
        <v>2</v>
      </c>
      <c r="F1000" s="3" t="s">
        <v>30</v>
      </c>
      <c r="G1000" s="3" t="s">
        <v>23</v>
      </c>
      <c r="H1000" s="3" t="s">
        <v>17</v>
      </c>
      <c r="I1000" s="20">
        <v>2</v>
      </c>
      <c r="J1000" s="3" t="s">
        <v>24</v>
      </c>
      <c r="K1000" s="3" t="s">
        <v>35</v>
      </c>
      <c r="L1000" s="20">
        <v>54</v>
      </c>
      <c r="M1000" s="3" t="s">
        <v>17</v>
      </c>
      <c r="N1000" s="20" t="str" cm="1">
        <f t="array" ref="N1000">_xlfn.IFS(tbl_Clean[[#This Row],[Age]]&lt;=30,"25-30",tbl_Clean[[#This Row],[Age]]&lt;=40,"31-40",tbl_Clean[[#This Row],[Age]]&lt;=50,"41-50",tbl_Clean[[#This Row],[Age]]&lt;=60,"51-60",TRUE,"61+")</f>
        <v>51-60</v>
      </c>
      <c r="O1000" s="20">
        <f>_xlfn.XMATCH(tbl_Clean[[#This Row],[Age Band]],{"25-30","31-40","41-50","51-60","61+"})</f>
        <v>4</v>
      </c>
      <c r="P1000" s="20" t="str" cm="1">
        <f t="array" ref="P1000">_xlfn.IFS(tbl_Clean[[#This Row],[Income]]&lt;=30000,"$10k-30k",tbl_Clean[[#This Row],[Income]]&lt;=60000,"$40k-60k",tbl_Clean[[#This Row],[Income]]&lt;=90000,"$70k-90k",TRUE,"$100k+")</f>
        <v>$40k-60k</v>
      </c>
      <c r="Q1000" s="20">
        <f>_xlfn.XMATCH(tbl_Clean[[#This Row],[Income Band]],{"$10k-30k","$40k-60k","$70k-90k","$100k+"})</f>
        <v>2</v>
      </c>
      <c r="R1000" s="20" t="str">
        <f>IF(tbl_Clean[[#This Row],[Cars]]&lt;=1,"0-1 Cars","2+ Cars")</f>
        <v>2+ Cars</v>
      </c>
      <c r="S1000" s="20">
        <f>_xlfn.XMATCH(tbl_Clean[[#This Row],[Commute Distance]],{"0-1 Miles","1-2 Miles","2-5 Miles","5-10 Miles","10+ Miles"})</f>
        <v>3</v>
      </c>
      <c r="T1000" s="20">
        <f>_xlfn.XMATCH(tbl_Clean[[#This Row],[Education]],{"Partial High School","High School","Partial College","Bachelors","Graduate Degree"})</f>
        <v>2</v>
      </c>
      <c r="U1000" s="20">
        <f>IF(tbl_Clean[[#This Row],[Purchased Bike]]="Yes",1,0)</f>
        <v>1</v>
      </c>
    </row>
    <row r="1001" spans="1:21" x14ac:dyDescent="0.25">
      <c r="A1001" s="20">
        <v>28672</v>
      </c>
      <c r="B1001" s="3" t="s">
        <v>114</v>
      </c>
      <c r="C1001" s="3" t="s">
        <v>113</v>
      </c>
      <c r="D1001" s="19">
        <v>70000</v>
      </c>
      <c r="E1001" s="20">
        <v>4</v>
      </c>
      <c r="F1001" s="3" t="s">
        <v>34</v>
      </c>
      <c r="G1001" s="3" t="s">
        <v>23</v>
      </c>
      <c r="H1001" s="3" t="s">
        <v>17</v>
      </c>
      <c r="I1001" s="20">
        <v>0</v>
      </c>
      <c r="J1001" s="3" t="s">
        <v>24</v>
      </c>
      <c r="K1001" s="3" t="s">
        <v>35</v>
      </c>
      <c r="L1001" s="20">
        <v>35</v>
      </c>
      <c r="M1001" s="3" t="s">
        <v>17</v>
      </c>
      <c r="N1001" s="20" t="str" cm="1">
        <f t="array" ref="N1001">_xlfn.IFS(tbl_Clean[[#This Row],[Age]]&lt;=30,"25-30",tbl_Clean[[#This Row],[Age]]&lt;=40,"31-40",tbl_Clean[[#This Row],[Age]]&lt;=50,"41-50",tbl_Clean[[#This Row],[Age]]&lt;=60,"51-60",TRUE,"61+")</f>
        <v>31-40</v>
      </c>
      <c r="O1001" s="20">
        <f>_xlfn.XMATCH(tbl_Clean[[#This Row],[Age Band]],{"25-30","31-40","41-50","51-60","61+"})</f>
        <v>2</v>
      </c>
      <c r="P1001" s="20" t="str" cm="1">
        <f t="array" ref="P1001">_xlfn.IFS(tbl_Clean[[#This Row],[Income]]&lt;=30000,"$10k-30k",tbl_Clean[[#This Row],[Income]]&lt;=60000,"$40k-60k",tbl_Clean[[#This Row],[Income]]&lt;=90000,"$70k-90k",TRUE,"$100k+")</f>
        <v>$70k-90k</v>
      </c>
      <c r="Q1001" s="20">
        <f>_xlfn.XMATCH(tbl_Clean[[#This Row],[Income Band]],{"$10k-30k","$40k-60k","$70k-90k","$100k+"})</f>
        <v>3</v>
      </c>
      <c r="R1001" s="20" t="str">
        <f>IF(tbl_Clean[[#This Row],[Cars]]&lt;=1,"0-1 Cars","2+ Cars")</f>
        <v>0-1 Cars</v>
      </c>
      <c r="S1001" s="20">
        <f>_xlfn.XMATCH(tbl_Clean[[#This Row],[Commute Distance]],{"0-1 Miles","1-2 Miles","2-5 Miles","5-10 Miles","10+ Miles"})</f>
        <v>3</v>
      </c>
      <c r="T1001" s="20">
        <f>_xlfn.XMATCH(tbl_Clean[[#This Row],[Education]],{"Partial High School","High School","Partial College","Bachelors","Graduate Degree"})</f>
        <v>5</v>
      </c>
      <c r="U1001" s="20">
        <f>IF(tbl_Clean[[#This Row],[Purchased Bike]]="Yes",1,0)</f>
        <v>1</v>
      </c>
    </row>
    <row r="1002" spans="1:21" x14ac:dyDescent="0.25">
      <c r="A1002" s="20">
        <v>11809</v>
      </c>
      <c r="B1002" s="3" t="s">
        <v>111</v>
      </c>
      <c r="C1002" s="3" t="s">
        <v>113</v>
      </c>
      <c r="D1002" s="19">
        <v>60000</v>
      </c>
      <c r="E1002" s="20">
        <v>2</v>
      </c>
      <c r="F1002" s="3" t="s">
        <v>15</v>
      </c>
      <c r="G1002" s="3" t="s">
        <v>16</v>
      </c>
      <c r="H1002" s="3" t="s">
        <v>17</v>
      </c>
      <c r="I1002" s="20">
        <v>0</v>
      </c>
      <c r="J1002" s="3" t="s">
        <v>18</v>
      </c>
      <c r="K1002" s="3" t="s">
        <v>35</v>
      </c>
      <c r="L1002" s="20">
        <v>38</v>
      </c>
      <c r="M1002" s="3" t="s">
        <v>17</v>
      </c>
      <c r="N1002" s="20" t="str" cm="1">
        <f t="array" ref="N1002">_xlfn.IFS(tbl_Clean[[#This Row],[Age]]&lt;=30,"25-30",tbl_Clean[[#This Row],[Age]]&lt;=40,"31-40",tbl_Clean[[#This Row],[Age]]&lt;=50,"41-50",tbl_Clean[[#This Row],[Age]]&lt;=60,"51-60",TRUE,"61+")</f>
        <v>31-40</v>
      </c>
      <c r="O1002" s="20">
        <f>_xlfn.XMATCH(tbl_Clean[[#This Row],[Age Band]],{"25-30","31-40","41-50","51-60","61+"})</f>
        <v>2</v>
      </c>
      <c r="P1002" s="20" t="str" cm="1">
        <f t="array" ref="P1002">_xlfn.IFS(tbl_Clean[[#This Row],[Income]]&lt;=30000,"$10k-30k",tbl_Clean[[#This Row],[Income]]&lt;=60000,"$40k-60k",tbl_Clean[[#This Row],[Income]]&lt;=90000,"$70k-90k",TRUE,"$100k+")</f>
        <v>$40k-60k</v>
      </c>
      <c r="Q1002" s="20">
        <f>_xlfn.XMATCH(tbl_Clean[[#This Row],[Income Band]],{"$10k-30k","$40k-60k","$70k-90k","$100k+"})</f>
        <v>2</v>
      </c>
      <c r="R1002" s="20" t="str">
        <f>IF(tbl_Clean[[#This Row],[Cars]]&lt;=1,"0-1 Cars","2+ Cars")</f>
        <v>0-1 Cars</v>
      </c>
      <c r="S1002" s="20">
        <f>_xlfn.XMATCH(tbl_Clean[[#This Row],[Commute Distance]],{"0-1 Miles","1-2 Miles","2-5 Miles","5-10 Miles","10+ Miles"})</f>
        <v>1</v>
      </c>
      <c r="T1002" s="20">
        <f>_xlfn.XMATCH(tbl_Clean[[#This Row],[Education]],{"Partial High School","High School","Partial College","Bachelors","Graduate Degree"})</f>
        <v>4</v>
      </c>
      <c r="U1002" s="20">
        <f>IF(tbl_Clean[[#This Row],[Purchased Bike]]="Yes",1,0)</f>
        <v>1</v>
      </c>
    </row>
    <row r="1003" spans="1:21" x14ac:dyDescent="0.25">
      <c r="A1003" s="20">
        <v>19664</v>
      </c>
      <c r="B1003" s="3" t="s">
        <v>114</v>
      </c>
      <c r="C1003" s="3" t="s">
        <v>113</v>
      </c>
      <c r="D1003" s="19">
        <v>100000</v>
      </c>
      <c r="E1003" s="20">
        <v>3</v>
      </c>
      <c r="F1003" s="3" t="s">
        <v>15</v>
      </c>
      <c r="G1003" s="3" t="s">
        <v>31</v>
      </c>
      <c r="H1003" s="3" t="s">
        <v>20</v>
      </c>
      <c r="I1003" s="20">
        <v>3</v>
      </c>
      <c r="J1003" s="3" t="s">
        <v>29</v>
      </c>
      <c r="K1003" s="3" t="s">
        <v>35</v>
      </c>
      <c r="L1003" s="20">
        <v>38</v>
      </c>
      <c r="M1003" s="3" t="s">
        <v>20</v>
      </c>
      <c r="N1003" s="20" t="str" cm="1">
        <f t="array" ref="N1003">_xlfn.IFS(tbl_Clean[[#This Row],[Age]]&lt;=30,"25-30",tbl_Clean[[#This Row],[Age]]&lt;=40,"31-40",tbl_Clean[[#This Row],[Age]]&lt;=50,"41-50",tbl_Clean[[#This Row],[Age]]&lt;=60,"51-60",TRUE,"61+")</f>
        <v>31-40</v>
      </c>
      <c r="O1003" s="20">
        <f>_xlfn.XMATCH(tbl_Clean[[#This Row],[Age Band]],{"25-30","31-40","41-50","51-60","61+"})</f>
        <v>2</v>
      </c>
      <c r="P1003" s="20" t="str" cm="1">
        <f t="array" ref="P1003">_xlfn.IFS(tbl_Clean[[#This Row],[Income]]&lt;=30000,"$10k-30k",tbl_Clean[[#This Row],[Income]]&lt;=60000,"$40k-60k",tbl_Clean[[#This Row],[Income]]&lt;=90000,"$70k-90k",TRUE,"$100k+")</f>
        <v>$100k+</v>
      </c>
      <c r="Q1003" s="20">
        <f>_xlfn.XMATCH(tbl_Clean[[#This Row],[Income Band]],{"$10k-30k","$40k-60k","$70k-90k","$100k+"})</f>
        <v>4</v>
      </c>
      <c r="R1003" s="20" t="str">
        <f>IF(tbl_Clean[[#This Row],[Cars]]&lt;=1,"0-1 Cars","2+ Cars")</f>
        <v>2+ Cars</v>
      </c>
      <c r="S1003" s="20">
        <f>_xlfn.XMATCH(tbl_Clean[[#This Row],[Commute Distance]],{"0-1 Miles","1-2 Miles","2-5 Miles","5-10 Miles","10+ Miles"})</f>
        <v>2</v>
      </c>
      <c r="T1003" s="20">
        <f>_xlfn.XMATCH(tbl_Clean[[#This Row],[Education]],{"Partial High School","High School","Partial College","Bachelors","Graduate Degree"})</f>
        <v>4</v>
      </c>
      <c r="U1003" s="20">
        <f>IF(tbl_Clean[[#This Row],[Purchased Bike]]="Yes",1,0)</f>
        <v>0</v>
      </c>
    </row>
    <row r="1004" spans="1:21" x14ac:dyDescent="0.25">
      <c r="A1004" s="20">
        <v>12121</v>
      </c>
      <c r="B1004" s="3" t="s">
        <v>114</v>
      </c>
      <c r="C1004" s="3" t="s">
        <v>113</v>
      </c>
      <c r="D1004" s="19">
        <v>60000</v>
      </c>
      <c r="E1004" s="20">
        <v>3</v>
      </c>
      <c r="F1004" s="3" t="s">
        <v>30</v>
      </c>
      <c r="G1004" s="3" t="s">
        <v>23</v>
      </c>
      <c r="H1004" s="3" t="s">
        <v>17</v>
      </c>
      <c r="I1004" s="20">
        <v>2</v>
      </c>
      <c r="J1004" s="3" t="s">
        <v>33</v>
      </c>
      <c r="K1004" s="3" t="s">
        <v>35</v>
      </c>
      <c r="L1004" s="20">
        <v>53</v>
      </c>
      <c r="M1004" s="3" t="s">
        <v>17</v>
      </c>
      <c r="N1004" s="20" t="str" cm="1">
        <f t="array" ref="N1004">_xlfn.IFS(tbl_Clean[[#This Row],[Age]]&lt;=30,"25-30",tbl_Clean[[#This Row],[Age]]&lt;=40,"31-40",tbl_Clean[[#This Row],[Age]]&lt;=50,"41-50",tbl_Clean[[#This Row],[Age]]&lt;=60,"51-60",TRUE,"61+")</f>
        <v>51-60</v>
      </c>
      <c r="O1004" s="20">
        <f>_xlfn.XMATCH(tbl_Clean[[#This Row],[Age Band]],{"25-30","31-40","41-50","51-60","61+"})</f>
        <v>4</v>
      </c>
      <c r="P1004" s="20" t="str" cm="1">
        <f t="array" ref="P1004">_xlfn.IFS(tbl_Clean[[#This Row],[Income]]&lt;=30000,"$10k-30k",tbl_Clean[[#This Row],[Income]]&lt;=60000,"$40k-60k",tbl_Clean[[#This Row],[Income]]&lt;=90000,"$70k-90k",TRUE,"$100k+")</f>
        <v>$40k-60k</v>
      </c>
      <c r="Q1004" s="20">
        <f>_xlfn.XMATCH(tbl_Clean[[#This Row],[Income Band]],{"$10k-30k","$40k-60k","$70k-90k","$100k+"})</f>
        <v>2</v>
      </c>
      <c r="R1004" s="20" t="str">
        <f>IF(tbl_Clean[[#This Row],[Cars]]&lt;=1,"0-1 Cars","2+ Cars")</f>
        <v>2+ Cars</v>
      </c>
      <c r="S1004" s="20">
        <f>_xlfn.XMATCH(tbl_Clean[[#This Row],[Commute Distance]],{"0-1 Miles","1-2 Miles","2-5 Miles","5-10 Miles","10+ Miles"})</f>
        <v>5</v>
      </c>
      <c r="T1004" s="20">
        <f>_xlfn.XMATCH(tbl_Clean[[#This Row],[Education]],{"Partial High School","High School","Partial College","Bachelors","Graduate Degree"})</f>
        <v>2</v>
      </c>
      <c r="U1004" s="20">
        <f>IF(tbl_Clean[[#This Row],[Purchased Bike]]="Yes",1,0)</f>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2E105-71FF-4176-B6D0-BCF0FB0DD41B}">
  <dimension ref="A1:N91"/>
  <sheetViews>
    <sheetView showGridLines="0" workbookViewId="0">
      <pane ySplit="4" topLeftCell="A5" activePane="bottomLeft" state="frozen"/>
      <selection pane="bottomLeft"/>
    </sheetView>
  </sheetViews>
  <sheetFormatPr defaultRowHeight="15" x14ac:dyDescent="0.25"/>
  <cols>
    <col min="1" max="1" width="28.5703125" customWidth="1"/>
    <col min="2" max="7" width="18.140625" customWidth="1"/>
    <col min="8" max="8" width="4.7109375" customWidth="1"/>
    <col min="9" max="10" width="24.7109375" customWidth="1"/>
    <col min="11" max="11" width="16.140625" customWidth="1"/>
    <col min="12" max="12" width="26.7109375" customWidth="1"/>
    <col min="13" max="14" width="16.140625" customWidth="1"/>
  </cols>
  <sheetData>
    <row r="1" spans="1:14" ht="23.25" x14ac:dyDescent="0.35">
      <c r="A1" s="4" t="s">
        <v>375</v>
      </c>
      <c r="B1" s="3"/>
      <c r="C1" s="3"/>
      <c r="D1" s="3"/>
      <c r="E1" s="3"/>
      <c r="F1" s="3"/>
      <c r="G1" s="3"/>
      <c r="H1" s="3"/>
      <c r="I1" s="3"/>
      <c r="J1" s="3"/>
      <c r="K1" s="3"/>
      <c r="L1" s="3"/>
      <c r="M1" s="3"/>
      <c r="N1" s="3"/>
    </row>
    <row r="2" spans="1:14" x14ac:dyDescent="0.25">
      <c r="A2" s="5" t="s">
        <v>170</v>
      </c>
      <c r="B2" s="3"/>
      <c r="C2" s="3"/>
      <c r="D2" s="3"/>
      <c r="E2" s="3"/>
      <c r="F2" s="3"/>
      <c r="G2" s="3"/>
      <c r="H2" s="3"/>
      <c r="I2" s="3"/>
      <c r="J2" s="3"/>
      <c r="K2" s="3"/>
      <c r="L2" s="3"/>
      <c r="M2" s="3"/>
      <c r="N2" s="3"/>
    </row>
    <row r="3" spans="1:14" x14ac:dyDescent="0.25">
      <c r="A3" s="3"/>
      <c r="B3" s="3"/>
      <c r="C3" s="3"/>
      <c r="D3" s="3"/>
      <c r="E3" s="3"/>
      <c r="F3" s="3"/>
      <c r="G3" s="3"/>
      <c r="H3" s="3"/>
      <c r="I3" s="3"/>
      <c r="J3" s="3"/>
      <c r="K3" s="3"/>
      <c r="L3" s="3"/>
      <c r="M3" s="3"/>
      <c r="N3" s="3"/>
    </row>
    <row r="4" spans="1:14" ht="32.1" customHeight="1" x14ac:dyDescent="0.25">
      <c r="A4" s="86" t="s">
        <v>376</v>
      </c>
      <c r="B4" s="31">
        <f>ROWS(tbl_Clean[])</f>
        <v>1000</v>
      </c>
      <c r="C4" s="86" t="s">
        <v>377</v>
      </c>
      <c r="D4" s="31">
        <f>SUM(tbl_Clean[Purchased Flag])</f>
        <v>481</v>
      </c>
      <c r="E4" s="86" t="s">
        <v>378</v>
      </c>
      <c r="F4" s="32">
        <f>D4/B4</f>
        <v>0.48099999999999998</v>
      </c>
      <c r="G4" s="3"/>
      <c r="H4" s="3"/>
      <c r="I4" s="3"/>
      <c r="J4" s="3"/>
      <c r="K4" s="3"/>
      <c r="L4" s="3"/>
      <c r="M4" s="3"/>
      <c r="N4" s="3"/>
    </row>
    <row r="5" spans="1:14" x14ac:dyDescent="0.25">
      <c r="A5" s="3"/>
      <c r="B5" s="3"/>
      <c r="C5" s="3"/>
      <c r="D5" s="3"/>
      <c r="E5" s="3"/>
      <c r="F5" s="3"/>
      <c r="G5" s="3"/>
      <c r="H5" s="3"/>
      <c r="I5" s="3"/>
      <c r="J5" s="3"/>
      <c r="K5" s="3"/>
      <c r="L5" s="3"/>
      <c r="M5" s="3"/>
      <c r="N5" s="3"/>
    </row>
    <row r="6" spans="1:14" ht="18" customHeight="1" x14ac:dyDescent="0.25">
      <c r="A6" s="42" t="s">
        <v>379</v>
      </c>
      <c r="B6" s="34"/>
      <c r="C6" s="34"/>
      <c r="D6" s="34"/>
      <c r="E6" s="34"/>
      <c r="F6" s="34"/>
      <c r="G6" s="38"/>
      <c r="H6" s="3"/>
      <c r="I6" s="3"/>
      <c r="J6" s="3"/>
      <c r="K6" s="3"/>
      <c r="L6" s="3"/>
      <c r="M6" s="3"/>
      <c r="N6" s="3"/>
    </row>
    <row r="7" spans="1:14" ht="18" customHeight="1" x14ac:dyDescent="0.25">
      <c r="A7" s="36" t="str" cm="1">
        <f t="array" ref="A7">_xlfn.LET(_xlpm.seg,_xlfn.ANCHORARRAY(A34),_xlpm.rt,_xlfn.ANCHORARRAY(D34),_xlpm.hi,MAX(_xlpm.rt),_xlpm.lo,MIN(_xlpm.rt),"Highest-converting age band: "&amp;_xlfn.XLOOKUP(_xlpm.hi,_xlpm.rt,_xlpm.seg)&amp;" at "&amp;TEXT(_xlpm.hi,"0.0%")&amp;" ("&amp;TEXT(_xlpm.hi/Baseline_Rate,"0.00")&amp;"x the average); lowest: "&amp;_xlfn.XLOOKUP(_xlpm.lo,_xlpm.rt,_xlpm.seg)&amp;" at "&amp;TEXT(_xlpm.lo,"0.0%")&amp;" ("&amp;TEXT(_xlpm.lo/Baseline_Rate,"0.00")&amp;"x).")</f>
        <v>Highest-converting age band: 31-40 at 61.1% (1.27x the average); lowest: 61+ at 30.0% (0.62x).</v>
      </c>
      <c r="B7" s="33"/>
      <c r="C7" s="33"/>
      <c r="D7" s="33"/>
      <c r="E7" s="33"/>
      <c r="F7" s="33"/>
      <c r="G7" s="39"/>
      <c r="H7" s="3"/>
      <c r="I7" s="3"/>
      <c r="J7" s="3"/>
      <c r="K7" s="3"/>
      <c r="L7" s="3"/>
      <c r="M7" s="3"/>
      <c r="N7" s="3"/>
    </row>
    <row r="8" spans="1:14" ht="18" customHeight="1" x14ac:dyDescent="0.25">
      <c r="A8" s="36" t="str" cm="1">
        <f t="array" ref="A8">_xlfn.LET(_xlpm.seg,_xlfn.ANCHORARRAY(A13),_xlpm.rt,_xlfn.ANCHORARRAY(D13),_xlpm.hi,MAX(_xlpm.rt),_xlpm.lo,MIN(_xlpm.rt),"Highest-converting car ownership group: "&amp;_xlfn.XLOOKUP(_xlpm.hi,_xlpm.rt,_xlpm.seg)&amp;" at "&amp;TEXT(_xlpm.hi,"0.0%")&amp;" ("&amp;TEXT(_xlpm.hi/Baseline_Rate,"0.00")&amp;"x the average); lowest: "&amp;_xlfn.XLOOKUP(_xlpm.lo,_xlpm.rt,_xlpm.seg)&amp;" at "&amp;TEXT(_xlpm.lo,"0.0%")&amp;" ("&amp;TEXT(_xlpm.lo/Baseline_Rate,"0.00")&amp;"x).")</f>
        <v>Highest-converting car ownership group: 0-1 Cars at 58.9% (1.23x the average); lowest: 2+ Cars at 36.6% (0.76x).</v>
      </c>
      <c r="B8" s="33"/>
      <c r="C8" s="33"/>
      <c r="D8" s="33"/>
      <c r="E8" s="33"/>
      <c r="F8" s="33"/>
      <c r="G8" s="39"/>
      <c r="H8" s="3"/>
      <c r="I8" s="3"/>
      <c r="J8" s="3"/>
      <c r="K8" s="3"/>
      <c r="L8" s="3"/>
      <c r="M8" s="3"/>
      <c r="N8" s="3"/>
    </row>
    <row r="9" spans="1:14" ht="18" customHeight="1" x14ac:dyDescent="0.25">
      <c r="A9" s="37" t="str" cm="1">
        <f t="array" ref="A9">_xlfn.LET(_xlpm.seg,_xlfn.ANCHORARRAY(A26),_xlpm.rt,_xlfn.ANCHORARRAY(D26),_xlpm.hi,MAX(_xlpm.rt),_xlpm.lo,MIN(_xlpm.rt),"Highest-converting commute distance: "&amp;_xlfn.XLOOKUP(_xlpm.hi,_xlpm.rt,_xlpm.seg)&amp;" at "&amp;TEXT(_xlpm.hi,"0.0%")&amp;" ("&amp;TEXT(_xlpm.hi/Baseline_Rate,"0.00")&amp;"x the average); lowest: "&amp;_xlfn.XLOOKUP(_xlpm.lo,_xlpm.rt,_xlpm.seg)&amp;" at "&amp;TEXT(_xlpm.lo,"0.0%")&amp;" ("&amp;TEXT(_xlpm.lo/Baseline_Rate,"0.00")&amp;"x).")</f>
        <v>Highest-converting commute distance: 2-5 Miles at 58.6% (1.22x the average); lowest: 10+ Miles at 29.7% (0.62x).</v>
      </c>
      <c r="B9" s="35"/>
      <c r="C9" s="35"/>
      <c r="D9" s="35"/>
      <c r="E9" s="35"/>
      <c r="F9" s="35"/>
      <c r="G9" s="40"/>
      <c r="H9" s="3"/>
      <c r="I9" s="3"/>
      <c r="J9" s="3"/>
      <c r="K9" s="3"/>
      <c r="L9" s="3"/>
      <c r="M9" s="3"/>
      <c r="N9" s="3"/>
    </row>
    <row r="10" spans="1:14" x14ac:dyDescent="0.25">
      <c r="A10" s="3"/>
      <c r="B10" s="3"/>
      <c r="C10" s="3"/>
      <c r="D10" s="3"/>
      <c r="E10" s="3"/>
      <c r="F10" s="3"/>
      <c r="G10" s="3"/>
      <c r="H10" s="3"/>
      <c r="I10" s="3"/>
      <c r="J10" s="3"/>
      <c r="K10" s="3"/>
      <c r="L10" s="3"/>
      <c r="M10" s="3"/>
      <c r="N10" s="3"/>
    </row>
    <row r="11" spans="1:14" ht="18" customHeight="1" x14ac:dyDescent="0.25">
      <c r="A11" s="44" t="s">
        <v>119</v>
      </c>
      <c r="B11" s="3"/>
      <c r="C11" s="3"/>
      <c r="D11" s="3"/>
      <c r="E11" s="3"/>
      <c r="F11" s="3"/>
      <c r="G11" s="3"/>
      <c r="H11" s="3"/>
      <c r="I11" s="44" t="s">
        <v>380</v>
      </c>
      <c r="J11" s="3"/>
      <c r="K11" s="3"/>
      <c r="L11" s="3"/>
      <c r="M11" s="3"/>
      <c r="N11" s="3"/>
    </row>
    <row r="12" spans="1:14" ht="18" customHeight="1" x14ac:dyDescent="0.25">
      <c r="A12" s="45" t="s">
        <v>171</v>
      </c>
      <c r="B12" s="45" t="s">
        <v>172</v>
      </c>
      <c r="C12" s="45" t="s">
        <v>173</v>
      </c>
      <c r="D12" s="45" t="s">
        <v>174</v>
      </c>
      <c r="E12" s="45" t="s">
        <v>175</v>
      </c>
      <c r="F12" s="45" t="s">
        <v>176</v>
      </c>
      <c r="G12" s="45" t="s">
        <v>382</v>
      </c>
      <c r="H12" s="3"/>
      <c r="I12" s="45" t="s">
        <v>177</v>
      </c>
      <c r="J12" s="45" t="s">
        <v>383</v>
      </c>
      <c r="K12" s="45" t="s">
        <v>384</v>
      </c>
      <c r="L12" s="45" t="s">
        <v>385</v>
      </c>
      <c r="M12" s="45" t="s">
        <v>386</v>
      </c>
      <c r="N12" s="45" t="s">
        <v>178</v>
      </c>
    </row>
    <row r="13" spans="1:14" ht="18" customHeight="1" x14ac:dyDescent="0.25">
      <c r="A13" s="46" t="str" cm="1">
        <f t="array" ref="A13:A14">_xlfn.LET(_xlpm.s,_xlfn.UNIQUE(tbl_Clean[Car Ownership]),_xlfn.SORTBY(_xlpm.s,COUNTIFS(tbl_Clean[Car Ownership],_xlpm.s,tbl_Clean[Purchased Flag],1)/COUNTIFS(tbl_Clean[Car Ownership],_xlpm.s),-1))</f>
        <v>0-1 Cars</v>
      </c>
      <c r="B13" s="49" cm="1">
        <f t="array" ref="B13:B14">COUNTIFS(tbl_Clean[Car Ownership],_xlfn.ANCHORARRAY(A13))</f>
        <v>514</v>
      </c>
      <c r="C13" s="49" cm="1">
        <f t="array" ref="C13:C14">COUNTIFS(tbl_Clean[Car Ownership],_xlfn.ANCHORARRAY(A13),tbl_Clean[Purchased Flag],1)</f>
        <v>303</v>
      </c>
      <c r="D13" s="51" cm="1">
        <f t="array" ref="D13:D14">_xlfn.ANCHORARRAY(C13)/_xlfn.ANCHORARRAY(B13)</f>
        <v>0.58949416342412453</v>
      </c>
      <c r="E13" s="53" cm="1">
        <f t="array" ref="E13:E14">_xlfn.ANCHORARRAY(D13)/Baseline_Rate</f>
        <v>1.2255595913183464</v>
      </c>
      <c r="F13" s="51" cm="1">
        <f t="array" ref="F13:F14">_xlfn.ANCHORARRAY(C13)/Total_Buyers</f>
        <v>0.62993762993762992</v>
      </c>
      <c r="G13" s="55" t="str" cm="1">
        <f t="array" ref="G13:G14">IF(_xlfn.ANCHORARRAY(B13)&lt;100,"Small sample","")</f>
        <v/>
      </c>
      <c r="H13" s="3"/>
      <c r="I13" s="43" t="str" cm="1">
        <f t="array" ref="I13:N24">_xlfn.SORTBY(I29:N40,N29:N40,-1)</f>
        <v>Children</v>
      </c>
      <c r="J13" s="20">
        <v>1</v>
      </c>
      <c r="K13" s="51">
        <v>0.57396449704142016</v>
      </c>
      <c r="L13" s="20">
        <v>5</v>
      </c>
      <c r="M13" s="51">
        <v>0.22222222222222221</v>
      </c>
      <c r="N13" s="67">
        <v>35.174227481919793</v>
      </c>
    </row>
    <row r="14" spans="1:14" ht="18" customHeight="1" x14ac:dyDescent="0.25">
      <c r="A14" s="57" t="str">
        <v>2+ Cars</v>
      </c>
      <c r="B14" s="58">
        <v>486</v>
      </c>
      <c r="C14" s="58">
        <v>178</v>
      </c>
      <c r="D14" s="59">
        <v>0.36625514403292181</v>
      </c>
      <c r="E14" s="60">
        <v>0.76144520588965037</v>
      </c>
      <c r="F14" s="59">
        <v>0.37006237006237008</v>
      </c>
      <c r="G14" s="61" t="str">
        <v/>
      </c>
      <c r="H14" s="3"/>
      <c r="I14" s="30" t="str">
        <v>Age Band</v>
      </c>
      <c r="J14" s="48" t="str">
        <v>31-40</v>
      </c>
      <c r="K14" s="52">
        <v>0.61075949367088611</v>
      </c>
      <c r="L14" s="48" t="str">
        <v>61+</v>
      </c>
      <c r="M14" s="52">
        <v>0.3</v>
      </c>
      <c r="N14" s="68">
        <v>31.075949367088612</v>
      </c>
    </row>
    <row r="15" spans="1:14" ht="18" customHeight="1" x14ac:dyDescent="0.25">
      <c r="A15" s="3"/>
      <c r="B15" s="3"/>
      <c r="C15" s="3"/>
      <c r="D15" s="3"/>
      <c r="E15" s="3"/>
      <c r="F15" s="3"/>
      <c r="G15" s="3"/>
      <c r="H15" s="3"/>
      <c r="I15" s="43" t="str">
        <v>Education</v>
      </c>
      <c r="J15" s="20" t="str">
        <v>Bachelors</v>
      </c>
      <c r="K15" s="51">
        <v>0.55228758169934644</v>
      </c>
      <c r="L15" s="20" t="str">
        <v>Partial High School</v>
      </c>
      <c r="M15" s="51">
        <v>0.26315789473684209</v>
      </c>
      <c r="N15" s="67">
        <v>28.912968696250434</v>
      </c>
    </row>
    <row r="16" spans="1:14" ht="18" customHeight="1" x14ac:dyDescent="0.25">
      <c r="A16" s="44" t="s">
        <v>8</v>
      </c>
      <c r="B16" s="3"/>
      <c r="C16" s="3"/>
      <c r="D16" s="3"/>
      <c r="E16" s="3"/>
      <c r="F16" s="3"/>
      <c r="G16" s="3"/>
      <c r="H16" s="3"/>
      <c r="I16" s="30" t="str">
        <v>Commute Distance</v>
      </c>
      <c r="J16" s="48" t="str">
        <v>2-5 Miles</v>
      </c>
      <c r="K16" s="52">
        <v>0.5864197530864198</v>
      </c>
      <c r="L16" s="48" t="str">
        <v>10+ Miles</v>
      </c>
      <c r="M16" s="52">
        <v>0.29729729729729731</v>
      </c>
      <c r="N16" s="68">
        <v>28.912245578912248</v>
      </c>
    </row>
    <row r="17" spans="1:14" ht="18" customHeight="1" x14ac:dyDescent="0.25">
      <c r="A17" s="45" t="s">
        <v>171</v>
      </c>
      <c r="B17" s="45" t="s">
        <v>172</v>
      </c>
      <c r="C17" s="45" t="s">
        <v>173</v>
      </c>
      <c r="D17" s="45" t="s">
        <v>174</v>
      </c>
      <c r="E17" s="45" t="s">
        <v>175</v>
      </c>
      <c r="F17" s="45" t="s">
        <v>176</v>
      </c>
      <c r="G17" s="45" t="s">
        <v>382</v>
      </c>
      <c r="H17" s="3"/>
      <c r="I17" s="43" t="str">
        <v>Cars</v>
      </c>
      <c r="J17" s="20">
        <v>0</v>
      </c>
      <c r="K17" s="51">
        <v>0.61133603238866396</v>
      </c>
      <c r="L17" s="20">
        <v>4</v>
      </c>
      <c r="M17" s="51">
        <v>0.3559322033898305</v>
      </c>
      <c r="N17" s="67">
        <v>25.540382899883348</v>
      </c>
    </row>
    <row r="18" spans="1:14" ht="18" customHeight="1" x14ac:dyDescent="0.25">
      <c r="A18" s="46" cm="1">
        <f t="array" ref="A18:A22">_xlfn._xlws.SORT(_xlfn.UNIQUE(tbl_Clean[Cars]))</f>
        <v>0</v>
      </c>
      <c r="B18" s="49" cm="1">
        <f t="array" ref="B18:B22">COUNTIFS(tbl_Clean[Cars],_xlfn.ANCHORARRAY(A18))</f>
        <v>247</v>
      </c>
      <c r="C18" s="49" cm="1">
        <f t="array" ref="C18:C22">COUNTIFS(tbl_Clean[Cars],_xlfn.ANCHORARRAY(A18),tbl_Clean[Purchased Flag],1)</f>
        <v>151</v>
      </c>
      <c r="D18" s="51" cm="1">
        <f t="array" ref="D18:D22">_xlfn.ANCHORARRAY(C18)/_xlfn.ANCHORARRAY(B18)</f>
        <v>0.61133603238866396</v>
      </c>
      <c r="E18" s="53" cm="1">
        <f t="array" ref="E18:E22">_xlfn.ANCHORARRAY(D18)/Baseline_Rate</f>
        <v>1.2709688823049148</v>
      </c>
      <c r="F18" s="51" cm="1">
        <f t="array" ref="F18:F22">_xlfn.ANCHORARRAY(C18)/Total_Buyers</f>
        <v>0.31392931392931395</v>
      </c>
      <c r="G18" s="55" t="str" cm="1">
        <f t="array" ref="G18:G22">IF(_xlfn.ANCHORARRAY(B18)&lt;100,"Small sample","")</f>
        <v/>
      </c>
      <c r="H18" s="3"/>
      <c r="I18" s="30" t="str">
        <v>Car Ownership</v>
      </c>
      <c r="J18" s="48" t="str">
        <v>0-1 Cars</v>
      </c>
      <c r="K18" s="52">
        <v>0.58949416342412453</v>
      </c>
      <c r="L18" s="48" t="str">
        <v>2+ Cars</v>
      </c>
      <c r="M18" s="52">
        <v>0.36625514403292181</v>
      </c>
      <c r="N18" s="68">
        <v>22.323901939120272</v>
      </c>
    </row>
    <row r="19" spans="1:14" ht="18" customHeight="1" x14ac:dyDescent="0.25">
      <c r="A19" s="47">
        <v>1</v>
      </c>
      <c r="B19" s="50">
        <v>267</v>
      </c>
      <c r="C19" s="50">
        <v>152</v>
      </c>
      <c r="D19" s="52">
        <v>0.56928838951310856</v>
      </c>
      <c r="E19" s="54">
        <v>1.1835517453494981</v>
      </c>
      <c r="F19" s="52">
        <v>0.31600831600831603</v>
      </c>
      <c r="G19" s="56" t="str">
        <v/>
      </c>
      <c r="H19" s="3"/>
      <c r="I19" s="43" t="str">
        <v>Region</v>
      </c>
      <c r="J19" s="20" t="str">
        <v>Pacific</v>
      </c>
      <c r="K19" s="51">
        <v>0.58854166666666663</v>
      </c>
      <c r="L19" s="20" t="str">
        <v>North America</v>
      </c>
      <c r="M19" s="51">
        <v>0.43307086614173229</v>
      </c>
      <c r="N19" s="67">
        <v>15.547080052493435</v>
      </c>
    </row>
    <row r="20" spans="1:14" ht="18" customHeight="1" x14ac:dyDescent="0.25">
      <c r="A20" s="46">
        <v>2</v>
      </c>
      <c r="B20" s="49">
        <v>342</v>
      </c>
      <c r="C20" s="49">
        <v>124</v>
      </c>
      <c r="D20" s="51">
        <v>0.36257309941520466</v>
      </c>
      <c r="E20" s="53">
        <v>0.75379022747443802</v>
      </c>
      <c r="F20" s="51">
        <v>0.25779625779625781</v>
      </c>
      <c r="G20" s="55" t="str">
        <v/>
      </c>
      <c r="H20" s="3"/>
      <c r="I20" s="30" t="str">
        <v>Income Band</v>
      </c>
      <c r="J20" s="48" t="str">
        <v>$40k-60k</v>
      </c>
      <c r="K20" s="52">
        <v>0.53203342618384397</v>
      </c>
      <c r="L20" s="48" t="str">
        <v>$10k-30k</v>
      </c>
      <c r="M20" s="52">
        <v>0.40070921985815605</v>
      </c>
      <c r="N20" s="68">
        <v>13.132420632568792</v>
      </c>
    </row>
    <row r="21" spans="1:14" ht="18" customHeight="1" x14ac:dyDescent="0.25">
      <c r="A21" s="47">
        <v>3</v>
      </c>
      <c r="B21" s="50">
        <v>85</v>
      </c>
      <c r="C21" s="50">
        <v>33</v>
      </c>
      <c r="D21" s="52">
        <v>0.38823529411764707</v>
      </c>
      <c r="E21" s="54">
        <v>0.80714198361257194</v>
      </c>
      <c r="F21" s="52">
        <v>6.8607068607068611E-2</v>
      </c>
      <c r="G21" s="56" t="str">
        <v>Small sample</v>
      </c>
      <c r="H21" s="3"/>
      <c r="I21" s="43" t="str">
        <v>Occupation</v>
      </c>
      <c r="J21" s="20" t="str">
        <v>Professional</v>
      </c>
      <c r="K21" s="51">
        <v>0.54347826086956519</v>
      </c>
      <c r="L21" s="20" t="str">
        <v>Management</v>
      </c>
      <c r="M21" s="51">
        <v>0.42196531791907516</v>
      </c>
      <c r="N21" s="67">
        <v>12.151294295049004</v>
      </c>
    </row>
    <row r="22" spans="1:14" ht="18" customHeight="1" x14ac:dyDescent="0.25">
      <c r="A22" s="62">
        <v>4</v>
      </c>
      <c r="B22" s="63">
        <v>59</v>
      </c>
      <c r="C22" s="63">
        <v>21</v>
      </c>
      <c r="D22" s="64">
        <v>0.3559322033898305</v>
      </c>
      <c r="E22" s="65">
        <v>0.73998379083124843</v>
      </c>
      <c r="F22" s="64">
        <v>4.3659043659043661E-2</v>
      </c>
      <c r="G22" s="66" t="str">
        <v>Small sample</v>
      </c>
      <c r="H22" s="3"/>
      <c r="I22" s="30" t="str">
        <v>Marital Status</v>
      </c>
      <c r="J22" s="48" t="str">
        <v>Single</v>
      </c>
      <c r="K22" s="52">
        <v>0.54112554112554112</v>
      </c>
      <c r="L22" s="48" t="str">
        <v>Married</v>
      </c>
      <c r="M22" s="52">
        <v>0.42936802973977695</v>
      </c>
      <c r="N22" s="68">
        <v>11.175751138576418</v>
      </c>
    </row>
    <row r="23" spans="1:14" ht="18" customHeight="1" x14ac:dyDescent="0.25">
      <c r="A23" s="3"/>
      <c r="B23" s="3"/>
      <c r="C23" s="3"/>
      <c r="D23" s="3"/>
      <c r="E23" s="3"/>
      <c r="F23" s="3"/>
      <c r="G23" s="3"/>
      <c r="H23" s="3"/>
      <c r="I23" s="43" t="str">
        <v>Home Owner</v>
      </c>
      <c r="J23" s="20" t="str">
        <v>No</v>
      </c>
      <c r="K23" s="51">
        <v>0.49211356466876971</v>
      </c>
      <c r="L23" s="20" t="str">
        <v>Yes</v>
      </c>
      <c r="M23" s="51">
        <v>0.47584187408491946</v>
      </c>
      <c r="N23" s="67">
        <v>1.6271690583850251</v>
      </c>
    </row>
    <row r="24" spans="1:14" ht="18" customHeight="1" x14ac:dyDescent="0.25">
      <c r="A24" s="44" t="s">
        <v>9</v>
      </c>
      <c r="B24" s="3"/>
      <c r="C24" s="3"/>
      <c r="D24" s="3"/>
      <c r="E24" s="3"/>
      <c r="F24" s="3"/>
      <c r="G24" s="3"/>
      <c r="H24" s="3"/>
      <c r="I24" s="85" t="str">
        <v>Gender</v>
      </c>
      <c r="J24" s="69" t="str">
        <v>Female</v>
      </c>
      <c r="K24" s="59">
        <v>0.4887525562372188</v>
      </c>
      <c r="L24" s="69" t="str">
        <v>Male</v>
      </c>
      <c r="M24" s="59">
        <v>0.47358121330724068</v>
      </c>
      <c r="N24" s="70">
        <v>1.5171342929978127</v>
      </c>
    </row>
    <row r="25" spans="1:14" ht="18" customHeight="1" x14ac:dyDescent="0.25">
      <c r="A25" s="45" t="s">
        <v>171</v>
      </c>
      <c r="B25" s="45" t="s">
        <v>172</v>
      </c>
      <c r="C25" s="45" t="s">
        <v>173</v>
      </c>
      <c r="D25" s="45" t="s">
        <v>174</v>
      </c>
      <c r="E25" s="45" t="s">
        <v>175</v>
      </c>
      <c r="F25" s="45" t="s">
        <v>176</v>
      </c>
      <c r="G25" s="45" t="s">
        <v>382</v>
      </c>
      <c r="H25" s="3"/>
      <c r="I25" s="3"/>
      <c r="J25" s="3"/>
      <c r="K25" s="3"/>
      <c r="L25" s="3"/>
      <c r="M25" s="3"/>
      <c r="N25" s="3"/>
    </row>
    <row r="26" spans="1:14" ht="18" customHeight="1" x14ac:dyDescent="0.25">
      <c r="A26" s="46" t="str" cm="1">
        <f t="array" ref="A26:A30">_xlfn.LET(_xlpm.u,_xlfn.UNIQUE(_xlfn.HSTACK(tbl_Clean[Commute Distance],tbl_Clean[Commute Sort])),_xlfn.TAKE(_xlfn._xlws.SORT(_xlpm.u,2),,1))</f>
        <v>0-1 Miles</v>
      </c>
      <c r="B26" s="49" cm="1">
        <f t="array" ref="B26:B30">COUNTIFS(tbl_Clean[Commute Distance],_xlfn.ANCHORARRAY(A26))</f>
        <v>366</v>
      </c>
      <c r="C26" s="49" cm="1">
        <f t="array" ref="C26:C30">COUNTIFS(tbl_Clean[Commute Distance],_xlfn.ANCHORARRAY(A26),tbl_Clean[Purchased Flag],1)</f>
        <v>200</v>
      </c>
      <c r="D26" s="51" cm="1">
        <f t="array" ref="D26:D30">_xlfn.ANCHORARRAY(C26)/_xlfn.ANCHORARRAY(B26)</f>
        <v>0.54644808743169404</v>
      </c>
      <c r="E26" s="53" cm="1">
        <f t="array" ref="E26:E30">_xlfn.ANCHORARRAY(D26)/Baseline_Rate</f>
        <v>1.1360667098372017</v>
      </c>
      <c r="F26" s="51" cm="1">
        <f t="array" ref="F26:F30">_xlfn.ANCHORARRAY(C26)/Total_Buyers</f>
        <v>0.41580041580041582</v>
      </c>
      <c r="G26" s="55" t="str" cm="1">
        <f t="array" ref="G26:G30">IF(_xlfn.ANCHORARRAY(B26)&lt;100,"Small sample","")</f>
        <v/>
      </c>
      <c r="H26" s="3"/>
      <c r="I26" s="3"/>
      <c r="J26" s="3"/>
      <c r="K26" s="3"/>
      <c r="L26" s="3"/>
      <c r="M26" s="3"/>
      <c r="N26" s="3"/>
    </row>
    <row r="27" spans="1:14" ht="18" customHeight="1" x14ac:dyDescent="0.25">
      <c r="A27" s="47" t="str">
        <v>1-2 Miles</v>
      </c>
      <c r="B27" s="50">
        <v>169</v>
      </c>
      <c r="C27" s="50">
        <v>77</v>
      </c>
      <c r="D27" s="52">
        <v>0.45562130177514792</v>
      </c>
      <c r="E27" s="54">
        <v>0.94723763362816615</v>
      </c>
      <c r="F27" s="52">
        <v>0.16008316008316009</v>
      </c>
      <c r="G27" s="56" t="str">
        <v/>
      </c>
      <c r="H27" s="3"/>
      <c r="I27" s="71" t="s">
        <v>381</v>
      </c>
      <c r="J27" s="3"/>
      <c r="K27" s="3"/>
      <c r="L27" s="3"/>
      <c r="M27" s="3"/>
      <c r="N27" s="3"/>
    </row>
    <row r="28" spans="1:14" ht="18" customHeight="1" x14ac:dyDescent="0.25">
      <c r="A28" s="46" t="str">
        <v>2-5 Miles</v>
      </c>
      <c r="B28" s="49">
        <v>162</v>
      </c>
      <c r="C28" s="49">
        <v>95</v>
      </c>
      <c r="D28" s="51">
        <v>0.5864197530864198</v>
      </c>
      <c r="E28" s="53">
        <v>1.2191678858345527</v>
      </c>
      <c r="F28" s="51">
        <v>0.19750519750519752</v>
      </c>
      <c r="G28" s="55" t="str">
        <v/>
      </c>
      <c r="H28" s="3"/>
      <c r="I28" s="72" t="s">
        <v>177</v>
      </c>
      <c r="J28" s="72" t="s">
        <v>383</v>
      </c>
      <c r="K28" s="72" t="s">
        <v>384</v>
      </c>
      <c r="L28" s="72" t="s">
        <v>385</v>
      </c>
      <c r="M28" s="72" t="s">
        <v>386</v>
      </c>
      <c r="N28" s="72" t="s">
        <v>178</v>
      </c>
    </row>
    <row r="29" spans="1:14" ht="18" customHeight="1" x14ac:dyDescent="0.25">
      <c r="A29" s="47" t="str">
        <v>5-10 Miles</v>
      </c>
      <c r="B29" s="50">
        <v>192</v>
      </c>
      <c r="C29" s="50">
        <v>76</v>
      </c>
      <c r="D29" s="52">
        <v>0.39583333333333331</v>
      </c>
      <c r="E29" s="54">
        <v>0.82293832293832292</v>
      </c>
      <c r="F29" s="52">
        <v>0.15800415800415801</v>
      </c>
      <c r="G29" s="56" t="str">
        <v/>
      </c>
      <c r="H29" s="3"/>
      <c r="I29" s="73" t="s">
        <v>119</v>
      </c>
      <c r="J29" s="74" t="str" cm="1">
        <f t="array" ref="J29">_xlfn.XLOOKUP(K29,_xlfn.ANCHORARRAY(D13),_xlfn.ANCHORARRAY(A13))</f>
        <v>0-1 Cars</v>
      </c>
      <c r="K29" s="75">
        <f>MAX(_xlfn.ANCHORARRAY(D13))</f>
        <v>0.58949416342412453</v>
      </c>
      <c r="L29" s="74" t="str" cm="1">
        <f t="array" ref="L29">_xlfn.XLOOKUP(M29,_xlfn.ANCHORARRAY(D13),_xlfn.ANCHORARRAY(A13))</f>
        <v>2+ Cars</v>
      </c>
      <c r="M29" s="75">
        <f>MIN(_xlfn.ANCHORARRAY(D13))</f>
        <v>0.36625514403292181</v>
      </c>
      <c r="N29" s="76">
        <f t="shared" ref="N29:N40" si="0">(K29-M29)*100</f>
        <v>22.323901939120272</v>
      </c>
    </row>
    <row r="30" spans="1:14" ht="18" customHeight="1" x14ac:dyDescent="0.25">
      <c r="A30" s="62" t="str">
        <v>10+ Miles</v>
      </c>
      <c r="B30" s="63">
        <v>111</v>
      </c>
      <c r="C30" s="63">
        <v>33</v>
      </c>
      <c r="D30" s="64">
        <v>0.29729729729729731</v>
      </c>
      <c r="E30" s="65">
        <v>0.61808169916278033</v>
      </c>
      <c r="F30" s="64">
        <v>6.8607068607068611E-2</v>
      </c>
      <c r="G30" s="66" t="str">
        <v/>
      </c>
      <c r="H30" s="3"/>
      <c r="I30" s="77" t="s">
        <v>8</v>
      </c>
      <c r="J30" s="78" cm="1">
        <f t="array" ref="J30">_xlfn.XLOOKUP(K30,_xlfn.ANCHORARRAY(D18),_xlfn.ANCHORARRAY(A18))</f>
        <v>0</v>
      </c>
      <c r="K30" s="79">
        <f>MAX(_xlfn.ANCHORARRAY(D18))</f>
        <v>0.61133603238866396</v>
      </c>
      <c r="L30" s="78" cm="1">
        <f t="array" ref="L30">_xlfn.XLOOKUP(M30,_xlfn.ANCHORARRAY(D18),_xlfn.ANCHORARRAY(A18))</f>
        <v>4</v>
      </c>
      <c r="M30" s="79">
        <f>MIN(_xlfn.ANCHORARRAY(D18))</f>
        <v>0.3559322033898305</v>
      </c>
      <c r="N30" s="80">
        <f t="shared" si="0"/>
        <v>25.540382899883348</v>
      </c>
    </row>
    <row r="31" spans="1:14" ht="18" customHeight="1" x14ac:dyDescent="0.25">
      <c r="A31" s="3"/>
      <c r="B31" s="3"/>
      <c r="C31" s="3"/>
      <c r="D31" s="3"/>
      <c r="E31" s="3"/>
      <c r="F31" s="3"/>
      <c r="G31" s="3"/>
      <c r="H31" s="3"/>
      <c r="I31" s="73" t="s">
        <v>9</v>
      </c>
      <c r="J31" s="74" t="str" cm="1">
        <f t="array" ref="J31">_xlfn.XLOOKUP(K31,_xlfn.ANCHORARRAY(D26),_xlfn.ANCHORARRAY(A26))</f>
        <v>2-5 Miles</v>
      </c>
      <c r="K31" s="75">
        <f>MAX(_xlfn.ANCHORARRAY(D26))</f>
        <v>0.5864197530864198</v>
      </c>
      <c r="L31" s="74" t="str" cm="1">
        <f t="array" ref="L31">_xlfn.XLOOKUP(M31,_xlfn.ANCHORARRAY(D26),_xlfn.ANCHORARRAY(A26))</f>
        <v>10+ Miles</v>
      </c>
      <c r="M31" s="75">
        <f>MIN(_xlfn.ANCHORARRAY(D26))</f>
        <v>0.29729729729729731</v>
      </c>
      <c r="N31" s="76">
        <f t="shared" si="0"/>
        <v>28.912245578912248</v>
      </c>
    </row>
    <row r="32" spans="1:14" ht="18" customHeight="1" x14ac:dyDescent="0.25">
      <c r="A32" s="44" t="s">
        <v>115</v>
      </c>
      <c r="B32" s="3"/>
      <c r="C32" s="3"/>
      <c r="D32" s="3"/>
      <c r="E32" s="3"/>
      <c r="F32" s="3"/>
      <c r="G32" s="3"/>
      <c r="H32" s="3"/>
      <c r="I32" s="77" t="s">
        <v>115</v>
      </c>
      <c r="J32" s="78" t="str" cm="1">
        <f t="array" ref="J32">_xlfn.XLOOKUP(K32,_xlfn.ANCHORARRAY(D34),_xlfn.ANCHORARRAY(A34))</f>
        <v>31-40</v>
      </c>
      <c r="K32" s="79">
        <f>MAX(_xlfn.ANCHORARRAY(D34))</f>
        <v>0.61075949367088611</v>
      </c>
      <c r="L32" s="78" t="str" cm="1">
        <f t="array" ref="L32">_xlfn.XLOOKUP(M32,_xlfn.ANCHORARRAY(D34),_xlfn.ANCHORARRAY(A34))</f>
        <v>61+</v>
      </c>
      <c r="M32" s="79">
        <f>MIN(_xlfn.ANCHORARRAY(D34))</f>
        <v>0.3</v>
      </c>
      <c r="N32" s="80">
        <f t="shared" si="0"/>
        <v>31.075949367088612</v>
      </c>
    </row>
    <row r="33" spans="1:14" ht="18" customHeight="1" x14ac:dyDescent="0.25">
      <c r="A33" s="45" t="s">
        <v>171</v>
      </c>
      <c r="B33" s="45" t="s">
        <v>172</v>
      </c>
      <c r="C33" s="45" t="s">
        <v>173</v>
      </c>
      <c r="D33" s="45" t="s">
        <v>174</v>
      </c>
      <c r="E33" s="45" t="s">
        <v>175</v>
      </c>
      <c r="F33" s="45" t="s">
        <v>176</v>
      </c>
      <c r="G33" s="45" t="s">
        <v>382</v>
      </c>
      <c r="H33" s="3"/>
      <c r="I33" s="73" t="s">
        <v>4</v>
      </c>
      <c r="J33" s="74" cm="1">
        <f t="array" ref="J33">_xlfn.XLOOKUP(K33,_xlfn.ANCHORARRAY(D42),_xlfn.ANCHORARRAY(A42))</f>
        <v>1</v>
      </c>
      <c r="K33" s="75">
        <f>MAX(_xlfn.ANCHORARRAY(D42))</f>
        <v>0.57396449704142016</v>
      </c>
      <c r="L33" s="74" cm="1">
        <f t="array" ref="L33">_xlfn.XLOOKUP(M33,_xlfn.ANCHORARRAY(D42),_xlfn.ANCHORARRAY(A42))</f>
        <v>5</v>
      </c>
      <c r="M33" s="75">
        <f>MIN(_xlfn.ANCHORARRAY(D42))</f>
        <v>0.22222222222222221</v>
      </c>
      <c r="N33" s="76">
        <f t="shared" si="0"/>
        <v>35.174227481919793</v>
      </c>
    </row>
    <row r="34" spans="1:14" ht="18" customHeight="1" x14ac:dyDescent="0.25">
      <c r="A34" s="46" t="str" cm="1">
        <f t="array" ref="A34:A38">_xlfn.LET(_xlpm.u,_xlfn.UNIQUE(_xlfn.HSTACK(tbl_Clean[Age Band],tbl_Clean[Age Band Sort])),_xlfn.TAKE(_xlfn._xlws.SORT(_xlpm.u,2),,1))</f>
        <v>25-30</v>
      </c>
      <c r="B34" s="49" cm="1">
        <f t="array" ref="B34:B38">COUNTIFS(tbl_Clean[Age Band],_xlfn.ANCHORARRAY(A34))</f>
        <v>110</v>
      </c>
      <c r="C34" s="49" cm="1">
        <f t="array" ref="C34:C38">COUNTIFS(tbl_Clean[Age Band],_xlfn.ANCHORARRAY(A34),tbl_Clean[Purchased Flag],1)</f>
        <v>39</v>
      </c>
      <c r="D34" s="51" cm="1">
        <f t="array" ref="D34:D38">_xlfn.ANCHORARRAY(C34)/_xlfn.ANCHORARRAY(B34)</f>
        <v>0.35454545454545455</v>
      </c>
      <c r="E34" s="53" cm="1">
        <f t="array" ref="E34:E38">_xlfn.ANCHORARRAY(D34)/Baseline_Rate</f>
        <v>0.73710073710073709</v>
      </c>
      <c r="F34" s="51" cm="1">
        <f t="array" ref="F34:F38">_xlfn.ANCHORARRAY(C34)/Total_Buyers</f>
        <v>8.1081081081081086E-2</v>
      </c>
      <c r="G34" s="55" t="str" cm="1">
        <f t="array" ref="G34:G38">IF(_xlfn.ANCHORARRAY(B34)&lt;100,"Small sample","")</f>
        <v/>
      </c>
      <c r="H34" s="3"/>
      <c r="I34" s="77" t="s">
        <v>5</v>
      </c>
      <c r="J34" s="78" t="str" cm="1">
        <f t="array" ref="J34">_xlfn.XLOOKUP(K34,_xlfn.ANCHORARRAY(D51),_xlfn.ANCHORARRAY(A51))</f>
        <v>Bachelors</v>
      </c>
      <c r="K34" s="79">
        <f>MAX(_xlfn.ANCHORARRAY(D51))</f>
        <v>0.55228758169934644</v>
      </c>
      <c r="L34" s="78" t="str" cm="1">
        <f t="array" ref="L34">_xlfn.XLOOKUP(M34,_xlfn.ANCHORARRAY(D51),_xlfn.ANCHORARRAY(A51))</f>
        <v>Partial High School</v>
      </c>
      <c r="M34" s="79">
        <f>MIN(_xlfn.ANCHORARRAY(D51))</f>
        <v>0.26315789473684209</v>
      </c>
      <c r="N34" s="80">
        <f t="shared" si="0"/>
        <v>28.912968696250434</v>
      </c>
    </row>
    <row r="35" spans="1:14" ht="18" customHeight="1" x14ac:dyDescent="0.25">
      <c r="A35" s="47" t="str">
        <v>31-40</v>
      </c>
      <c r="B35" s="50">
        <v>316</v>
      </c>
      <c r="C35" s="50">
        <v>193</v>
      </c>
      <c r="D35" s="52">
        <v>0.61075949367088611</v>
      </c>
      <c r="E35" s="54">
        <v>1.2697702571120293</v>
      </c>
      <c r="F35" s="52">
        <v>0.40124740124740127</v>
      </c>
      <c r="G35" s="56" t="str">
        <v/>
      </c>
      <c r="H35" s="3"/>
      <c r="I35" s="73" t="s">
        <v>10</v>
      </c>
      <c r="J35" s="74" t="str" cm="1">
        <f t="array" ref="J35">_xlfn.XLOOKUP(K35,_xlfn.ANCHORARRAY(D59),_xlfn.ANCHORARRAY(A59))</f>
        <v>Pacific</v>
      </c>
      <c r="K35" s="75">
        <f>MAX(_xlfn.ANCHORARRAY(D59))</f>
        <v>0.58854166666666663</v>
      </c>
      <c r="L35" s="74" t="str" cm="1">
        <f t="array" ref="L35">_xlfn.XLOOKUP(M35,_xlfn.ANCHORARRAY(D59),_xlfn.ANCHORARRAY(A59))</f>
        <v>North America</v>
      </c>
      <c r="M35" s="75">
        <f>MIN(_xlfn.ANCHORARRAY(D59))</f>
        <v>0.43307086614173229</v>
      </c>
      <c r="N35" s="76">
        <f t="shared" si="0"/>
        <v>15.547080052493435</v>
      </c>
    </row>
    <row r="36" spans="1:14" ht="18" customHeight="1" x14ac:dyDescent="0.25">
      <c r="A36" s="46" t="str">
        <v>41-50</v>
      </c>
      <c r="B36" s="49">
        <v>298</v>
      </c>
      <c r="C36" s="49">
        <v>139</v>
      </c>
      <c r="D36" s="51">
        <v>0.46644295302013422</v>
      </c>
      <c r="E36" s="53">
        <v>0.9697358690647282</v>
      </c>
      <c r="F36" s="51">
        <v>0.288981288981289</v>
      </c>
      <c r="G36" s="55" t="str">
        <v/>
      </c>
      <c r="H36" s="3"/>
      <c r="I36" s="77" t="s">
        <v>1</v>
      </c>
      <c r="J36" s="78" t="str" cm="1">
        <f t="array" ref="J36">_xlfn.XLOOKUP(K36,_xlfn.ANCHORARRAY(D65),_xlfn.ANCHORARRAY(A65))</f>
        <v>Single</v>
      </c>
      <c r="K36" s="79">
        <f>MAX(_xlfn.ANCHORARRAY(D65))</f>
        <v>0.54112554112554112</v>
      </c>
      <c r="L36" s="78" t="str" cm="1">
        <f t="array" ref="L36">_xlfn.XLOOKUP(M36,_xlfn.ANCHORARRAY(D65),_xlfn.ANCHORARRAY(A65))</f>
        <v>Married</v>
      </c>
      <c r="M36" s="79">
        <f>MIN(_xlfn.ANCHORARRAY(D65))</f>
        <v>0.42936802973977695</v>
      </c>
      <c r="N36" s="80">
        <f t="shared" si="0"/>
        <v>11.175751138576418</v>
      </c>
    </row>
    <row r="37" spans="1:14" ht="18" customHeight="1" x14ac:dyDescent="0.25">
      <c r="A37" s="47" t="str">
        <v>51-60</v>
      </c>
      <c r="B37" s="50">
        <v>176</v>
      </c>
      <c r="C37" s="50">
        <v>80</v>
      </c>
      <c r="D37" s="52">
        <v>0.45454545454545453</v>
      </c>
      <c r="E37" s="54">
        <v>0.945000945000945</v>
      </c>
      <c r="F37" s="52">
        <v>0.16632016632016633</v>
      </c>
      <c r="G37" s="56" t="str">
        <v/>
      </c>
      <c r="H37" s="3"/>
      <c r="I37" s="73" t="s">
        <v>117</v>
      </c>
      <c r="J37" s="74" t="str" cm="1">
        <f t="array" ref="J37">_xlfn.XLOOKUP(K37,_xlfn.ANCHORARRAY(D70),_xlfn.ANCHORARRAY(A70))</f>
        <v>$40k-60k</v>
      </c>
      <c r="K37" s="75">
        <f>MAX(_xlfn.ANCHORARRAY(D70))</f>
        <v>0.53203342618384397</v>
      </c>
      <c r="L37" s="74" t="str" cm="1">
        <f t="array" ref="L37">_xlfn.XLOOKUP(M37,_xlfn.ANCHORARRAY(D70),_xlfn.ANCHORARRAY(A70))</f>
        <v>$10k-30k</v>
      </c>
      <c r="M37" s="75">
        <f>MIN(_xlfn.ANCHORARRAY(D70))</f>
        <v>0.40070921985815605</v>
      </c>
      <c r="N37" s="76">
        <f t="shared" si="0"/>
        <v>13.132420632568792</v>
      </c>
    </row>
    <row r="38" spans="1:14" ht="18" customHeight="1" x14ac:dyDescent="0.25">
      <c r="A38" s="62" t="str">
        <v>61+</v>
      </c>
      <c r="B38" s="63">
        <v>100</v>
      </c>
      <c r="C38" s="63">
        <v>30</v>
      </c>
      <c r="D38" s="64">
        <v>0.3</v>
      </c>
      <c r="E38" s="65">
        <v>0.62370062370062374</v>
      </c>
      <c r="F38" s="64">
        <v>6.2370062370062374E-2</v>
      </c>
      <c r="G38" s="66" t="str">
        <v/>
      </c>
      <c r="H38" s="3"/>
      <c r="I38" s="77" t="s">
        <v>6</v>
      </c>
      <c r="J38" s="78" t="str" cm="1">
        <f t="array" ref="J38">_xlfn.XLOOKUP(K38,_xlfn.ANCHORARRAY(D77),_xlfn.ANCHORARRAY(A77))</f>
        <v>Professional</v>
      </c>
      <c r="K38" s="79">
        <f>MAX(_xlfn.ANCHORARRAY(D77))</f>
        <v>0.54347826086956519</v>
      </c>
      <c r="L38" s="78" t="str" cm="1">
        <f t="array" ref="L38">_xlfn.XLOOKUP(M38,_xlfn.ANCHORARRAY(D77),_xlfn.ANCHORARRAY(A77))</f>
        <v>Management</v>
      </c>
      <c r="M38" s="79">
        <f>MIN(_xlfn.ANCHORARRAY(D77))</f>
        <v>0.42196531791907516</v>
      </c>
      <c r="N38" s="80">
        <f t="shared" si="0"/>
        <v>12.151294295049004</v>
      </c>
    </row>
    <row r="39" spans="1:14" ht="18" customHeight="1" x14ac:dyDescent="0.25">
      <c r="A39" s="3"/>
      <c r="B39" s="3"/>
      <c r="C39" s="3"/>
      <c r="D39" s="3"/>
      <c r="E39" s="3"/>
      <c r="F39" s="3"/>
      <c r="G39" s="3"/>
      <c r="H39" s="3"/>
      <c r="I39" s="73" t="s">
        <v>7</v>
      </c>
      <c r="J39" s="74" t="str" cm="1">
        <f t="array" ref="J39">_xlfn.XLOOKUP(K39,_xlfn.ANCHORARRAY(D85),_xlfn.ANCHORARRAY(A85))</f>
        <v>No</v>
      </c>
      <c r="K39" s="75">
        <f>MAX(_xlfn.ANCHORARRAY(D85))</f>
        <v>0.49211356466876971</v>
      </c>
      <c r="L39" s="74" t="str" cm="1">
        <f t="array" ref="L39">_xlfn.XLOOKUP(M39,_xlfn.ANCHORARRAY(D85),_xlfn.ANCHORARRAY(A85))</f>
        <v>Yes</v>
      </c>
      <c r="M39" s="75">
        <f>MIN(_xlfn.ANCHORARRAY(D85))</f>
        <v>0.47584187408491946</v>
      </c>
      <c r="N39" s="76">
        <f t="shared" si="0"/>
        <v>1.6271690583850251</v>
      </c>
    </row>
    <row r="40" spans="1:14" ht="18" customHeight="1" x14ac:dyDescent="0.25">
      <c r="A40" s="44" t="s">
        <v>4</v>
      </c>
      <c r="B40" s="3"/>
      <c r="C40" s="3"/>
      <c r="D40" s="3"/>
      <c r="E40" s="3"/>
      <c r="F40" s="3"/>
      <c r="G40" s="3"/>
      <c r="H40" s="3"/>
      <c r="I40" s="81" t="s">
        <v>2</v>
      </c>
      <c r="J40" s="82" t="str" cm="1">
        <f t="array" ref="J40">_xlfn.XLOOKUP(K40,_xlfn.ANCHORARRAY(D90),_xlfn.ANCHORARRAY(A90))</f>
        <v>Female</v>
      </c>
      <c r="K40" s="83">
        <f>MAX(_xlfn.ANCHORARRAY(D90))</f>
        <v>0.4887525562372188</v>
      </c>
      <c r="L40" s="82" t="str" cm="1">
        <f t="array" ref="L40">_xlfn.XLOOKUP(M40,_xlfn.ANCHORARRAY(D90),_xlfn.ANCHORARRAY(A90))</f>
        <v>Male</v>
      </c>
      <c r="M40" s="83">
        <f>MIN(_xlfn.ANCHORARRAY(D90))</f>
        <v>0.47358121330724068</v>
      </c>
      <c r="N40" s="84">
        <f t="shared" si="0"/>
        <v>1.5171342929978127</v>
      </c>
    </row>
    <row r="41" spans="1:14" ht="18" customHeight="1" x14ac:dyDescent="0.25">
      <c r="A41" s="45" t="s">
        <v>171</v>
      </c>
      <c r="B41" s="45" t="s">
        <v>172</v>
      </c>
      <c r="C41" s="45" t="s">
        <v>173</v>
      </c>
      <c r="D41" s="45" t="s">
        <v>174</v>
      </c>
      <c r="E41" s="45" t="s">
        <v>175</v>
      </c>
      <c r="F41" s="45" t="s">
        <v>176</v>
      </c>
      <c r="G41" s="45" t="s">
        <v>382</v>
      </c>
      <c r="H41" s="3"/>
      <c r="I41" s="3"/>
      <c r="J41" s="3"/>
      <c r="K41" s="3"/>
      <c r="L41" s="3"/>
      <c r="M41" s="3"/>
      <c r="N41" s="3"/>
    </row>
    <row r="42" spans="1:14" ht="18" customHeight="1" x14ac:dyDescent="0.25">
      <c r="A42" s="46" cm="1">
        <f t="array" ref="A42:A47">_xlfn._xlws.SORT(_xlfn.UNIQUE(tbl_Clean[Children]))</f>
        <v>0</v>
      </c>
      <c r="B42" s="49" cm="1">
        <f t="array" ref="B42:B47">COUNTIFS(tbl_Clean[Children],_xlfn.ANCHORARRAY(A42))</f>
        <v>281</v>
      </c>
      <c r="C42" s="49" cm="1">
        <f t="array" ref="C42:C47">COUNTIFS(tbl_Clean[Children],_xlfn.ANCHORARRAY(A42),tbl_Clean[Purchased Flag],1)</f>
        <v>142</v>
      </c>
      <c r="D42" s="51" cm="1">
        <f t="array" ref="D42:D47">_xlfn.ANCHORARRAY(C42)/_xlfn.ANCHORARRAY(B42)</f>
        <v>0.50533807829181498</v>
      </c>
      <c r="E42" s="53" cm="1">
        <f t="array" ref="E42:E47">_xlfn.ANCHORARRAY(D42)/Baseline_Rate</f>
        <v>1.0505989153675988</v>
      </c>
      <c r="F42" s="51" cm="1">
        <f t="array" ref="F42:F47">_xlfn.ANCHORARRAY(C42)/Total_Buyers</f>
        <v>0.29521829521829523</v>
      </c>
      <c r="G42" s="55" t="str" cm="1">
        <f t="array" ref="G42:G47">IF(_xlfn.ANCHORARRAY(B42)&lt;100,"Small sample","")</f>
        <v/>
      </c>
      <c r="H42" s="3"/>
      <c r="I42" s="3"/>
      <c r="J42" s="3"/>
      <c r="K42" s="3"/>
      <c r="L42" s="3"/>
      <c r="M42" s="3"/>
      <c r="N42" s="3"/>
    </row>
    <row r="43" spans="1:14" ht="18" customHeight="1" x14ac:dyDescent="0.25">
      <c r="A43" s="47">
        <v>1</v>
      </c>
      <c r="B43" s="50">
        <v>169</v>
      </c>
      <c r="C43" s="50">
        <v>97</v>
      </c>
      <c r="D43" s="52">
        <v>0.57396449704142016</v>
      </c>
      <c r="E43" s="54">
        <v>1.1932733826224953</v>
      </c>
      <c r="F43" s="52">
        <v>0.20166320166320167</v>
      </c>
      <c r="G43" s="56" t="str">
        <v/>
      </c>
      <c r="H43" s="3"/>
      <c r="I43" s="3"/>
      <c r="J43" s="3"/>
      <c r="K43" s="3"/>
      <c r="L43" s="3"/>
      <c r="M43" s="3"/>
      <c r="N43" s="3"/>
    </row>
    <row r="44" spans="1:14" ht="18" customHeight="1" x14ac:dyDescent="0.25">
      <c r="A44" s="46">
        <v>2</v>
      </c>
      <c r="B44" s="49">
        <v>209</v>
      </c>
      <c r="C44" s="49">
        <v>97</v>
      </c>
      <c r="D44" s="51">
        <v>0.46411483253588515</v>
      </c>
      <c r="E44" s="53">
        <v>0.96489570173780703</v>
      </c>
      <c r="F44" s="51">
        <v>0.20166320166320167</v>
      </c>
      <c r="G44" s="55" t="str">
        <v/>
      </c>
      <c r="H44" s="3"/>
      <c r="I44" s="3"/>
      <c r="J44" s="3"/>
      <c r="K44" s="3"/>
      <c r="L44" s="3"/>
      <c r="M44" s="3"/>
      <c r="N44" s="3"/>
    </row>
    <row r="45" spans="1:14" ht="18" customHeight="1" x14ac:dyDescent="0.25">
      <c r="A45" s="47">
        <v>3</v>
      </c>
      <c r="B45" s="50">
        <v>134</v>
      </c>
      <c r="C45" s="50">
        <v>73</v>
      </c>
      <c r="D45" s="52">
        <v>0.54477611940298509</v>
      </c>
      <c r="E45" s="54">
        <v>1.1325906848294909</v>
      </c>
      <c r="F45" s="52">
        <v>0.15176715176715178</v>
      </c>
      <c r="G45" s="56" t="str">
        <v/>
      </c>
      <c r="H45" s="3"/>
      <c r="I45" s="3"/>
      <c r="J45" s="3"/>
      <c r="K45" s="3"/>
      <c r="L45" s="3"/>
      <c r="M45" s="3"/>
      <c r="N45" s="3"/>
    </row>
    <row r="46" spans="1:14" ht="18" customHeight="1" x14ac:dyDescent="0.25">
      <c r="A46" s="46">
        <v>4</v>
      </c>
      <c r="B46" s="49">
        <v>126</v>
      </c>
      <c r="C46" s="49">
        <v>54</v>
      </c>
      <c r="D46" s="51">
        <v>0.42857142857142855</v>
      </c>
      <c r="E46" s="53">
        <v>0.89100089100089097</v>
      </c>
      <c r="F46" s="51">
        <v>0.11226611226611227</v>
      </c>
      <c r="G46" s="55" t="str">
        <v/>
      </c>
      <c r="H46" s="3"/>
      <c r="I46" s="3"/>
      <c r="J46" s="3"/>
      <c r="K46" s="3"/>
      <c r="L46" s="3"/>
      <c r="M46" s="3"/>
      <c r="N46" s="3"/>
    </row>
    <row r="47" spans="1:14" ht="18" customHeight="1" x14ac:dyDescent="0.25">
      <c r="A47" s="57">
        <v>5</v>
      </c>
      <c r="B47" s="58">
        <v>81</v>
      </c>
      <c r="C47" s="58">
        <v>18</v>
      </c>
      <c r="D47" s="59">
        <v>0.22222222222222221</v>
      </c>
      <c r="E47" s="60">
        <v>0.46200046200046196</v>
      </c>
      <c r="F47" s="59">
        <v>3.7422037422037424E-2</v>
      </c>
      <c r="G47" s="61" t="str">
        <v>Small sample</v>
      </c>
      <c r="H47" s="3"/>
      <c r="I47" s="3"/>
      <c r="J47" s="3"/>
      <c r="K47" s="3"/>
      <c r="L47" s="3"/>
      <c r="M47" s="3"/>
      <c r="N47" s="3"/>
    </row>
    <row r="48" spans="1:14" ht="18" customHeight="1" x14ac:dyDescent="0.25">
      <c r="A48" s="3"/>
      <c r="B48" s="3"/>
      <c r="C48" s="3"/>
      <c r="D48" s="3"/>
      <c r="E48" s="3"/>
      <c r="F48" s="3"/>
      <c r="G48" s="3"/>
      <c r="H48" s="3"/>
      <c r="I48" s="3"/>
      <c r="J48" s="3"/>
      <c r="K48" s="3"/>
      <c r="L48" s="3"/>
      <c r="M48" s="3"/>
      <c r="N48" s="3"/>
    </row>
    <row r="49" spans="1:14" ht="18" customHeight="1" x14ac:dyDescent="0.25">
      <c r="A49" s="44" t="s">
        <v>5</v>
      </c>
      <c r="B49" s="3"/>
      <c r="C49" s="3"/>
      <c r="D49" s="3"/>
      <c r="E49" s="3"/>
      <c r="F49" s="3"/>
      <c r="G49" s="3"/>
      <c r="H49" s="3"/>
      <c r="I49" s="3"/>
      <c r="J49" s="3"/>
      <c r="K49" s="3"/>
      <c r="L49" s="3"/>
      <c r="M49" s="3"/>
      <c r="N49" s="3"/>
    </row>
    <row r="50" spans="1:14" ht="18" customHeight="1" x14ac:dyDescent="0.25">
      <c r="A50" s="45" t="s">
        <v>171</v>
      </c>
      <c r="B50" s="45" t="s">
        <v>172</v>
      </c>
      <c r="C50" s="45" t="s">
        <v>173</v>
      </c>
      <c r="D50" s="45" t="s">
        <v>174</v>
      </c>
      <c r="E50" s="45" t="s">
        <v>175</v>
      </c>
      <c r="F50" s="45" t="s">
        <v>176</v>
      </c>
      <c r="G50" s="45" t="s">
        <v>382</v>
      </c>
      <c r="H50" s="3"/>
      <c r="I50" s="3"/>
      <c r="J50" s="3"/>
      <c r="K50" s="3"/>
      <c r="L50" s="3"/>
      <c r="M50" s="3"/>
      <c r="N50" s="3"/>
    </row>
    <row r="51" spans="1:14" ht="18" customHeight="1" x14ac:dyDescent="0.25">
      <c r="A51" s="46" t="str" cm="1">
        <f t="array" ref="A51:A55">_xlfn.LET(_xlpm.u,_xlfn.UNIQUE(_xlfn.HSTACK(tbl_Clean[Education],tbl_Clean[Education Sort])),_xlfn.TAKE(_xlfn._xlws.SORT(_xlpm.u,2),,1))</f>
        <v>Partial High School</v>
      </c>
      <c r="B51" s="49" cm="1">
        <f t="array" ref="B51:B55">COUNTIFS(tbl_Clean[Education],_xlfn.ANCHORARRAY(A51))</f>
        <v>76</v>
      </c>
      <c r="C51" s="49" cm="1">
        <f t="array" ref="C51:C55">COUNTIFS(tbl_Clean[Education],_xlfn.ANCHORARRAY(A51),tbl_Clean[Purchased Flag],1)</f>
        <v>20</v>
      </c>
      <c r="D51" s="51" cm="1">
        <f t="array" ref="D51:D55">_xlfn.ANCHORARRAY(C51)/_xlfn.ANCHORARRAY(B51)</f>
        <v>0.26315789473684209</v>
      </c>
      <c r="E51" s="53" cm="1">
        <f t="array" ref="E51:E55">_xlfn.ANCHORARRAY(D51)/Baseline_Rate</f>
        <v>0.54710581026370497</v>
      </c>
      <c r="F51" s="51" cm="1">
        <f t="array" ref="F51:F55">_xlfn.ANCHORARRAY(C51)/Total_Buyers</f>
        <v>4.1580041580041582E-2</v>
      </c>
      <c r="G51" s="55" t="str" cm="1">
        <f t="array" ref="G51:G55">IF(_xlfn.ANCHORARRAY(B51)&lt;100,"Small sample","")</f>
        <v>Small sample</v>
      </c>
      <c r="H51" s="3"/>
      <c r="I51" s="3"/>
      <c r="J51" s="3"/>
      <c r="K51" s="3"/>
      <c r="L51" s="3"/>
      <c r="M51" s="3"/>
      <c r="N51" s="3"/>
    </row>
    <row r="52" spans="1:14" ht="18" customHeight="1" x14ac:dyDescent="0.25">
      <c r="A52" s="47" t="str">
        <v>High School</v>
      </c>
      <c r="B52" s="50">
        <v>179</v>
      </c>
      <c r="C52" s="50">
        <v>79</v>
      </c>
      <c r="D52" s="52">
        <v>0.44134078212290501</v>
      </c>
      <c r="E52" s="54">
        <v>0.91754840358192313</v>
      </c>
      <c r="F52" s="52">
        <v>0.16424116424116425</v>
      </c>
      <c r="G52" s="56" t="str">
        <v/>
      </c>
      <c r="H52" s="3"/>
      <c r="I52" s="3"/>
      <c r="J52" s="3"/>
      <c r="K52" s="3"/>
      <c r="L52" s="3"/>
      <c r="M52" s="3"/>
      <c r="N52" s="3"/>
    </row>
    <row r="53" spans="1:14" ht="18" customHeight="1" x14ac:dyDescent="0.25">
      <c r="A53" s="46" t="str">
        <v>Partial College</v>
      </c>
      <c r="B53" s="49">
        <v>265</v>
      </c>
      <c r="C53" s="49">
        <v>119</v>
      </c>
      <c r="D53" s="51">
        <v>0.44905660377358492</v>
      </c>
      <c r="E53" s="53">
        <v>0.93358961283489594</v>
      </c>
      <c r="F53" s="51">
        <v>0.24740124740124741</v>
      </c>
      <c r="G53" s="55" t="str">
        <v/>
      </c>
      <c r="H53" s="3"/>
      <c r="I53" s="3"/>
      <c r="J53" s="3"/>
      <c r="K53" s="3"/>
      <c r="L53" s="3"/>
      <c r="M53" s="3"/>
      <c r="N53" s="3"/>
    </row>
    <row r="54" spans="1:14" ht="18" customHeight="1" x14ac:dyDescent="0.25">
      <c r="A54" s="47" t="str">
        <v>Bachelors</v>
      </c>
      <c r="B54" s="50">
        <v>306</v>
      </c>
      <c r="C54" s="50">
        <v>169</v>
      </c>
      <c r="D54" s="52">
        <v>0.55228758169934644</v>
      </c>
      <c r="E54" s="54">
        <v>1.1482070305599719</v>
      </c>
      <c r="F54" s="52">
        <v>0.35135135135135137</v>
      </c>
      <c r="G54" s="56" t="str">
        <v/>
      </c>
      <c r="H54" s="3"/>
      <c r="I54" s="3"/>
      <c r="J54" s="3"/>
      <c r="K54" s="3"/>
      <c r="L54" s="3"/>
      <c r="M54" s="3"/>
      <c r="N54" s="3"/>
    </row>
    <row r="55" spans="1:14" ht="18" customHeight="1" x14ac:dyDescent="0.25">
      <c r="A55" s="62" t="str">
        <v>Graduate Degree</v>
      </c>
      <c r="B55" s="63">
        <v>174</v>
      </c>
      <c r="C55" s="63">
        <v>94</v>
      </c>
      <c r="D55" s="64">
        <v>0.54022988505747127</v>
      </c>
      <c r="E55" s="65">
        <v>1.1231390541735369</v>
      </c>
      <c r="F55" s="64">
        <v>0.19542619542619544</v>
      </c>
      <c r="G55" s="66" t="str">
        <v/>
      </c>
      <c r="H55" s="3"/>
      <c r="I55" s="3"/>
      <c r="J55" s="3"/>
      <c r="K55" s="3"/>
      <c r="L55" s="3"/>
      <c r="M55" s="3"/>
      <c r="N55" s="3"/>
    </row>
    <row r="56" spans="1:14" ht="18" customHeight="1" x14ac:dyDescent="0.25">
      <c r="A56" s="3"/>
      <c r="B56" s="3"/>
      <c r="C56" s="3"/>
      <c r="D56" s="3"/>
      <c r="E56" s="3"/>
      <c r="F56" s="3"/>
      <c r="G56" s="3"/>
      <c r="H56" s="3"/>
      <c r="I56" s="3"/>
      <c r="J56" s="3"/>
      <c r="K56" s="3"/>
      <c r="L56" s="3"/>
      <c r="M56" s="3"/>
      <c r="N56" s="3"/>
    </row>
    <row r="57" spans="1:14" ht="18" customHeight="1" x14ac:dyDescent="0.25">
      <c r="A57" s="44" t="s">
        <v>10</v>
      </c>
      <c r="B57" s="3"/>
      <c r="C57" s="3"/>
      <c r="D57" s="3"/>
      <c r="E57" s="3"/>
      <c r="F57" s="3"/>
      <c r="G57" s="3"/>
      <c r="H57" s="3"/>
      <c r="I57" s="3"/>
      <c r="J57" s="3"/>
      <c r="K57" s="3"/>
      <c r="L57" s="3"/>
      <c r="M57" s="3"/>
      <c r="N57" s="3"/>
    </row>
    <row r="58" spans="1:14" ht="18" customHeight="1" x14ac:dyDescent="0.25">
      <c r="A58" s="45" t="s">
        <v>171</v>
      </c>
      <c r="B58" s="45" t="s">
        <v>172</v>
      </c>
      <c r="C58" s="45" t="s">
        <v>173</v>
      </c>
      <c r="D58" s="45" t="s">
        <v>174</v>
      </c>
      <c r="E58" s="45" t="s">
        <v>175</v>
      </c>
      <c r="F58" s="45" t="s">
        <v>176</v>
      </c>
      <c r="G58" s="45" t="s">
        <v>382</v>
      </c>
      <c r="H58" s="3"/>
      <c r="I58" s="3"/>
      <c r="J58" s="3"/>
      <c r="K58" s="3"/>
      <c r="L58" s="3"/>
      <c r="M58" s="3"/>
      <c r="N58" s="3"/>
    </row>
    <row r="59" spans="1:14" ht="18" customHeight="1" x14ac:dyDescent="0.25">
      <c r="A59" s="46" t="str" cm="1">
        <f t="array" ref="A59:A61">_xlfn.LET(_xlpm.s,_xlfn.UNIQUE(tbl_Clean[Region]),_xlfn.SORTBY(_xlpm.s,COUNTIFS(tbl_Clean[Region],_xlpm.s,tbl_Clean[Purchased Flag],1)/COUNTIFS(tbl_Clean[Region],_xlpm.s),-1))</f>
        <v>Pacific</v>
      </c>
      <c r="B59" s="49" cm="1">
        <f t="array" ref="B59:B61">COUNTIFS(tbl_Clean[Region],_xlfn.ANCHORARRAY(A59))</f>
        <v>192</v>
      </c>
      <c r="C59" s="49" cm="1">
        <f t="array" ref="C59:C61">COUNTIFS(tbl_Clean[Region],_xlfn.ANCHORARRAY(A59),tbl_Clean[Purchased Flag],1)</f>
        <v>113</v>
      </c>
      <c r="D59" s="51" cm="1">
        <f t="array" ref="D59:D61">_xlfn.ANCHORARRAY(C59)/_xlfn.ANCHORARRAY(B59)</f>
        <v>0.58854166666666663</v>
      </c>
      <c r="E59" s="53" cm="1">
        <f t="array" ref="E59:E61">_xlfn.ANCHORARRAY(D59)/Baseline_Rate</f>
        <v>1.2235793485793485</v>
      </c>
      <c r="F59" s="51" cm="1">
        <f t="array" ref="F59:F61">_xlfn.ANCHORARRAY(C59)/Total_Buyers</f>
        <v>0.23492723492723494</v>
      </c>
      <c r="G59" s="55" t="str" cm="1">
        <f t="array" ref="G59:G61">IF(_xlfn.ANCHORARRAY(B59)&lt;100,"Small sample","")</f>
        <v/>
      </c>
      <c r="H59" s="3"/>
      <c r="I59" s="3"/>
      <c r="J59" s="3"/>
      <c r="K59" s="3"/>
      <c r="L59" s="3"/>
      <c r="M59" s="3"/>
      <c r="N59" s="3"/>
    </row>
    <row r="60" spans="1:14" ht="18" customHeight="1" x14ac:dyDescent="0.25">
      <c r="A60" s="47" t="str">
        <v>Europe</v>
      </c>
      <c r="B60" s="50">
        <v>300</v>
      </c>
      <c r="C60" s="50">
        <v>148</v>
      </c>
      <c r="D60" s="52">
        <v>0.49333333333333335</v>
      </c>
      <c r="E60" s="54">
        <v>1.0256410256410258</v>
      </c>
      <c r="F60" s="52">
        <v>0.30769230769230771</v>
      </c>
      <c r="G60" s="56" t="str">
        <v/>
      </c>
      <c r="H60" s="3"/>
      <c r="I60" s="3"/>
      <c r="J60" s="3"/>
      <c r="K60" s="3"/>
      <c r="L60" s="3"/>
      <c r="M60" s="3"/>
      <c r="N60" s="3"/>
    </row>
    <row r="61" spans="1:14" ht="18" customHeight="1" x14ac:dyDescent="0.25">
      <c r="A61" s="62" t="str">
        <v>North America</v>
      </c>
      <c r="B61" s="63">
        <v>508</v>
      </c>
      <c r="C61" s="63">
        <v>220</v>
      </c>
      <c r="D61" s="64">
        <v>0.43307086614173229</v>
      </c>
      <c r="E61" s="65">
        <v>0.90035523106389248</v>
      </c>
      <c r="F61" s="64">
        <v>0.45738045738045741</v>
      </c>
      <c r="G61" s="66" t="str">
        <v/>
      </c>
      <c r="H61" s="3"/>
      <c r="I61" s="3"/>
      <c r="J61" s="3"/>
      <c r="K61" s="3"/>
      <c r="L61" s="3"/>
      <c r="M61" s="3"/>
      <c r="N61" s="3"/>
    </row>
    <row r="62" spans="1:14" ht="18" customHeight="1" x14ac:dyDescent="0.25">
      <c r="A62" s="3"/>
      <c r="B62" s="3"/>
      <c r="C62" s="3"/>
      <c r="D62" s="3"/>
      <c r="E62" s="3"/>
      <c r="F62" s="3"/>
      <c r="G62" s="3"/>
      <c r="H62" s="3"/>
      <c r="I62" s="3"/>
      <c r="J62" s="3"/>
      <c r="K62" s="3"/>
      <c r="L62" s="3"/>
      <c r="M62" s="3"/>
      <c r="N62" s="3"/>
    </row>
    <row r="63" spans="1:14" ht="18" customHeight="1" x14ac:dyDescent="0.25">
      <c r="A63" s="44" t="s">
        <v>1</v>
      </c>
      <c r="B63" s="3"/>
      <c r="C63" s="3"/>
      <c r="D63" s="3"/>
      <c r="E63" s="3"/>
      <c r="F63" s="3"/>
      <c r="G63" s="3"/>
      <c r="H63" s="3"/>
      <c r="I63" s="3"/>
      <c r="J63" s="3"/>
      <c r="K63" s="3"/>
      <c r="L63" s="3"/>
      <c r="M63" s="3"/>
      <c r="N63" s="3"/>
    </row>
    <row r="64" spans="1:14" ht="18" customHeight="1" x14ac:dyDescent="0.25">
      <c r="A64" s="45" t="s">
        <v>171</v>
      </c>
      <c r="B64" s="45" t="s">
        <v>172</v>
      </c>
      <c r="C64" s="45" t="s">
        <v>173</v>
      </c>
      <c r="D64" s="45" t="s">
        <v>174</v>
      </c>
      <c r="E64" s="45" t="s">
        <v>175</v>
      </c>
      <c r="F64" s="45" t="s">
        <v>176</v>
      </c>
      <c r="G64" s="45" t="s">
        <v>382</v>
      </c>
      <c r="H64" s="3"/>
      <c r="I64" s="3"/>
      <c r="J64" s="3"/>
      <c r="K64" s="3"/>
      <c r="L64" s="3"/>
      <c r="M64" s="3"/>
      <c r="N64" s="3"/>
    </row>
    <row r="65" spans="1:14" ht="18" customHeight="1" x14ac:dyDescent="0.25">
      <c r="A65" s="46" t="str" cm="1">
        <f t="array" ref="A65:A66">_xlfn.LET(_xlpm.s,_xlfn.UNIQUE(tbl_Clean[Marital Status]),_xlfn.SORTBY(_xlpm.s,COUNTIFS(tbl_Clean[Marital Status],_xlpm.s,tbl_Clean[Purchased Flag],1)/COUNTIFS(tbl_Clean[Marital Status],_xlpm.s),-1))</f>
        <v>Single</v>
      </c>
      <c r="B65" s="49" cm="1">
        <f t="array" ref="B65:B66">COUNTIFS(tbl_Clean[Marital Status],_xlfn.ANCHORARRAY(A65))</f>
        <v>462</v>
      </c>
      <c r="C65" s="49" cm="1">
        <f t="array" ref="C65:C66">COUNTIFS(tbl_Clean[Marital Status],_xlfn.ANCHORARRAY(A65),tbl_Clean[Purchased Flag],1)</f>
        <v>250</v>
      </c>
      <c r="D65" s="51" cm="1">
        <f t="array" ref="D65:D66">_xlfn.ANCHORARRAY(C65)/_xlfn.ANCHORARRAY(B65)</f>
        <v>0.54112554112554112</v>
      </c>
      <c r="E65" s="53" cm="1">
        <f t="array" ref="E65:E66">_xlfn.ANCHORARRAY(D65)/Baseline_Rate</f>
        <v>1.1250011250011249</v>
      </c>
      <c r="F65" s="51" cm="1">
        <f t="array" ref="F65:F66">_xlfn.ANCHORARRAY(C65)/Total_Buyers</f>
        <v>0.51975051975051978</v>
      </c>
      <c r="G65" s="55" t="str" cm="1">
        <f t="array" ref="G65:G66">IF(_xlfn.ANCHORARRAY(B65)&lt;100,"Small sample","")</f>
        <v/>
      </c>
      <c r="H65" s="3"/>
      <c r="I65" s="3"/>
      <c r="J65" s="3"/>
      <c r="K65" s="3"/>
      <c r="L65" s="3"/>
      <c r="M65" s="3"/>
      <c r="N65" s="3"/>
    </row>
    <row r="66" spans="1:14" ht="18" customHeight="1" x14ac:dyDescent="0.25">
      <c r="A66" s="57" t="str">
        <v>Married</v>
      </c>
      <c r="B66" s="58">
        <v>538</v>
      </c>
      <c r="C66" s="58">
        <v>231</v>
      </c>
      <c r="D66" s="59">
        <v>0.42936802973977695</v>
      </c>
      <c r="E66" s="60">
        <v>0.89265702648602274</v>
      </c>
      <c r="F66" s="59">
        <v>0.48024948024948028</v>
      </c>
      <c r="G66" s="61" t="str">
        <v/>
      </c>
      <c r="H66" s="3"/>
      <c r="I66" s="3"/>
      <c r="J66" s="3"/>
      <c r="K66" s="3"/>
      <c r="L66" s="3"/>
      <c r="M66" s="3"/>
      <c r="N66" s="3"/>
    </row>
    <row r="67" spans="1:14" ht="18" customHeight="1" x14ac:dyDescent="0.25">
      <c r="A67" s="3"/>
      <c r="B67" s="3"/>
      <c r="C67" s="3"/>
      <c r="D67" s="3"/>
      <c r="E67" s="3"/>
      <c r="F67" s="3"/>
      <c r="G67" s="3"/>
      <c r="H67" s="3"/>
      <c r="I67" s="3"/>
      <c r="J67" s="3"/>
      <c r="K67" s="3"/>
      <c r="L67" s="3"/>
      <c r="M67" s="3"/>
      <c r="N67" s="3"/>
    </row>
    <row r="68" spans="1:14" ht="18" customHeight="1" x14ac:dyDescent="0.25">
      <c r="A68" s="44" t="s">
        <v>117</v>
      </c>
      <c r="B68" s="3"/>
      <c r="C68" s="3"/>
      <c r="D68" s="3"/>
      <c r="E68" s="3"/>
      <c r="F68" s="3"/>
      <c r="G68" s="3"/>
      <c r="H68" s="3"/>
      <c r="I68" s="3"/>
      <c r="J68" s="3"/>
      <c r="K68" s="3"/>
      <c r="L68" s="3"/>
      <c r="M68" s="3"/>
      <c r="N68" s="3"/>
    </row>
    <row r="69" spans="1:14" ht="18" customHeight="1" x14ac:dyDescent="0.25">
      <c r="A69" s="45" t="s">
        <v>171</v>
      </c>
      <c r="B69" s="45" t="s">
        <v>172</v>
      </c>
      <c r="C69" s="45" t="s">
        <v>173</v>
      </c>
      <c r="D69" s="45" t="s">
        <v>174</v>
      </c>
      <c r="E69" s="45" t="s">
        <v>175</v>
      </c>
      <c r="F69" s="45" t="s">
        <v>176</v>
      </c>
      <c r="G69" s="45" t="s">
        <v>382</v>
      </c>
      <c r="H69" s="3"/>
      <c r="I69" s="3"/>
      <c r="J69" s="3"/>
      <c r="K69" s="3"/>
      <c r="L69" s="3"/>
      <c r="M69" s="3"/>
      <c r="N69" s="3"/>
    </row>
    <row r="70" spans="1:14" ht="18" customHeight="1" x14ac:dyDescent="0.25">
      <c r="A70" s="46" t="str" cm="1">
        <f t="array" ref="A70:A73">_xlfn.LET(_xlpm.u,_xlfn.UNIQUE(_xlfn.HSTACK(tbl_Clean[Income Band],tbl_Clean[Income Band Sort])),_xlfn.TAKE(_xlfn._xlws.SORT(_xlpm.u,2),,1))</f>
        <v>$10k-30k</v>
      </c>
      <c r="B70" s="49" cm="1">
        <f t="array" ref="B70:B73">COUNTIFS(tbl_Clean[Income Band],_xlfn.ANCHORARRAY(A70))</f>
        <v>282</v>
      </c>
      <c r="C70" s="49" cm="1">
        <f t="array" ref="C70:C73">COUNTIFS(tbl_Clean[Income Band],_xlfn.ANCHORARRAY(A70),tbl_Clean[Purchased Flag],1)</f>
        <v>113</v>
      </c>
      <c r="D70" s="51" cm="1">
        <f t="array" ref="D70:D73">_xlfn.ANCHORARRAY(C70)/_xlfn.ANCHORARRAY(B70)</f>
        <v>0.40070921985815605</v>
      </c>
      <c r="E70" s="53" cm="1">
        <f t="array" ref="E70:E73">_xlfn.ANCHORARRAY(D70)/Baseline_Rate</f>
        <v>0.83307530116040762</v>
      </c>
      <c r="F70" s="51" cm="1">
        <f t="array" ref="F70:F73">_xlfn.ANCHORARRAY(C70)/Total_Buyers</f>
        <v>0.23492723492723494</v>
      </c>
      <c r="G70" s="55" t="str" cm="1">
        <f t="array" ref="G70:G73">IF(_xlfn.ANCHORARRAY(B70)&lt;100,"Small sample","")</f>
        <v/>
      </c>
      <c r="H70" s="3"/>
      <c r="I70" s="3"/>
      <c r="J70" s="3"/>
      <c r="K70" s="3"/>
      <c r="L70" s="3"/>
      <c r="M70" s="3"/>
      <c r="N70" s="3"/>
    </row>
    <row r="71" spans="1:14" ht="18" customHeight="1" x14ac:dyDescent="0.25">
      <c r="A71" s="47" t="str">
        <v>$40k-60k</v>
      </c>
      <c r="B71" s="50">
        <v>359</v>
      </c>
      <c r="C71" s="50">
        <v>191</v>
      </c>
      <c r="D71" s="52">
        <v>0.53203342618384397</v>
      </c>
      <c r="E71" s="54">
        <v>1.1060985991348109</v>
      </c>
      <c r="F71" s="52">
        <v>0.39708939708939711</v>
      </c>
      <c r="G71" s="56" t="str">
        <v/>
      </c>
      <c r="H71" s="3"/>
      <c r="I71" s="3"/>
      <c r="J71" s="3"/>
      <c r="K71" s="3"/>
      <c r="L71" s="3"/>
      <c r="M71" s="3"/>
      <c r="N71" s="3"/>
    </row>
    <row r="72" spans="1:14" ht="18" customHeight="1" x14ac:dyDescent="0.25">
      <c r="A72" s="46" t="str">
        <v>$70k-90k</v>
      </c>
      <c r="B72" s="49">
        <v>254</v>
      </c>
      <c r="C72" s="49">
        <v>126</v>
      </c>
      <c r="D72" s="51">
        <v>0.49606299212598426</v>
      </c>
      <c r="E72" s="53">
        <v>1.0313159919459132</v>
      </c>
      <c r="F72" s="51">
        <v>0.26195426195426197</v>
      </c>
      <c r="G72" s="55" t="str">
        <v/>
      </c>
      <c r="H72" s="3"/>
      <c r="I72" s="3"/>
      <c r="J72" s="3"/>
      <c r="K72" s="3"/>
      <c r="L72" s="3"/>
      <c r="M72" s="3"/>
      <c r="N72" s="3"/>
    </row>
    <row r="73" spans="1:14" ht="18" customHeight="1" x14ac:dyDescent="0.25">
      <c r="A73" s="57" t="str">
        <v>$100k+</v>
      </c>
      <c r="B73" s="58">
        <v>105</v>
      </c>
      <c r="C73" s="58">
        <v>51</v>
      </c>
      <c r="D73" s="59">
        <v>0.48571428571428571</v>
      </c>
      <c r="E73" s="60">
        <v>1.0098010098010097</v>
      </c>
      <c r="F73" s="59">
        <v>0.10602910602910603</v>
      </c>
      <c r="G73" s="61" t="str">
        <v/>
      </c>
      <c r="H73" s="3"/>
      <c r="I73" s="3"/>
      <c r="J73" s="3"/>
      <c r="K73" s="3"/>
      <c r="L73" s="3"/>
      <c r="M73" s="3"/>
      <c r="N73" s="3"/>
    </row>
    <row r="74" spans="1:14" ht="18" customHeight="1" x14ac:dyDescent="0.25">
      <c r="A74" s="3"/>
      <c r="B74" s="3"/>
      <c r="C74" s="3"/>
      <c r="D74" s="3"/>
      <c r="E74" s="3"/>
      <c r="F74" s="3"/>
      <c r="G74" s="3"/>
      <c r="H74" s="3"/>
      <c r="I74" s="3"/>
      <c r="J74" s="3"/>
      <c r="K74" s="3"/>
      <c r="L74" s="3"/>
      <c r="M74" s="3"/>
      <c r="N74" s="3"/>
    </row>
    <row r="75" spans="1:14" ht="18" customHeight="1" x14ac:dyDescent="0.25">
      <c r="A75" s="44" t="s">
        <v>6</v>
      </c>
      <c r="B75" s="3"/>
      <c r="C75" s="3"/>
      <c r="D75" s="3"/>
      <c r="E75" s="3"/>
      <c r="F75" s="3"/>
      <c r="G75" s="3"/>
      <c r="H75" s="3"/>
      <c r="I75" s="3"/>
      <c r="J75" s="3"/>
      <c r="K75" s="3"/>
      <c r="L75" s="3"/>
      <c r="M75" s="3"/>
      <c r="N75" s="3"/>
    </row>
    <row r="76" spans="1:14" ht="18" customHeight="1" x14ac:dyDescent="0.25">
      <c r="A76" s="45" t="s">
        <v>171</v>
      </c>
      <c r="B76" s="45" t="s">
        <v>172</v>
      </c>
      <c r="C76" s="45" t="s">
        <v>173</v>
      </c>
      <c r="D76" s="45" t="s">
        <v>174</v>
      </c>
      <c r="E76" s="45" t="s">
        <v>175</v>
      </c>
      <c r="F76" s="45" t="s">
        <v>176</v>
      </c>
      <c r="G76" s="45" t="s">
        <v>382</v>
      </c>
      <c r="H76" s="3"/>
      <c r="I76" s="3"/>
      <c r="J76" s="3"/>
      <c r="K76" s="3"/>
      <c r="L76" s="3"/>
      <c r="M76" s="3"/>
      <c r="N76" s="3"/>
    </row>
    <row r="77" spans="1:14" ht="18" customHeight="1" x14ac:dyDescent="0.25">
      <c r="A77" s="46" t="str" cm="1">
        <f t="array" ref="A77:A81">_xlfn.LET(_xlpm.s,_xlfn.UNIQUE(tbl_Clean[Occupation]),_xlfn.SORTBY(_xlpm.s,COUNTIFS(tbl_Clean[Occupation],_xlpm.s,tbl_Clean[Purchased Flag],1)/COUNTIFS(tbl_Clean[Occupation],_xlpm.s),-1))</f>
        <v>Professional</v>
      </c>
      <c r="B77" s="49" cm="1">
        <f t="array" ref="B77:B81">COUNTIFS(tbl_Clean[Occupation],_xlfn.ANCHORARRAY(A77))</f>
        <v>276</v>
      </c>
      <c r="C77" s="49" cm="1">
        <f t="array" ref="C77:C81">COUNTIFS(tbl_Clean[Occupation],_xlfn.ANCHORARRAY(A77),tbl_Clean[Purchased Flag],1)</f>
        <v>150</v>
      </c>
      <c r="D77" s="51" cm="1">
        <f t="array" ref="D77:D81">_xlfn.ANCHORARRAY(C77)/_xlfn.ANCHORARRAY(B77)</f>
        <v>0.54347826086956519</v>
      </c>
      <c r="E77" s="53" cm="1">
        <f t="array" ref="E77:E81">_xlfn.ANCHORARRAY(D77)/Baseline_Rate</f>
        <v>1.1298924342402603</v>
      </c>
      <c r="F77" s="51" cm="1">
        <f t="array" ref="F77:F81">_xlfn.ANCHORARRAY(C77)/Total_Buyers</f>
        <v>0.31185031185031187</v>
      </c>
      <c r="G77" s="55" t="str" cm="1">
        <f t="array" ref="G77:G81">IF(_xlfn.ANCHORARRAY(B77)&lt;100,"Small sample","")</f>
        <v/>
      </c>
      <c r="H77" s="3"/>
      <c r="I77" s="3"/>
      <c r="J77" s="3"/>
      <c r="K77" s="3"/>
      <c r="L77" s="3"/>
      <c r="M77" s="3"/>
      <c r="N77" s="3"/>
    </row>
    <row r="78" spans="1:14" ht="18" customHeight="1" x14ac:dyDescent="0.25">
      <c r="A78" s="47" t="str">
        <v>Clerical</v>
      </c>
      <c r="B78" s="50">
        <v>177</v>
      </c>
      <c r="C78" s="50">
        <v>88</v>
      </c>
      <c r="D78" s="52">
        <v>0.49717514124293788</v>
      </c>
      <c r="E78" s="54">
        <v>1.0336281522722202</v>
      </c>
      <c r="F78" s="52">
        <v>0.18295218295218296</v>
      </c>
      <c r="G78" s="56" t="str">
        <v/>
      </c>
      <c r="H78" s="3"/>
      <c r="I78" s="3"/>
      <c r="J78" s="3"/>
      <c r="K78" s="3"/>
      <c r="L78" s="3"/>
      <c r="M78" s="3"/>
      <c r="N78" s="3"/>
    </row>
    <row r="79" spans="1:14" ht="18" customHeight="1" x14ac:dyDescent="0.25">
      <c r="A79" s="46" t="str">
        <v>Manual</v>
      </c>
      <c r="B79" s="49">
        <v>119</v>
      </c>
      <c r="C79" s="49">
        <v>55</v>
      </c>
      <c r="D79" s="51">
        <v>0.46218487394957986</v>
      </c>
      <c r="E79" s="53">
        <v>0.96088331382449033</v>
      </c>
      <c r="F79" s="51">
        <v>0.11434511434511435</v>
      </c>
      <c r="G79" s="55" t="str">
        <v/>
      </c>
      <c r="H79" s="3"/>
      <c r="I79" s="3"/>
      <c r="J79" s="3"/>
      <c r="K79" s="3"/>
      <c r="L79" s="3"/>
      <c r="M79" s="3"/>
      <c r="N79" s="3"/>
    </row>
    <row r="80" spans="1:14" ht="18" customHeight="1" x14ac:dyDescent="0.25">
      <c r="A80" s="47" t="str">
        <v>Skilled Manual</v>
      </c>
      <c r="B80" s="50">
        <v>255</v>
      </c>
      <c r="C80" s="50">
        <v>115</v>
      </c>
      <c r="D80" s="52">
        <v>0.45098039215686275</v>
      </c>
      <c r="E80" s="54">
        <v>0.93758917288329058</v>
      </c>
      <c r="F80" s="52">
        <v>0.2390852390852391</v>
      </c>
      <c r="G80" s="56" t="str">
        <v/>
      </c>
      <c r="H80" s="3"/>
      <c r="I80" s="3"/>
      <c r="J80" s="3"/>
      <c r="K80" s="3"/>
      <c r="L80" s="3"/>
      <c r="M80" s="3"/>
      <c r="N80" s="3"/>
    </row>
    <row r="81" spans="1:14" ht="18" customHeight="1" x14ac:dyDescent="0.25">
      <c r="A81" s="62" t="str">
        <v>Management</v>
      </c>
      <c r="B81" s="63">
        <v>173</v>
      </c>
      <c r="C81" s="63">
        <v>73</v>
      </c>
      <c r="D81" s="64">
        <v>0.42196531791907516</v>
      </c>
      <c r="E81" s="65">
        <v>0.87726677322053048</v>
      </c>
      <c r="F81" s="64">
        <v>0.15176715176715178</v>
      </c>
      <c r="G81" s="66" t="str">
        <v/>
      </c>
      <c r="H81" s="3"/>
      <c r="I81" s="3"/>
      <c r="J81" s="3"/>
      <c r="K81" s="3"/>
      <c r="L81" s="3"/>
      <c r="M81" s="3"/>
      <c r="N81" s="3"/>
    </row>
    <row r="82" spans="1:14" ht="18" customHeight="1" x14ac:dyDescent="0.25">
      <c r="A82" s="3"/>
      <c r="B82" s="3"/>
      <c r="C82" s="3"/>
      <c r="D82" s="3"/>
      <c r="E82" s="3"/>
      <c r="F82" s="3"/>
      <c r="G82" s="3"/>
      <c r="H82" s="3"/>
      <c r="I82" s="3"/>
      <c r="J82" s="3"/>
      <c r="K82" s="3"/>
      <c r="L82" s="3"/>
      <c r="M82" s="3"/>
      <c r="N82" s="3"/>
    </row>
    <row r="83" spans="1:14" ht="18" customHeight="1" x14ac:dyDescent="0.25">
      <c r="A83" s="44" t="s">
        <v>7</v>
      </c>
      <c r="B83" s="3"/>
      <c r="C83" s="3"/>
      <c r="D83" s="3"/>
      <c r="E83" s="3"/>
      <c r="F83" s="3"/>
      <c r="G83" s="3"/>
      <c r="H83" s="3"/>
      <c r="I83" s="3"/>
      <c r="J83" s="3"/>
      <c r="K83" s="3"/>
      <c r="L83" s="3"/>
      <c r="M83" s="3"/>
      <c r="N83" s="3"/>
    </row>
    <row r="84" spans="1:14" ht="18" customHeight="1" x14ac:dyDescent="0.25">
      <c r="A84" s="45" t="s">
        <v>171</v>
      </c>
      <c r="B84" s="45" t="s">
        <v>172</v>
      </c>
      <c r="C84" s="45" t="s">
        <v>173</v>
      </c>
      <c r="D84" s="45" t="s">
        <v>174</v>
      </c>
      <c r="E84" s="45" t="s">
        <v>175</v>
      </c>
      <c r="F84" s="45" t="s">
        <v>176</v>
      </c>
      <c r="G84" s="45" t="s">
        <v>382</v>
      </c>
      <c r="H84" s="3"/>
      <c r="I84" s="3"/>
      <c r="J84" s="3"/>
      <c r="K84" s="3"/>
      <c r="L84" s="3"/>
      <c r="M84" s="3"/>
      <c r="N84" s="3"/>
    </row>
    <row r="85" spans="1:14" ht="18" customHeight="1" x14ac:dyDescent="0.25">
      <c r="A85" s="46" t="str" cm="1">
        <f t="array" ref="A85:A86">_xlfn.LET(_xlpm.s,_xlfn.UNIQUE(tbl_Clean[Home Owner]),_xlfn.SORTBY(_xlpm.s,COUNTIFS(tbl_Clean[Home Owner],_xlpm.s,tbl_Clean[Purchased Flag],1)/COUNTIFS(tbl_Clean[Home Owner],_xlpm.s),-1))</f>
        <v>No</v>
      </c>
      <c r="B85" s="49" cm="1">
        <f t="array" ref="B85:B86">COUNTIFS(tbl_Clean[Home Owner],_xlfn.ANCHORARRAY(A85))</f>
        <v>317</v>
      </c>
      <c r="C85" s="49" cm="1">
        <f t="array" ref="C85:C86">COUNTIFS(tbl_Clean[Home Owner],_xlfn.ANCHORARRAY(A85),tbl_Clean[Purchased Flag],1)</f>
        <v>156</v>
      </c>
      <c r="D85" s="51" cm="1">
        <f t="array" ref="D85:D86">_xlfn.ANCHORARRAY(C85)/_xlfn.ANCHORARRAY(B85)</f>
        <v>0.49211356466876971</v>
      </c>
      <c r="E85" s="53" cm="1">
        <f t="array" ref="E85:E86">_xlfn.ANCHORARRAY(D85)/Baseline_Rate</f>
        <v>1.0231051240514963</v>
      </c>
      <c r="F85" s="51" cm="1">
        <f t="array" ref="F85:F86">_xlfn.ANCHORARRAY(C85)/Total_Buyers</f>
        <v>0.32432432432432434</v>
      </c>
      <c r="G85" s="55" t="str" cm="1">
        <f t="array" ref="G85:G86">IF(_xlfn.ANCHORARRAY(B85)&lt;100,"Small sample","")</f>
        <v/>
      </c>
      <c r="H85" s="3"/>
      <c r="I85" s="3"/>
      <c r="J85" s="3"/>
      <c r="K85" s="3"/>
      <c r="L85" s="3"/>
      <c r="M85" s="3"/>
      <c r="N85" s="3"/>
    </row>
    <row r="86" spans="1:14" ht="18" customHeight="1" x14ac:dyDescent="0.25">
      <c r="A86" s="57" t="str">
        <v>Yes</v>
      </c>
      <c r="B86" s="58">
        <v>683</v>
      </c>
      <c r="C86" s="58">
        <v>325</v>
      </c>
      <c r="D86" s="59">
        <v>0.47584187408491946</v>
      </c>
      <c r="E86" s="60">
        <v>0.98927624549879312</v>
      </c>
      <c r="F86" s="59">
        <v>0.67567567567567566</v>
      </c>
      <c r="G86" s="61" t="str">
        <v/>
      </c>
      <c r="H86" s="3"/>
      <c r="I86" s="3"/>
      <c r="J86" s="3"/>
      <c r="K86" s="3"/>
      <c r="L86" s="3"/>
      <c r="M86" s="3"/>
      <c r="N86" s="3"/>
    </row>
    <row r="87" spans="1:14" ht="18" customHeight="1" x14ac:dyDescent="0.25">
      <c r="A87" s="3"/>
      <c r="B87" s="3"/>
      <c r="C87" s="3"/>
      <c r="D87" s="3"/>
      <c r="E87" s="3"/>
      <c r="F87" s="3"/>
      <c r="G87" s="3"/>
      <c r="H87" s="3"/>
      <c r="I87" s="3"/>
      <c r="J87" s="3"/>
      <c r="K87" s="3"/>
      <c r="L87" s="3"/>
      <c r="M87" s="3"/>
      <c r="N87" s="3"/>
    </row>
    <row r="88" spans="1:14" ht="18" customHeight="1" x14ac:dyDescent="0.25">
      <c r="A88" s="44" t="s">
        <v>2</v>
      </c>
      <c r="B88" s="3"/>
      <c r="C88" s="3"/>
      <c r="D88" s="3"/>
      <c r="E88" s="3"/>
      <c r="F88" s="3"/>
      <c r="G88" s="3"/>
      <c r="H88" s="3"/>
      <c r="I88" s="3"/>
      <c r="J88" s="3"/>
      <c r="K88" s="3"/>
      <c r="L88" s="3"/>
      <c r="M88" s="3"/>
      <c r="N88" s="3"/>
    </row>
    <row r="89" spans="1:14" ht="18" customHeight="1" x14ac:dyDescent="0.25">
      <c r="A89" s="45" t="s">
        <v>171</v>
      </c>
      <c r="B89" s="45" t="s">
        <v>172</v>
      </c>
      <c r="C89" s="45" t="s">
        <v>173</v>
      </c>
      <c r="D89" s="45" t="s">
        <v>174</v>
      </c>
      <c r="E89" s="45" t="s">
        <v>175</v>
      </c>
      <c r="F89" s="45" t="s">
        <v>176</v>
      </c>
      <c r="G89" s="45" t="s">
        <v>382</v>
      </c>
      <c r="H89" s="3"/>
      <c r="I89" s="3"/>
      <c r="J89" s="3"/>
      <c r="K89" s="3"/>
      <c r="L89" s="3"/>
      <c r="M89" s="3"/>
      <c r="N89" s="3"/>
    </row>
    <row r="90" spans="1:14" ht="18" customHeight="1" x14ac:dyDescent="0.25">
      <c r="A90" s="46" t="str" cm="1">
        <f t="array" ref="A90:A91">_xlfn.LET(_xlpm.s,_xlfn.UNIQUE(tbl_Clean[Gender]),_xlfn.SORTBY(_xlpm.s,COUNTIFS(tbl_Clean[Gender],_xlpm.s,tbl_Clean[Purchased Flag],1)/COUNTIFS(tbl_Clean[Gender],_xlpm.s),-1))</f>
        <v>Female</v>
      </c>
      <c r="B90" s="49" cm="1">
        <f t="array" ref="B90:B91">COUNTIFS(tbl_Clean[Gender],_xlfn.ANCHORARRAY(A90))</f>
        <v>489</v>
      </c>
      <c r="C90" s="49" cm="1">
        <f t="array" ref="C90:C91">COUNTIFS(tbl_Clean[Gender],_xlfn.ANCHORARRAY(A90),tbl_Clean[Purchased Flag],1)</f>
        <v>239</v>
      </c>
      <c r="D90" s="51" cm="1">
        <f t="array" ref="D90:D91">_xlfn.ANCHORARRAY(C90)/_xlfn.ANCHORARRAY(B90)</f>
        <v>0.4887525562372188</v>
      </c>
      <c r="E90" s="53" cm="1">
        <f t="array" ref="E90:E91">_xlfn.ANCHORARRAY(D90)/Baseline_Rate</f>
        <v>1.0161175805347584</v>
      </c>
      <c r="F90" s="51" cm="1">
        <f t="array" ref="F90:F91">_xlfn.ANCHORARRAY(C90)/Total_Buyers</f>
        <v>0.49688149688149691</v>
      </c>
      <c r="G90" s="55" t="str" cm="1">
        <f t="array" ref="G90:G91">IF(_xlfn.ANCHORARRAY(B90)&lt;100,"Small sample","")</f>
        <v/>
      </c>
      <c r="H90" s="3"/>
      <c r="I90" s="3"/>
      <c r="J90" s="3"/>
      <c r="K90" s="3"/>
      <c r="L90" s="3"/>
      <c r="M90" s="3"/>
      <c r="N90" s="3"/>
    </row>
    <row r="91" spans="1:14" ht="18" customHeight="1" x14ac:dyDescent="0.25">
      <c r="A91" s="57" t="str">
        <v>Male</v>
      </c>
      <c r="B91" s="58">
        <v>511</v>
      </c>
      <c r="C91" s="58">
        <v>242</v>
      </c>
      <c r="D91" s="59">
        <v>0.47358121330724068</v>
      </c>
      <c r="E91" s="60">
        <v>0.98457632704208042</v>
      </c>
      <c r="F91" s="59">
        <v>0.50311850311850315</v>
      </c>
      <c r="G91" s="61" t="str">
        <v/>
      </c>
      <c r="H91" s="3"/>
      <c r="I91" s="3"/>
      <c r="J91" s="3"/>
      <c r="K91" s="3"/>
      <c r="L91" s="3"/>
      <c r="M91" s="3"/>
      <c r="N91" s="3"/>
    </row>
  </sheetData>
  <conditionalFormatting sqref="D13:D14">
    <cfRule type="dataBar" priority="1">
      <dataBar>
        <cfvo type="num" val="0"/>
        <cfvo type="num" val="1"/>
        <color rgb="FF8EA9DB"/>
      </dataBar>
      <extLst>
        <ext xmlns:x14="http://schemas.microsoft.com/office/spreadsheetml/2009/9/main" uri="{B025F937-C7B1-47D3-B67F-A62EFF666E3E}">
          <x14:id>{AFC3401B-23F9-44B5-AC6F-92285BB91114}</x14:id>
        </ext>
      </extLst>
    </cfRule>
  </conditionalFormatting>
  <conditionalFormatting sqref="D18:D22">
    <cfRule type="dataBar" priority="3">
      <dataBar>
        <cfvo type="num" val="0"/>
        <cfvo type="num" val="1"/>
        <color rgb="FF8EA9DB"/>
      </dataBar>
      <extLst>
        <ext xmlns:x14="http://schemas.microsoft.com/office/spreadsheetml/2009/9/main" uri="{B025F937-C7B1-47D3-B67F-A62EFF666E3E}">
          <x14:id>{D914258C-D449-4CD8-81A1-BA7FAC787BD8}</x14:id>
        </ext>
      </extLst>
    </cfRule>
  </conditionalFormatting>
  <conditionalFormatting sqref="D26:D30">
    <cfRule type="dataBar" priority="5">
      <dataBar>
        <cfvo type="num" val="0"/>
        <cfvo type="num" val="1"/>
        <color rgb="FF8EA9DB"/>
      </dataBar>
      <extLst>
        <ext xmlns:x14="http://schemas.microsoft.com/office/spreadsheetml/2009/9/main" uri="{B025F937-C7B1-47D3-B67F-A62EFF666E3E}">
          <x14:id>{3D2ED714-39DB-4F97-BD45-E9EC16D0157A}</x14:id>
        </ext>
      </extLst>
    </cfRule>
  </conditionalFormatting>
  <conditionalFormatting sqref="D34:D38">
    <cfRule type="dataBar" priority="7">
      <dataBar>
        <cfvo type="num" val="0"/>
        <cfvo type="num" val="1"/>
        <color rgb="FF8EA9DB"/>
      </dataBar>
      <extLst>
        <ext xmlns:x14="http://schemas.microsoft.com/office/spreadsheetml/2009/9/main" uri="{B025F937-C7B1-47D3-B67F-A62EFF666E3E}">
          <x14:id>{5DB00DE3-D526-4D77-9DD7-E98245159D8D}</x14:id>
        </ext>
      </extLst>
    </cfRule>
  </conditionalFormatting>
  <conditionalFormatting sqref="D42:D47">
    <cfRule type="dataBar" priority="9">
      <dataBar>
        <cfvo type="num" val="0"/>
        <cfvo type="num" val="1"/>
        <color rgb="FF8EA9DB"/>
      </dataBar>
      <extLst>
        <ext xmlns:x14="http://schemas.microsoft.com/office/spreadsheetml/2009/9/main" uri="{B025F937-C7B1-47D3-B67F-A62EFF666E3E}">
          <x14:id>{DB58FE63-0D6A-4745-A0AE-A05A1DC8127F}</x14:id>
        </ext>
      </extLst>
    </cfRule>
  </conditionalFormatting>
  <conditionalFormatting sqref="D51:D55">
    <cfRule type="dataBar" priority="11">
      <dataBar>
        <cfvo type="num" val="0"/>
        <cfvo type="num" val="1"/>
        <color rgb="FF8EA9DB"/>
      </dataBar>
      <extLst>
        <ext xmlns:x14="http://schemas.microsoft.com/office/spreadsheetml/2009/9/main" uri="{B025F937-C7B1-47D3-B67F-A62EFF666E3E}">
          <x14:id>{9F4A8940-A7B1-4F12-B03A-DDC3DD541C03}</x14:id>
        </ext>
      </extLst>
    </cfRule>
  </conditionalFormatting>
  <conditionalFormatting sqref="D59:D61">
    <cfRule type="dataBar" priority="13">
      <dataBar>
        <cfvo type="num" val="0"/>
        <cfvo type="num" val="1"/>
        <color rgb="FF8EA9DB"/>
      </dataBar>
      <extLst>
        <ext xmlns:x14="http://schemas.microsoft.com/office/spreadsheetml/2009/9/main" uri="{B025F937-C7B1-47D3-B67F-A62EFF666E3E}">
          <x14:id>{FEEECB3A-D71E-465C-8205-7348A0BEC856}</x14:id>
        </ext>
      </extLst>
    </cfRule>
  </conditionalFormatting>
  <conditionalFormatting sqref="D65:D66">
    <cfRule type="dataBar" priority="15">
      <dataBar>
        <cfvo type="num" val="0"/>
        <cfvo type="num" val="1"/>
        <color rgb="FF8EA9DB"/>
      </dataBar>
      <extLst>
        <ext xmlns:x14="http://schemas.microsoft.com/office/spreadsheetml/2009/9/main" uri="{B025F937-C7B1-47D3-B67F-A62EFF666E3E}">
          <x14:id>{8622399A-DE28-4254-B5C5-88F2D6B29DF7}</x14:id>
        </ext>
      </extLst>
    </cfRule>
  </conditionalFormatting>
  <conditionalFormatting sqref="D70:D73">
    <cfRule type="dataBar" priority="17">
      <dataBar>
        <cfvo type="num" val="0"/>
        <cfvo type="num" val="1"/>
        <color rgb="FF8EA9DB"/>
      </dataBar>
      <extLst>
        <ext xmlns:x14="http://schemas.microsoft.com/office/spreadsheetml/2009/9/main" uri="{B025F937-C7B1-47D3-B67F-A62EFF666E3E}">
          <x14:id>{275B9FEC-4425-4C5E-92C5-5A0B0FB1C94A}</x14:id>
        </ext>
      </extLst>
    </cfRule>
  </conditionalFormatting>
  <conditionalFormatting sqref="D77:D81">
    <cfRule type="dataBar" priority="19">
      <dataBar>
        <cfvo type="num" val="0"/>
        <cfvo type="num" val="1"/>
        <color rgb="FF8EA9DB"/>
      </dataBar>
      <extLst>
        <ext xmlns:x14="http://schemas.microsoft.com/office/spreadsheetml/2009/9/main" uri="{B025F937-C7B1-47D3-B67F-A62EFF666E3E}">
          <x14:id>{8C5D9D8F-D4D1-4507-9186-521EDFE9C2C0}</x14:id>
        </ext>
      </extLst>
    </cfRule>
  </conditionalFormatting>
  <conditionalFormatting sqref="D85:D86">
    <cfRule type="dataBar" priority="21">
      <dataBar>
        <cfvo type="num" val="0"/>
        <cfvo type="num" val="1"/>
        <color rgb="FF8EA9DB"/>
      </dataBar>
      <extLst>
        <ext xmlns:x14="http://schemas.microsoft.com/office/spreadsheetml/2009/9/main" uri="{B025F937-C7B1-47D3-B67F-A62EFF666E3E}">
          <x14:id>{48001106-81C3-4792-A80D-EF2288C7068D}</x14:id>
        </ext>
      </extLst>
    </cfRule>
  </conditionalFormatting>
  <conditionalFormatting sqref="D90:D91">
    <cfRule type="dataBar" priority="23">
      <dataBar>
        <cfvo type="num" val="0"/>
        <cfvo type="num" val="1"/>
        <color rgb="FF8EA9DB"/>
      </dataBar>
      <extLst>
        <ext xmlns:x14="http://schemas.microsoft.com/office/spreadsheetml/2009/9/main" uri="{B025F937-C7B1-47D3-B67F-A62EFF666E3E}">
          <x14:id>{3F431F8F-E4E6-4C7C-9775-CAAE21FCFC4F}</x14:id>
        </ext>
      </extLst>
    </cfRule>
  </conditionalFormatting>
  <conditionalFormatting sqref="E13:E14">
    <cfRule type="colorScale" priority="2">
      <colorScale>
        <cfvo type="min"/>
        <cfvo type="num" val="1"/>
        <cfvo type="max"/>
        <color rgb="FFF8696B"/>
        <color rgb="FFFFFFFF"/>
        <color rgb="FF63BE7B"/>
      </colorScale>
    </cfRule>
  </conditionalFormatting>
  <conditionalFormatting sqref="E18:E22">
    <cfRule type="colorScale" priority="4">
      <colorScale>
        <cfvo type="min"/>
        <cfvo type="num" val="1"/>
        <cfvo type="max"/>
        <color rgb="FFF8696B"/>
        <color rgb="FFFFFFFF"/>
        <color rgb="FF63BE7B"/>
      </colorScale>
    </cfRule>
  </conditionalFormatting>
  <conditionalFormatting sqref="E26:E30">
    <cfRule type="colorScale" priority="6">
      <colorScale>
        <cfvo type="min"/>
        <cfvo type="num" val="1"/>
        <cfvo type="max"/>
        <color rgb="FFF8696B"/>
        <color rgb="FFFFFFFF"/>
        <color rgb="FF63BE7B"/>
      </colorScale>
    </cfRule>
  </conditionalFormatting>
  <conditionalFormatting sqref="E34:E38">
    <cfRule type="colorScale" priority="8">
      <colorScale>
        <cfvo type="min"/>
        <cfvo type="num" val="1"/>
        <cfvo type="max"/>
        <color rgb="FFF8696B"/>
        <color rgb="FFFFFFFF"/>
        <color rgb="FF63BE7B"/>
      </colorScale>
    </cfRule>
  </conditionalFormatting>
  <conditionalFormatting sqref="E42:E47">
    <cfRule type="colorScale" priority="10">
      <colorScale>
        <cfvo type="min"/>
        <cfvo type="num" val="1"/>
        <cfvo type="max"/>
        <color rgb="FFF8696B"/>
        <color rgb="FFFFFFFF"/>
        <color rgb="FF63BE7B"/>
      </colorScale>
    </cfRule>
  </conditionalFormatting>
  <conditionalFormatting sqref="E51:E55">
    <cfRule type="colorScale" priority="12">
      <colorScale>
        <cfvo type="min"/>
        <cfvo type="num" val="1"/>
        <cfvo type="max"/>
        <color rgb="FFF8696B"/>
        <color rgb="FFFFFFFF"/>
        <color rgb="FF63BE7B"/>
      </colorScale>
    </cfRule>
  </conditionalFormatting>
  <conditionalFormatting sqref="E59:E61">
    <cfRule type="colorScale" priority="14">
      <colorScale>
        <cfvo type="min"/>
        <cfvo type="num" val="1"/>
        <cfvo type="max"/>
        <color rgb="FFF8696B"/>
        <color rgb="FFFFFFFF"/>
        <color rgb="FF63BE7B"/>
      </colorScale>
    </cfRule>
  </conditionalFormatting>
  <conditionalFormatting sqref="E65:E66">
    <cfRule type="colorScale" priority="16">
      <colorScale>
        <cfvo type="min"/>
        <cfvo type="num" val="1"/>
        <cfvo type="max"/>
        <color rgb="FFF8696B"/>
        <color rgb="FFFFFFFF"/>
        <color rgb="FF63BE7B"/>
      </colorScale>
    </cfRule>
  </conditionalFormatting>
  <conditionalFormatting sqref="E70:E73">
    <cfRule type="colorScale" priority="18">
      <colorScale>
        <cfvo type="min"/>
        <cfvo type="num" val="1"/>
        <cfvo type="max"/>
        <color rgb="FFF8696B"/>
        <color rgb="FFFFFFFF"/>
        <color rgb="FF63BE7B"/>
      </colorScale>
    </cfRule>
  </conditionalFormatting>
  <conditionalFormatting sqref="E77:E81">
    <cfRule type="colorScale" priority="20">
      <colorScale>
        <cfvo type="min"/>
        <cfvo type="num" val="1"/>
        <cfvo type="max"/>
        <color rgb="FFF8696B"/>
        <color rgb="FFFFFFFF"/>
        <color rgb="FF63BE7B"/>
      </colorScale>
    </cfRule>
  </conditionalFormatting>
  <conditionalFormatting sqref="E85:E86">
    <cfRule type="colorScale" priority="22">
      <colorScale>
        <cfvo type="min"/>
        <cfvo type="num" val="1"/>
        <cfvo type="max"/>
        <color rgb="FFF8696B"/>
        <color rgb="FFFFFFFF"/>
        <color rgb="FF63BE7B"/>
      </colorScale>
    </cfRule>
  </conditionalFormatting>
  <conditionalFormatting sqref="E90:E91">
    <cfRule type="colorScale" priority="24">
      <colorScale>
        <cfvo type="min"/>
        <cfvo type="num" val="1"/>
        <cfvo type="max"/>
        <color rgb="FFF8696B"/>
        <color rgb="FFFFFFFF"/>
        <color rgb="FF63BE7B"/>
      </colorScale>
    </cfRule>
  </conditionalFormatting>
  <conditionalFormatting sqref="N13:N24">
    <cfRule type="dataBar" priority="25">
      <dataBar>
        <cfvo type="num" val="0"/>
        <cfvo type="max"/>
        <color rgb="FF8EA9DB"/>
      </dataBar>
      <extLst>
        <ext xmlns:x14="http://schemas.microsoft.com/office/spreadsheetml/2009/9/main" uri="{B025F937-C7B1-47D3-B67F-A62EFF666E3E}">
          <x14:id>{35EEC8D7-85F5-4C6C-9EBD-1600B6F9D622}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FC3401B-23F9-44B5-AC6F-92285BB91114}">
            <x14:dataBar minLength="0" maxLength="100" gradient="0" direction="leftToRight" negativeBarColorSameAsPositive="1" axisPosition="none">
              <x14:cfvo type="num">
                <xm:f>0</xm:f>
              </x14:cfvo>
              <x14:cfvo type="num">
                <xm:f>1</xm:f>
              </x14:cfvo>
            </x14:dataBar>
          </x14:cfRule>
          <xm:sqref>D13:D14</xm:sqref>
        </x14:conditionalFormatting>
        <x14:conditionalFormatting xmlns:xm="http://schemas.microsoft.com/office/excel/2006/main">
          <x14:cfRule type="dataBar" id="{D914258C-D449-4CD8-81A1-BA7FAC787BD8}">
            <x14:dataBar minLength="0" maxLength="100" gradient="0" direction="leftToRight" negativeBarColorSameAsPositive="1" axisPosition="none">
              <x14:cfvo type="num">
                <xm:f>0</xm:f>
              </x14:cfvo>
              <x14:cfvo type="num">
                <xm:f>1</xm:f>
              </x14:cfvo>
            </x14:dataBar>
          </x14:cfRule>
          <xm:sqref>D18:D22</xm:sqref>
        </x14:conditionalFormatting>
        <x14:conditionalFormatting xmlns:xm="http://schemas.microsoft.com/office/excel/2006/main">
          <x14:cfRule type="dataBar" id="{3D2ED714-39DB-4F97-BD45-E9EC16D0157A}">
            <x14:dataBar minLength="0" maxLength="100" gradient="0" direction="leftToRight" negativeBarColorSameAsPositive="1" axisPosition="none">
              <x14:cfvo type="num">
                <xm:f>0</xm:f>
              </x14:cfvo>
              <x14:cfvo type="num">
                <xm:f>1</xm:f>
              </x14:cfvo>
            </x14:dataBar>
          </x14:cfRule>
          <xm:sqref>D26:D30</xm:sqref>
        </x14:conditionalFormatting>
        <x14:conditionalFormatting xmlns:xm="http://schemas.microsoft.com/office/excel/2006/main">
          <x14:cfRule type="dataBar" id="{5DB00DE3-D526-4D77-9DD7-E98245159D8D}">
            <x14:dataBar minLength="0" maxLength="100" gradient="0" direction="leftToRight" negativeBarColorSameAsPositive="1" axisPosition="none">
              <x14:cfvo type="num">
                <xm:f>0</xm:f>
              </x14:cfvo>
              <x14:cfvo type="num">
                <xm:f>1</xm:f>
              </x14:cfvo>
            </x14:dataBar>
          </x14:cfRule>
          <xm:sqref>D34:D38</xm:sqref>
        </x14:conditionalFormatting>
        <x14:conditionalFormatting xmlns:xm="http://schemas.microsoft.com/office/excel/2006/main">
          <x14:cfRule type="dataBar" id="{DB58FE63-0D6A-4745-A0AE-A05A1DC8127F}">
            <x14:dataBar minLength="0" maxLength="100" gradient="0" direction="leftToRight" negativeBarColorSameAsPositive="1" axisPosition="none">
              <x14:cfvo type="num">
                <xm:f>0</xm:f>
              </x14:cfvo>
              <x14:cfvo type="num">
                <xm:f>1</xm:f>
              </x14:cfvo>
            </x14:dataBar>
          </x14:cfRule>
          <xm:sqref>D42:D47</xm:sqref>
        </x14:conditionalFormatting>
        <x14:conditionalFormatting xmlns:xm="http://schemas.microsoft.com/office/excel/2006/main">
          <x14:cfRule type="dataBar" id="{9F4A8940-A7B1-4F12-B03A-DDC3DD541C03}">
            <x14:dataBar minLength="0" maxLength="100" gradient="0" direction="leftToRight" negativeBarColorSameAsPositive="1" axisPosition="none">
              <x14:cfvo type="num">
                <xm:f>0</xm:f>
              </x14:cfvo>
              <x14:cfvo type="num">
                <xm:f>1</xm:f>
              </x14:cfvo>
            </x14:dataBar>
          </x14:cfRule>
          <xm:sqref>D51:D55</xm:sqref>
        </x14:conditionalFormatting>
        <x14:conditionalFormatting xmlns:xm="http://schemas.microsoft.com/office/excel/2006/main">
          <x14:cfRule type="dataBar" id="{FEEECB3A-D71E-465C-8205-7348A0BEC856}">
            <x14:dataBar minLength="0" maxLength="100" gradient="0" direction="leftToRight" negativeBarColorSameAsPositive="1" axisPosition="none">
              <x14:cfvo type="num">
                <xm:f>0</xm:f>
              </x14:cfvo>
              <x14:cfvo type="num">
                <xm:f>1</xm:f>
              </x14:cfvo>
            </x14:dataBar>
          </x14:cfRule>
          <xm:sqref>D59:D61</xm:sqref>
        </x14:conditionalFormatting>
        <x14:conditionalFormatting xmlns:xm="http://schemas.microsoft.com/office/excel/2006/main">
          <x14:cfRule type="dataBar" id="{8622399A-DE28-4254-B5C5-88F2D6B29DF7}">
            <x14:dataBar minLength="0" maxLength="100" gradient="0" direction="leftToRight" negativeBarColorSameAsPositive="1" axisPosition="none">
              <x14:cfvo type="num">
                <xm:f>0</xm:f>
              </x14:cfvo>
              <x14:cfvo type="num">
                <xm:f>1</xm:f>
              </x14:cfvo>
            </x14:dataBar>
          </x14:cfRule>
          <xm:sqref>D65:D66</xm:sqref>
        </x14:conditionalFormatting>
        <x14:conditionalFormatting xmlns:xm="http://schemas.microsoft.com/office/excel/2006/main">
          <x14:cfRule type="dataBar" id="{275B9FEC-4425-4C5E-92C5-5A0B0FB1C94A}">
            <x14:dataBar minLength="0" maxLength="100" gradient="0" direction="leftToRight" negativeBarColorSameAsPositive="1" axisPosition="none">
              <x14:cfvo type="num">
                <xm:f>0</xm:f>
              </x14:cfvo>
              <x14:cfvo type="num">
                <xm:f>1</xm:f>
              </x14:cfvo>
            </x14:dataBar>
          </x14:cfRule>
          <xm:sqref>D70:D73</xm:sqref>
        </x14:conditionalFormatting>
        <x14:conditionalFormatting xmlns:xm="http://schemas.microsoft.com/office/excel/2006/main">
          <x14:cfRule type="dataBar" id="{8C5D9D8F-D4D1-4507-9186-521EDFE9C2C0}">
            <x14:dataBar minLength="0" maxLength="100" gradient="0" direction="leftToRight" negativeBarColorSameAsPositive="1" axisPosition="none">
              <x14:cfvo type="num">
                <xm:f>0</xm:f>
              </x14:cfvo>
              <x14:cfvo type="num">
                <xm:f>1</xm:f>
              </x14:cfvo>
            </x14:dataBar>
          </x14:cfRule>
          <xm:sqref>D77:D81</xm:sqref>
        </x14:conditionalFormatting>
        <x14:conditionalFormatting xmlns:xm="http://schemas.microsoft.com/office/excel/2006/main">
          <x14:cfRule type="dataBar" id="{48001106-81C3-4792-A80D-EF2288C7068D}">
            <x14:dataBar minLength="0" maxLength="100" gradient="0" direction="leftToRight" negativeBarColorSameAsPositive="1" axisPosition="none">
              <x14:cfvo type="num">
                <xm:f>0</xm:f>
              </x14:cfvo>
              <x14:cfvo type="num">
                <xm:f>1</xm:f>
              </x14:cfvo>
            </x14:dataBar>
          </x14:cfRule>
          <xm:sqref>D85:D86</xm:sqref>
        </x14:conditionalFormatting>
        <x14:conditionalFormatting xmlns:xm="http://schemas.microsoft.com/office/excel/2006/main">
          <x14:cfRule type="dataBar" id="{3F431F8F-E4E6-4C7C-9775-CAAE21FCFC4F}">
            <x14:dataBar minLength="0" maxLength="100" gradient="0" direction="leftToRight" negativeBarColorSameAsPositive="1" axisPosition="none">
              <x14:cfvo type="num">
                <xm:f>0</xm:f>
              </x14:cfvo>
              <x14:cfvo type="num">
                <xm:f>1</xm:f>
              </x14:cfvo>
            </x14:dataBar>
          </x14:cfRule>
          <xm:sqref>D90:D91</xm:sqref>
        </x14:conditionalFormatting>
        <x14:conditionalFormatting xmlns:xm="http://schemas.microsoft.com/office/excel/2006/main">
          <x14:cfRule type="dataBar" id="{35EEC8D7-85F5-4C6C-9EBD-1600B6F9D622}">
            <x14:dataBar minLength="0" maxLength="100" gradient="0" negativeBarColorSameAsPositive="1" axisPosition="none">
              <x14:cfvo type="num">
                <xm:f>0</xm:f>
              </x14:cfvo>
              <x14:cfvo type="max"/>
            </x14:dataBar>
          </x14:cfRule>
          <xm:sqref>N13:N24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BE93A-157A-4E73-A834-C1152C4C57E1}">
  <dimension ref="A1:I138"/>
  <sheetViews>
    <sheetView showGridLines="0" tabSelected="1" workbookViewId="0">
      <selection activeCell="F5" sqref="F5"/>
    </sheetView>
  </sheetViews>
  <sheetFormatPr defaultRowHeight="15" x14ac:dyDescent="0.25"/>
  <cols>
    <col min="1" max="1" width="28.5703125" customWidth="1"/>
    <col min="2" max="4" width="16.140625" customWidth="1"/>
    <col min="5" max="6" width="18.140625" customWidth="1"/>
    <col min="7" max="7" width="17.140625" customWidth="1"/>
    <col min="8" max="8" width="28.5703125" customWidth="1"/>
    <col min="9" max="9" width="62.85546875" customWidth="1"/>
  </cols>
  <sheetData>
    <row r="1" spans="1:9" ht="23.25" x14ac:dyDescent="0.35">
      <c r="A1" s="4" t="s">
        <v>387</v>
      </c>
      <c r="B1" s="3"/>
      <c r="C1" s="3"/>
      <c r="D1" s="3"/>
      <c r="E1" s="3"/>
      <c r="F1" s="3"/>
      <c r="G1" s="3"/>
      <c r="H1" s="3"/>
      <c r="I1" s="3"/>
    </row>
    <row r="2" spans="1:9" x14ac:dyDescent="0.25">
      <c r="A2" s="5" t="s">
        <v>179</v>
      </c>
      <c r="B2" s="3"/>
      <c r="C2" s="3"/>
      <c r="D2" s="3"/>
      <c r="E2" s="3"/>
      <c r="F2" s="3"/>
      <c r="G2" s="3"/>
      <c r="H2" s="3"/>
      <c r="I2" s="3"/>
    </row>
    <row r="3" spans="1:9" x14ac:dyDescent="0.25">
      <c r="A3" s="3"/>
      <c r="B3" s="3"/>
      <c r="C3" s="3"/>
      <c r="D3" s="3"/>
      <c r="E3" s="3"/>
      <c r="F3" s="3"/>
      <c r="G3" s="3"/>
      <c r="H3" s="3"/>
      <c r="I3" s="3"/>
    </row>
    <row r="4" spans="1:9" ht="15.75" x14ac:dyDescent="0.25">
      <c r="A4" s="42" t="s">
        <v>180</v>
      </c>
      <c r="B4" s="34"/>
      <c r="C4" s="34"/>
      <c r="D4" s="34"/>
      <c r="E4" s="34"/>
      <c r="F4" s="34"/>
      <c r="G4" s="34"/>
      <c r="H4" s="34"/>
      <c r="I4" s="38"/>
    </row>
    <row r="5" spans="1:9" x14ac:dyDescent="0.25">
      <c r="A5" s="36" t="s">
        <v>388</v>
      </c>
      <c r="B5" s="33"/>
      <c r="C5" s="33"/>
      <c r="D5" s="33"/>
      <c r="E5" s="33"/>
      <c r="F5" s="33"/>
      <c r="G5" s="33"/>
      <c r="H5" s="33"/>
      <c r="I5" s="39"/>
    </row>
    <row r="6" spans="1:9" x14ac:dyDescent="0.25">
      <c r="A6" s="36" t="s">
        <v>181</v>
      </c>
      <c r="B6" s="33"/>
      <c r="C6" s="33"/>
      <c r="D6" s="33"/>
      <c r="E6" s="33"/>
      <c r="F6" s="33"/>
      <c r="G6" s="33"/>
      <c r="H6" s="33"/>
      <c r="I6" s="39"/>
    </row>
    <row r="7" spans="1:9" x14ac:dyDescent="0.25">
      <c r="A7" s="37" t="s">
        <v>182</v>
      </c>
      <c r="B7" s="35"/>
      <c r="C7" s="35"/>
      <c r="D7" s="35"/>
      <c r="E7" s="35"/>
      <c r="F7" s="35"/>
      <c r="G7" s="35"/>
      <c r="H7" s="35"/>
      <c r="I7" s="40"/>
    </row>
    <row r="8" spans="1:9" x14ac:dyDescent="0.25">
      <c r="A8" s="3"/>
      <c r="B8" s="3"/>
      <c r="C8" s="3"/>
      <c r="D8" s="3"/>
      <c r="E8" s="3"/>
      <c r="F8" s="3"/>
      <c r="G8" s="3"/>
      <c r="H8" s="3"/>
      <c r="I8" s="3"/>
    </row>
    <row r="9" spans="1:9" ht="18.75" x14ac:dyDescent="0.3">
      <c r="A9" s="9" t="s">
        <v>389</v>
      </c>
      <c r="B9" s="3"/>
      <c r="C9" s="3"/>
      <c r="D9" s="3"/>
      <c r="E9" s="3"/>
      <c r="F9" s="3"/>
      <c r="G9" s="3"/>
      <c r="H9" s="3"/>
      <c r="I9" s="3"/>
    </row>
    <row r="10" spans="1:9" ht="32.1" customHeight="1" x14ac:dyDescent="0.25">
      <c r="A10" s="16" t="s">
        <v>177</v>
      </c>
      <c r="B10" s="16" t="s">
        <v>190</v>
      </c>
      <c r="C10" s="16" t="s">
        <v>191</v>
      </c>
      <c r="D10" s="16" t="s">
        <v>187</v>
      </c>
      <c r="E10" s="16" t="s">
        <v>188</v>
      </c>
      <c r="F10" s="16" t="s">
        <v>194</v>
      </c>
      <c r="G10" s="16" t="s">
        <v>195</v>
      </c>
      <c r="H10" s="16" t="s">
        <v>196</v>
      </c>
      <c r="I10" s="16" t="s">
        <v>197</v>
      </c>
    </row>
    <row r="11" spans="1:9" x14ac:dyDescent="0.25">
      <c r="A11" s="43" t="str" cm="1">
        <f t="array" ref="A11">INDEX(_xlfn.SORTBY(tbl_SigWorkings[Factor],tbl_SigWorkings[Cramér''s V],-1),ROW()-ROW(tbl_Significance[#Headers]))</f>
        <v>Cars</v>
      </c>
      <c r="B11" s="88">
        <f>_xlfn.XLOOKUP(tbl_Significance[[#This Row],[Factor]],tbl_SigWorkings[Factor],tbl_SigWorkings[Chi-square])</f>
        <v>50.985548737316478</v>
      </c>
      <c r="C11" s="20">
        <f>_xlfn.XLOOKUP(tbl_Significance[[#This Row],[Factor]],tbl_SigWorkings[Factor],tbl_SigWorkings[df])</f>
        <v>4</v>
      </c>
      <c r="D11" s="89">
        <f>_xlfn.XLOOKUP(tbl_Significance[[#This Row],[Factor]],tbl_SigWorkings[Factor],tbl_SigWorkings[p-value])</f>
        <v>2.2477924286553337E-10</v>
      </c>
      <c r="E11" s="90">
        <f>_xlfn.XLOOKUP(tbl_Significance[[#This Row],[Factor]],tbl_SigWorkings[Factor],tbl_SigWorkings[Cramér''s V])</f>
        <v>0.22579979791247926</v>
      </c>
      <c r="F11" s="20" t="str" cm="1">
        <f t="array" ref="F11">_xlfn.IFS(tbl_Significance[[#This Row],[Cramér''s V]]&lt;0.1,"Negligible",tbl_Significance[[#This Row],[Cramér''s V]]&lt;0.2,"Small",tbl_Significance[[#This Row],[Cramér''s V]]&lt;0.3,"Moderate",TRUE,"Strong")</f>
        <v>Moderate</v>
      </c>
      <c r="G11" s="20" t="str">
        <f>IF(tbl_Significance[[#This Row],[p-value]]&lt;0.05,"Yes","No")</f>
        <v>Yes</v>
      </c>
      <c r="H11" s="20" t="str">
        <f>IF(_xlfn.XLOOKUP(tbl_Significance[[#This Row],[Factor]],tbl_SigWorkings[Factor],tbl_SigWorkings[Min Expected])&gt;=5,"Yes","No")</f>
        <v>Yes</v>
      </c>
      <c r="I11" s="3" t="str">
        <f>IF(tbl_Significance[[#This Row],[Significant?]]="Yes","Matters – "&amp;tbl_Significance[[#This Row],[Strength]]&amp;" effect","No evidence it matters")&amp;IF(tbl_Significance[[#This Row],[Valid (min expected ≥5)]]="No"," (caution: small expected counts)","")</f>
        <v>Matters – Moderate effect</v>
      </c>
    </row>
    <row r="12" spans="1:9" x14ac:dyDescent="0.25">
      <c r="A12" s="43" t="str" cm="1">
        <f t="array" ref="A12">INDEX(_xlfn.SORTBY(tbl_SigWorkings[Factor],tbl_SigWorkings[Cramér''s V],-1),ROW()-ROW(tbl_Significance[#Headers]))</f>
        <v>Car Ownership</v>
      </c>
      <c r="B12" s="88">
        <f>_xlfn.XLOOKUP(tbl_Significance[[#This Row],[Factor]],tbl_SigWorkings[Factor],tbl_SigWorkings[Chi-square])</f>
        <v>49.868598878259448</v>
      </c>
      <c r="C12" s="20">
        <f>_xlfn.XLOOKUP(tbl_Significance[[#This Row],[Factor]],tbl_SigWorkings[Factor],tbl_SigWorkings[df])</f>
        <v>1</v>
      </c>
      <c r="D12" s="89">
        <f>_xlfn.XLOOKUP(tbl_Significance[[#This Row],[Factor]],tbl_SigWorkings[Factor],tbl_SigWorkings[p-value])</f>
        <v>1.6439465600447231E-12</v>
      </c>
      <c r="E12" s="90">
        <f>_xlfn.XLOOKUP(tbl_Significance[[#This Row],[Factor]],tbl_SigWorkings[Factor],tbl_SigWorkings[Cramér''s V])</f>
        <v>0.22331278261277263</v>
      </c>
      <c r="F12" s="20" t="str" cm="1">
        <f t="array" ref="F12">_xlfn.IFS(tbl_Significance[[#This Row],[Cramér''s V]]&lt;0.1,"Negligible",tbl_Significance[[#This Row],[Cramér''s V]]&lt;0.2,"Small",tbl_Significance[[#This Row],[Cramér''s V]]&lt;0.3,"Moderate",TRUE,"Strong")</f>
        <v>Moderate</v>
      </c>
      <c r="G12" s="20" t="str">
        <f>IF(tbl_Significance[[#This Row],[p-value]]&lt;0.05,"Yes","No")</f>
        <v>Yes</v>
      </c>
      <c r="H12" s="20" t="str">
        <f>IF(_xlfn.XLOOKUP(tbl_Significance[[#This Row],[Factor]],tbl_SigWorkings[Factor],tbl_SigWorkings[Min Expected])&gt;=5,"Yes","No")</f>
        <v>Yes</v>
      </c>
      <c r="I12" s="3" t="str">
        <f>IF(tbl_Significance[[#This Row],[Significant?]]="Yes","Matters – "&amp;tbl_Significance[[#This Row],[Strength]]&amp;" effect","No evidence it matters")&amp;IF(tbl_Significance[[#This Row],[Valid (min expected ≥5)]]="No"," (caution: small expected counts)","")</f>
        <v>Matters – Moderate effect</v>
      </c>
    </row>
    <row r="13" spans="1:9" x14ac:dyDescent="0.25">
      <c r="A13" s="43" t="str" cm="1">
        <f t="array" ref="A13">INDEX(_xlfn.SORTBY(tbl_SigWorkings[Factor],tbl_SigWorkings[Cramér''s V],-1),ROW()-ROW(tbl_Significance[#Headers]))</f>
        <v>Age Band</v>
      </c>
      <c r="B13" s="88">
        <f>_xlfn.XLOOKUP(tbl_Significance[[#This Row],[Factor]],tbl_SigWorkings[Factor],tbl_SigWorkings[Chi-square])</f>
        <v>42.229226359618323</v>
      </c>
      <c r="C13" s="20">
        <f>_xlfn.XLOOKUP(tbl_Significance[[#This Row],[Factor]],tbl_SigWorkings[Factor],tbl_SigWorkings[df])</f>
        <v>4</v>
      </c>
      <c r="D13" s="89">
        <f>_xlfn.XLOOKUP(tbl_Significance[[#This Row],[Factor]],tbl_SigWorkings[Factor],tbl_SigWorkings[p-value])</f>
        <v>1.495269090074093E-8</v>
      </c>
      <c r="E13" s="90">
        <f>_xlfn.XLOOKUP(tbl_Significance[[#This Row],[Factor]],tbl_SigWorkings[Factor],tbl_SigWorkings[Cramér''s V])</f>
        <v>0.20549750937570588</v>
      </c>
      <c r="F13" s="20" t="str" cm="1">
        <f t="array" ref="F13">_xlfn.IFS(tbl_Significance[[#This Row],[Cramér''s V]]&lt;0.1,"Negligible",tbl_Significance[[#This Row],[Cramér''s V]]&lt;0.2,"Small",tbl_Significance[[#This Row],[Cramér''s V]]&lt;0.3,"Moderate",TRUE,"Strong")</f>
        <v>Moderate</v>
      </c>
      <c r="G13" s="20" t="str">
        <f>IF(tbl_Significance[[#This Row],[p-value]]&lt;0.05,"Yes","No")</f>
        <v>Yes</v>
      </c>
      <c r="H13" s="20" t="str">
        <f>IF(_xlfn.XLOOKUP(tbl_Significance[[#This Row],[Factor]],tbl_SigWorkings[Factor],tbl_SigWorkings[Min Expected])&gt;=5,"Yes","No")</f>
        <v>Yes</v>
      </c>
      <c r="I13" s="3" t="str">
        <f>IF(tbl_Significance[[#This Row],[Significant?]]="Yes","Matters – "&amp;tbl_Significance[[#This Row],[Strength]]&amp;" effect","No evidence it matters")&amp;IF(tbl_Significance[[#This Row],[Valid (min expected ≥5)]]="No"," (caution: small expected counts)","")</f>
        <v>Matters – Moderate effect</v>
      </c>
    </row>
    <row r="14" spans="1:9" x14ac:dyDescent="0.25">
      <c r="A14" s="43" t="str" cm="1">
        <f t="array" ref="A14">INDEX(_xlfn.SORTBY(tbl_SigWorkings[Factor],tbl_SigWorkings[Cramér''s V],-1),ROW()-ROW(tbl_Significance[#Headers]))</f>
        <v>Commute Distance</v>
      </c>
      <c r="B14" s="88">
        <f>_xlfn.XLOOKUP(tbl_Significance[[#This Row],[Factor]],tbl_SigWorkings[Factor],tbl_SigWorkings[Chi-square])</f>
        <v>34.511748606504639</v>
      </c>
      <c r="C14" s="20">
        <f>_xlfn.XLOOKUP(tbl_Significance[[#This Row],[Factor]],tbl_SigWorkings[Factor],tbl_SigWorkings[df])</f>
        <v>4</v>
      </c>
      <c r="D14" s="89">
        <f>_xlfn.XLOOKUP(tbl_Significance[[#This Row],[Factor]],tbl_SigWorkings[Factor],tbl_SigWorkings[p-value])</f>
        <v>5.8515597847295239E-7</v>
      </c>
      <c r="E14" s="90">
        <f>_xlfn.XLOOKUP(tbl_Significance[[#This Row],[Factor]],tbl_SigWorkings[Factor],tbl_SigWorkings[Cramér''s V])</f>
        <v>0.18577337970361804</v>
      </c>
      <c r="F14" s="20" t="str" cm="1">
        <f t="array" ref="F14">_xlfn.IFS(tbl_Significance[[#This Row],[Cramér''s V]]&lt;0.1,"Negligible",tbl_Significance[[#This Row],[Cramér''s V]]&lt;0.2,"Small",tbl_Significance[[#This Row],[Cramér''s V]]&lt;0.3,"Moderate",TRUE,"Strong")</f>
        <v>Small</v>
      </c>
      <c r="G14" s="20" t="str">
        <f>IF(tbl_Significance[[#This Row],[p-value]]&lt;0.05,"Yes","No")</f>
        <v>Yes</v>
      </c>
      <c r="H14" s="20" t="str">
        <f>IF(_xlfn.XLOOKUP(tbl_Significance[[#This Row],[Factor]],tbl_SigWorkings[Factor],tbl_SigWorkings[Min Expected])&gt;=5,"Yes","No")</f>
        <v>Yes</v>
      </c>
      <c r="I14" s="3" t="str">
        <f>IF(tbl_Significance[[#This Row],[Significant?]]="Yes","Matters – "&amp;tbl_Significance[[#This Row],[Strength]]&amp;" effect","No evidence it matters")&amp;IF(tbl_Significance[[#This Row],[Valid (min expected ≥5)]]="No"," (caution: small expected counts)","")</f>
        <v>Matters – Small effect</v>
      </c>
    </row>
    <row r="15" spans="1:9" x14ac:dyDescent="0.25">
      <c r="A15" s="43" t="str" cm="1">
        <f t="array" ref="A15">INDEX(_xlfn.SORTBY(tbl_SigWorkings[Factor],tbl_SigWorkings[Cramér''s V],-1),ROW()-ROW(tbl_Significance[#Headers]))</f>
        <v>Children</v>
      </c>
      <c r="B15" s="88">
        <f>_xlfn.XLOOKUP(tbl_Significance[[#This Row],[Factor]],tbl_SigWorkings[Factor],tbl_SigWorkings[Chi-square])</f>
        <v>32.055151421498195</v>
      </c>
      <c r="C15" s="20">
        <f>_xlfn.XLOOKUP(tbl_Significance[[#This Row],[Factor]],tbl_SigWorkings[Factor],tbl_SigWorkings[df])</f>
        <v>5</v>
      </c>
      <c r="D15" s="89">
        <f>_xlfn.XLOOKUP(tbl_Significance[[#This Row],[Factor]],tbl_SigWorkings[Factor],tbl_SigWorkings[p-value])</f>
        <v>5.7937087694594926E-6</v>
      </c>
      <c r="E15" s="90">
        <f>_xlfn.XLOOKUP(tbl_Significance[[#This Row],[Factor]],tbl_SigWorkings[Factor],tbl_SigWorkings[Cramér''s V])</f>
        <v>0.17903952474662738</v>
      </c>
      <c r="F15" s="20" t="str" cm="1">
        <f t="array" ref="F15">_xlfn.IFS(tbl_Significance[[#This Row],[Cramér''s V]]&lt;0.1,"Negligible",tbl_Significance[[#This Row],[Cramér''s V]]&lt;0.2,"Small",tbl_Significance[[#This Row],[Cramér''s V]]&lt;0.3,"Moderate",TRUE,"Strong")</f>
        <v>Small</v>
      </c>
      <c r="G15" s="20" t="str">
        <f>IF(tbl_Significance[[#This Row],[p-value]]&lt;0.05,"Yes","No")</f>
        <v>Yes</v>
      </c>
      <c r="H15" s="20" t="str">
        <f>IF(_xlfn.XLOOKUP(tbl_Significance[[#This Row],[Factor]],tbl_SigWorkings[Factor],tbl_SigWorkings[Min Expected])&gt;=5,"Yes","No")</f>
        <v>Yes</v>
      </c>
      <c r="I15" s="3" t="str">
        <f>IF(tbl_Significance[[#This Row],[Significant?]]="Yes","Matters – "&amp;tbl_Significance[[#This Row],[Strength]]&amp;" effect","No evidence it matters")&amp;IF(tbl_Significance[[#This Row],[Valid (min expected ≥5)]]="No"," (caution: small expected counts)","")</f>
        <v>Matters – Small effect</v>
      </c>
    </row>
    <row r="16" spans="1:9" x14ac:dyDescent="0.25">
      <c r="A16" s="43" t="str" cm="1">
        <f t="array" ref="A16">INDEX(_xlfn.SORTBY(tbl_SigWorkings[Factor],tbl_SigWorkings[Cramér''s V],-1),ROW()-ROW(tbl_Significance[#Headers]))</f>
        <v>Education</v>
      </c>
      <c r="B16" s="88">
        <f>_xlfn.XLOOKUP(tbl_Significance[[#This Row],[Factor]],tbl_SigWorkings[Factor],tbl_SigWorkings[Chi-square])</f>
        <v>25.33268453284456</v>
      </c>
      <c r="C16" s="20">
        <f>_xlfn.XLOOKUP(tbl_Significance[[#This Row],[Factor]],tbl_SigWorkings[Factor],tbl_SigWorkings[df])</f>
        <v>4</v>
      </c>
      <c r="D16" s="89">
        <f>_xlfn.XLOOKUP(tbl_Significance[[#This Row],[Factor]],tbl_SigWorkings[Factor],tbl_SigWorkings[p-value])</f>
        <v>4.3125062847906808E-5</v>
      </c>
      <c r="E16" s="90">
        <f>_xlfn.XLOOKUP(tbl_Significance[[#This Row],[Factor]],tbl_SigWorkings[Factor],tbl_SigWorkings[Cramér''s V])</f>
        <v>0.15916244699314144</v>
      </c>
      <c r="F16" s="20" t="str" cm="1">
        <f t="array" ref="F16">_xlfn.IFS(tbl_Significance[[#This Row],[Cramér''s V]]&lt;0.1,"Negligible",tbl_Significance[[#This Row],[Cramér''s V]]&lt;0.2,"Small",tbl_Significance[[#This Row],[Cramér''s V]]&lt;0.3,"Moderate",TRUE,"Strong")</f>
        <v>Small</v>
      </c>
      <c r="G16" s="20" t="str">
        <f>IF(tbl_Significance[[#This Row],[p-value]]&lt;0.05,"Yes","No")</f>
        <v>Yes</v>
      </c>
      <c r="H16" s="20" t="str">
        <f>IF(_xlfn.XLOOKUP(tbl_Significance[[#This Row],[Factor]],tbl_SigWorkings[Factor],tbl_SigWorkings[Min Expected])&gt;=5,"Yes","No")</f>
        <v>Yes</v>
      </c>
      <c r="I16" s="3" t="str">
        <f>IF(tbl_Significance[[#This Row],[Significant?]]="Yes","Matters – "&amp;tbl_Significance[[#This Row],[Strength]]&amp;" effect","No evidence it matters")&amp;IF(tbl_Significance[[#This Row],[Valid (min expected ≥5)]]="No"," (caution: small expected counts)","")</f>
        <v>Matters – Small effect</v>
      </c>
    </row>
    <row r="17" spans="1:9" x14ac:dyDescent="0.25">
      <c r="A17" s="43" t="str" cm="1">
        <f t="array" ref="A17">INDEX(_xlfn.SORTBY(tbl_SigWorkings[Factor],tbl_SigWorkings[Cramér''s V],-1),ROW()-ROW(tbl_Significance[#Headers]))</f>
        <v>Region</v>
      </c>
      <c r="B17" s="88">
        <f>_xlfn.XLOOKUP(tbl_Significance[[#This Row],[Factor]],tbl_SigWorkings[Factor],tbl_SigWorkings[Chi-square])</f>
        <v>13.752387318679251</v>
      </c>
      <c r="C17" s="20">
        <f>_xlfn.XLOOKUP(tbl_Significance[[#This Row],[Factor]],tbl_SigWorkings[Factor],tbl_SigWorkings[df])</f>
        <v>2</v>
      </c>
      <c r="D17" s="89">
        <f>_xlfn.XLOOKUP(tbl_Significance[[#This Row],[Factor]],tbl_SigWorkings[Factor],tbl_SigWorkings[p-value])</f>
        <v>1.0320649691107665E-3</v>
      </c>
      <c r="E17" s="90">
        <f>_xlfn.XLOOKUP(tbl_Significance[[#This Row],[Factor]],tbl_SigWorkings[Factor],tbl_SigWorkings[Cramér''s V])</f>
        <v>0.11727057311482388</v>
      </c>
      <c r="F17" s="20" t="str" cm="1">
        <f t="array" ref="F17">_xlfn.IFS(tbl_Significance[[#This Row],[Cramér''s V]]&lt;0.1,"Negligible",tbl_Significance[[#This Row],[Cramér''s V]]&lt;0.2,"Small",tbl_Significance[[#This Row],[Cramér''s V]]&lt;0.3,"Moderate",TRUE,"Strong")</f>
        <v>Small</v>
      </c>
      <c r="G17" s="20" t="str">
        <f>IF(tbl_Significance[[#This Row],[p-value]]&lt;0.05,"Yes","No")</f>
        <v>Yes</v>
      </c>
      <c r="H17" s="20" t="str">
        <f>IF(_xlfn.XLOOKUP(tbl_Significance[[#This Row],[Factor]],tbl_SigWorkings[Factor],tbl_SigWorkings[Min Expected])&gt;=5,"Yes","No")</f>
        <v>Yes</v>
      </c>
      <c r="I17" s="3" t="str">
        <f>IF(tbl_Significance[[#This Row],[Significant?]]="Yes","Matters – "&amp;tbl_Significance[[#This Row],[Strength]]&amp;" effect","No evidence it matters")&amp;IF(tbl_Significance[[#This Row],[Valid (min expected ≥5)]]="No"," (caution: small expected counts)","")</f>
        <v>Matters – Small effect</v>
      </c>
    </row>
    <row r="18" spans="1:9" x14ac:dyDescent="0.25">
      <c r="A18" s="43" t="str" cm="1">
        <f t="array" ref="A18">INDEX(_xlfn.SORTBY(tbl_SigWorkings[Factor],tbl_SigWorkings[Cramér''s V],-1),ROW()-ROW(tbl_Significance[#Headers]))</f>
        <v>Marital Status</v>
      </c>
      <c r="B18" s="88">
        <f>_xlfn.XLOOKUP(tbl_Significance[[#This Row],[Factor]],tbl_SigWorkings[Factor],tbl_SigWorkings[Chi-square])</f>
        <v>12.435557550197519</v>
      </c>
      <c r="C18" s="20">
        <f>_xlfn.XLOOKUP(tbl_Significance[[#This Row],[Factor]],tbl_SigWorkings[Factor],tbl_SigWorkings[df])</f>
        <v>1</v>
      </c>
      <c r="D18" s="89">
        <f>_xlfn.XLOOKUP(tbl_Significance[[#This Row],[Factor]],tbl_SigWorkings[Factor],tbl_SigWorkings[p-value])</f>
        <v>4.2123654776274653E-4</v>
      </c>
      <c r="E18" s="90">
        <f>_xlfn.XLOOKUP(tbl_Significance[[#This Row],[Factor]],tbl_SigWorkings[Factor],tbl_SigWorkings[Cramér''s V])</f>
        <v>0.11151483107729447</v>
      </c>
      <c r="F18" s="20" t="str" cm="1">
        <f t="array" ref="F18">_xlfn.IFS(tbl_Significance[[#This Row],[Cramér''s V]]&lt;0.1,"Negligible",tbl_Significance[[#This Row],[Cramér''s V]]&lt;0.2,"Small",tbl_Significance[[#This Row],[Cramér''s V]]&lt;0.3,"Moderate",TRUE,"Strong")</f>
        <v>Small</v>
      </c>
      <c r="G18" s="20" t="str">
        <f>IF(tbl_Significance[[#This Row],[p-value]]&lt;0.05,"Yes","No")</f>
        <v>Yes</v>
      </c>
      <c r="H18" s="20" t="str">
        <f>IF(_xlfn.XLOOKUP(tbl_Significance[[#This Row],[Factor]],tbl_SigWorkings[Factor],tbl_SigWorkings[Min Expected])&gt;=5,"Yes","No")</f>
        <v>Yes</v>
      </c>
      <c r="I18" s="3" t="str">
        <f>IF(tbl_Significance[[#This Row],[Significant?]]="Yes","Matters – "&amp;tbl_Significance[[#This Row],[Strength]]&amp;" effect","No evidence it matters")&amp;IF(tbl_Significance[[#This Row],[Valid (min expected ≥5)]]="No"," (caution: small expected counts)","")</f>
        <v>Matters – Small effect</v>
      </c>
    </row>
    <row r="19" spans="1:9" x14ac:dyDescent="0.25">
      <c r="A19" s="43" t="str" cm="1">
        <f t="array" ref="A19">INDEX(_xlfn.SORTBY(tbl_SigWorkings[Factor],tbl_SigWorkings[Cramér''s V],-1),ROW()-ROW(tbl_Significance[#Headers]))</f>
        <v>Income Band</v>
      </c>
      <c r="B19" s="88">
        <f>_xlfn.XLOOKUP(tbl_Significance[[#This Row],[Factor]],tbl_SigWorkings[Factor],tbl_SigWorkings[Chi-square])</f>
        <v>11.267838055706134</v>
      </c>
      <c r="C19" s="20">
        <f>_xlfn.XLOOKUP(tbl_Significance[[#This Row],[Factor]],tbl_SigWorkings[Factor],tbl_SigWorkings[df])</f>
        <v>3</v>
      </c>
      <c r="D19" s="89">
        <f>_xlfn.XLOOKUP(tbl_Significance[[#This Row],[Factor]],tbl_SigWorkings[Factor],tbl_SigWorkings[p-value])</f>
        <v>1.0362328424187163E-2</v>
      </c>
      <c r="E19" s="90">
        <f>_xlfn.XLOOKUP(tbl_Significance[[#This Row],[Factor]],tbl_SigWorkings[Factor],tbl_SigWorkings[Cramér''s V])</f>
        <v>0.10615007327225985</v>
      </c>
      <c r="F19" s="20" t="str" cm="1">
        <f t="array" ref="F19">_xlfn.IFS(tbl_Significance[[#This Row],[Cramér''s V]]&lt;0.1,"Negligible",tbl_Significance[[#This Row],[Cramér''s V]]&lt;0.2,"Small",tbl_Significance[[#This Row],[Cramér''s V]]&lt;0.3,"Moderate",TRUE,"Strong")</f>
        <v>Small</v>
      </c>
      <c r="G19" s="20" t="str">
        <f>IF(tbl_Significance[[#This Row],[p-value]]&lt;0.05,"Yes","No")</f>
        <v>Yes</v>
      </c>
      <c r="H19" s="20" t="str">
        <f>IF(_xlfn.XLOOKUP(tbl_Significance[[#This Row],[Factor]],tbl_SigWorkings[Factor],tbl_SigWorkings[Min Expected])&gt;=5,"Yes","No")</f>
        <v>Yes</v>
      </c>
      <c r="I19" s="3" t="str">
        <f>IF(tbl_Significance[[#This Row],[Significant?]]="Yes","Matters – "&amp;tbl_Significance[[#This Row],[Strength]]&amp;" effect","No evidence it matters")&amp;IF(tbl_Significance[[#This Row],[Valid (min expected ≥5)]]="No"," (caution: small expected counts)","")</f>
        <v>Matters – Small effect</v>
      </c>
    </row>
    <row r="20" spans="1:9" x14ac:dyDescent="0.25">
      <c r="A20" s="43" t="str" cm="1">
        <f t="array" ref="A20">INDEX(_xlfn.SORTBY(tbl_SigWorkings[Factor],tbl_SigWorkings[Cramér''s V],-1),ROW()-ROW(tbl_Significance[#Headers]))</f>
        <v>Occupation</v>
      </c>
      <c r="B20" s="88">
        <f>_xlfn.XLOOKUP(tbl_Significance[[#This Row],[Factor]],tbl_SigWorkings[Factor],tbl_SigWorkings[Chi-square])</f>
        <v>8.0056919518661136</v>
      </c>
      <c r="C20" s="20">
        <f>_xlfn.XLOOKUP(tbl_Significance[[#This Row],[Factor]],tbl_SigWorkings[Factor],tbl_SigWorkings[df])</f>
        <v>4</v>
      </c>
      <c r="D20" s="89">
        <f>_xlfn.XLOOKUP(tbl_Significance[[#This Row],[Factor]],tbl_SigWorkings[Factor],tbl_SigWorkings[p-value])</f>
        <v>9.1369913356531343E-2</v>
      </c>
      <c r="E20" s="90">
        <f>_xlfn.XLOOKUP(tbl_Significance[[#This Row],[Factor]],tbl_SigWorkings[Factor],tbl_SigWorkings[Cramér''s V])</f>
        <v>8.9474532420494454E-2</v>
      </c>
      <c r="F20" s="20" t="str" cm="1">
        <f t="array" ref="F20">_xlfn.IFS(tbl_Significance[[#This Row],[Cramér''s V]]&lt;0.1,"Negligible",tbl_Significance[[#This Row],[Cramér''s V]]&lt;0.2,"Small",tbl_Significance[[#This Row],[Cramér''s V]]&lt;0.3,"Moderate",TRUE,"Strong")</f>
        <v>Negligible</v>
      </c>
      <c r="G20" s="20" t="str">
        <f>IF(tbl_Significance[[#This Row],[p-value]]&lt;0.05,"Yes","No")</f>
        <v>No</v>
      </c>
      <c r="H20" s="20" t="str">
        <f>IF(_xlfn.XLOOKUP(tbl_Significance[[#This Row],[Factor]],tbl_SigWorkings[Factor],tbl_SigWorkings[Min Expected])&gt;=5,"Yes","No")</f>
        <v>Yes</v>
      </c>
      <c r="I20" s="3" t="str">
        <f>IF(tbl_Significance[[#This Row],[Significant?]]="Yes","Matters – "&amp;tbl_Significance[[#This Row],[Strength]]&amp;" effect","No evidence it matters")&amp;IF(tbl_Significance[[#This Row],[Valid (min expected ≥5)]]="No"," (caution: small expected counts)","")</f>
        <v>No evidence it matters</v>
      </c>
    </row>
    <row r="21" spans="1:9" x14ac:dyDescent="0.25">
      <c r="A21" s="43" t="str" cm="1">
        <f t="array" ref="A21">INDEX(_xlfn.SORTBY(tbl_SigWorkings[Factor],tbl_SigWorkings[Cramér''s V],-1),ROW()-ROW(tbl_Significance[#Headers]))</f>
        <v>Gender</v>
      </c>
      <c r="B21" s="88">
        <f>_xlfn.XLOOKUP(tbl_Significance[[#This Row],[Factor]],tbl_SigWorkings[Factor],tbl_SigWorkings[Chi-square])</f>
        <v>0.2303909286912178</v>
      </c>
      <c r="C21" s="20">
        <f>_xlfn.XLOOKUP(tbl_Significance[[#This Row],[Factor]],tbl_SigWorkings[Factor],tbl_SigWorkings[df])</f>
        <v>1</v>
      </c>
      <c r="D21" s="89">
        <f>_xlfn.XLOOKUP(tbl_Significance[[#This Row],[Factor]],tbl_SigWorkings[Factor],tbl_SigWorkings[p-value])</f>
        <v>0.63123411216662872</v>
      </c>
      <c r="E21" s="90">
        <f>_xlfn.XLOOKUP(tbl_Significance[[#This Row],[Factor]],tbl_SigWorkings[Factor],tbl_SigWorkings[Cramér''s V])</f>
        <v>1.5178633953397051E-2</v>
      </c>
      <c r="F21" s="20" t="str" cm="1">
        <f t="array" ref="F21">_xlfn.IFS(tbl_Significance[[#This Row],[Cramér''s V]]&lt;0.1,"Negligible",tbl_Significance[[#This Row],[Cramér''s V]]&lt;0.2,"Small",tbl_Significance[[#This Row],[Cramér''s V]]&lt;0.3,"Moderate",TRUE,"Strong")</f>
        <v>Negligible</v>
      </c>
      <c r="G21" s="20" t="str">
        <f>IF(tbl_Significance[[#This Row],[p-value]]&lt;0.05,"Yes","No")</f>
        <v>No</v>
      </c>
      <c r="H21" s="20" t="str">
        <f>IF(_xlfn.XLOOKUP(tbl_Significance[[#This Row],[Factor]],tbl_SigWorkings[Factor],tbl_SigWorkings[Min Expected])&gt;=5,"Yes","No")</f>
        <v>Yes</v>
      </c>
      <c r="I21" s="3" t="str">
        <f>IF(tbl_Significance[[#This Row],[Significant?]]="Yes","Matters – "&amp;tbl_Significance[[#This Row],[Strength]]&amp;" effect","No evidence it matters")&amp;IF(tbl_Significance[[#This Row],[Valid (min expected ≥5)]]="No"," (caution: small expected counts)","")</f>
        <v>No evidence it matters</v>
      </c>
    </row>
    <row r="22" spans="1:9" x14ac:dyDescent="0.25">
      <c r="A22" s="43" t="str" cm="1">
        <f t="array" ref="A22">INDEX(_xlfn.SORTBY(tbl_SigWorkings[Factor],tbl_SigWorkings[Cramér''s V],-1),ROW()-ROW(tbl_Significance[#Headers]))</f>
        <v>Home Owner</v>
      </c>
      <c r="B22" s="88">
        <f>_xlfn.XLOOKUP(tbl_Significance[[#This Row],[Factor]],tbl_SigWorkings[Factor],tbl_SigWorkings[Chi-square])</f>
        <v>0.22963225268048892</v>
      </c>
      <c r="C22" s="20">
        <f>_xlfn.XLOOKUP(tbl_Significance[[#This Row],[Factor]],tbl_SigWorkings[Factor],tbl_SigWorkings[df])</f>
        <v>1</v>
      </c>
      <c r="D22" s="89">
        <f>_xlfn.XLOOKUP(tbl_Significance[[#This Row],[Factor]],tbl_SigWorkings[Factor],tbl_SigWorkings[p-value])</f>
        <v>0.63179664172506</v>
      </c>
      <c r="E22" s="90">
        <f>_xlfn.XLOOKUP(tbl_Significance[[#This Row],[Factor]],tbl_SigWorkings[Factor],tbl_SigWorkings[Cramér''s V])</f>
        <v>1.5153621767765253E-2</v>
      </c>
      <c r="F22" s="20" t="str" cm="1">
        <f t="array" ref="F22">_xlfn.IFS(tbl_Significance[[#This Row],[Cramér''s V]]&lt;0.1,"Negligible",tbl_Significance[[#This Row],[Cramér''s V]]&lt;0.2,"Small",tbl_Significance[[#This Row],[Cramér''s V]]&lt;0.3,"Moderate",TRUE,"Strong")</f>
        <v>Negligible</v>
      </c>
      <c r="G22" s="20" t="str">
        <f>IF(tbl_Significance[[#This Row],[p-value]]&lt;0.05,"Yes","No")</f>
        <v>No</v>
      </c>
      <c r="H22" s="20" t="str">
        <f>IF(_xlfn.XLOOKUP(tbl_Significance[[#This Row],[Factor]],tbl_SigWorkings[Factor],tbl_SigWorkings[Min Expected])&gt;=5,"Yes","No")</f>
        <v>Yes</v>
      </c>
      <c r="I22" s="3" t="str">
        <f>IF(tbl_Significance[[#This Row],[Significant?]]="Yes","Matters – "&amp;tbl_Significance[[#This Row],[Strength]]&amp;" effect","No evidence it matters")&amp;IF(tbl_Significance[[#This Row],[Valid (min expected ≥5)]]="No"," (caution: small expected counts)","")</f>
        <v>No evidence it matters</v>
      </c>
    </row>
    <row r="23" spans="1:9" x14ac:dyDescent="0.25">
      <c r="A23" s="3"/>
      <c r="B23" s="3"/>
      <c r="C23" s="3"/>
      <c r="D23" s="3"/>
      <c r="E23" s="3"/>
      <c r="F23" s="3"/>
      <c r="G23" s="3"/>
      <c r="H23" s="3"/>
      <c r="I23" s="3"/>
    </row>
    <row r="24" spans="1:9" ht="15.75" x14ac:dyDescent="0.25">
      <c r="A24" s="44" t="s">
        <v>390</v>
      </c>
      <c r="B24" s="3"/>
      <c r="C24" s="3"/>
      <c r="D24" s="3"/>
      <c r="E24" s="3"/>
      <c r="F24" s="3"/>
      <c r="G24" s="3"/>
      <c r="H24" s="3"/>
      <c r="I24" s="3"/>
    </row>
    <row r="25" spans="1:9" ht="32.1" customHeight="1" x14ac:dyDescent="0.25">
      <c r="A25" s="87" t="s">
        <v>177</v>
      </c>
      <c r="B25" s="87" t="s">
        <v>190</v>
      </c>
      <c r="C25" s="87" t="s">
        <v>191</v>
      </c>
      <c r="D25" s="87" t="s">
        <v>187</v>
      </c>
      <c r="E25" s="87" t="s">
        <v>188</v>
      </c>
      <c r="F25" s="87" t="s">
        <v>192</v>
      </c>
      <c r="G25" s="87" t="s">
        <v>193</v>
      </c>
      <c r="H25" s="3"/>
      <c r="I25" s="3"/>
    </row>
    <row r="26" spans="1:9" x14ac:dyDescent="0.25">
      <c r="A26" s="73" t="s">
        <v>119</v>
      </c>
      <c r="B26" s="92">
        <f>I41</f>
        <v>49.868598878259448</v>
      </c>
      <c r="C26" s="74">
        <f>I42</f>
        <v>1</v>
      </c>
      <c r="D26" s="93">
        <f>I43</f>
        <v>1.6439465600447231E-12</v>
      </c>
      <c r="E26" s="94">
        <f>I44</f>
        <v>0.22331278261277263</v>
      </c>
      <c r="F26" s="95">
        <f>I45</f>
        <v>233.76599999999999</v>
      </c>
      <c r="G26" s="93">
        <f t="shared" ref="G26:G37" si="0">_xlfn.CHISQ.DIST.RT(B26,C26)</f>
        <v>1.6439465600447231E-12</v>
      </c>
      <c r="H26" s="3"/>
      <c r="I26" s="3"/>
    </row>
    <row r="27" spans="1:9" x14ac:dyDescent="0.25">
      <c r="A27" s="73" t="s">
        <v>8</v>
      </c>
      <c r="B27" s="92">
        <f>I48</f>
        <v>50.985548737316478</v>
      </c>
      <c r="C27" s="74">
        <f>I49</f>
        <v>4</v>
      </c>
      <c r="D27" s="93">
        <f>I50</f>
        <v>2.2477924286553337E-10</v>
      </c>
      <c r="E27" s="94">
        <f>I51</f>
        <v>0.22579979791247926</v>
      </c>
      <c r="F27" s="95">
        <f>I52</f>
        <v>28.379000000000001</v>
      </c>
      <c r="G27" s="93">
        <f t="shared" si="0"/>
        <v>2.2477924286553185E-10</v>
      </c>
      <c r="H27" s="3"/>
      <c r="I27" s="3"/>
    </row>
    <row r="28" spans="1:9" x14ac:dyDescent="0.25">
      <c r="A28" s="73" t="s">
        <v>9</v>
      </c>
      <c r="B28" s="92">
        <f>I57</f>
        <v>34.511748606504639</v>
      </c>
      <c r="C28" s="74">
        <f>I58</f>
        <v>4</v>
      </c>
      <c r="D28" s="93">
        <f>I59</f>
        <v>5.8515597847295239E-7</v>
      </c>
      <c r="E28" s="94">
        <f>I60</f>
        <v>0.18577337970361804</v>
      </c>
      <c r="F28" s="95">
        <f>I61</f>
        <v>53.390999999999998</v>
      </c>
      <c r="G28" s="93">
        <f t="shared" si="0"/>
        <v>5.8515597847295038E-7</v>
      </c>
      <c r="H28" s="3"/>
      <c r="I28" s="3"/>
    </row>
    <row r="29" spans="1:9" x14ac:dyDescent="0.25">
      <c r="A29" s="73" t="s">
        <v>115</v>
      </c>
      <c r="B29" s="92">
        <f>I66</f>
        <v>42.229226359618323</v>
      </c>
      <c r="C29" s="74">
        <f>I67</f>
        <v>4</v>
      </c>
      <c r="D29" s="93">
        <f>I68</f>
        <v>1.495269090074093E-8</v>
      </c>
      <c r="E29" s="94">
        <f>I69</f>
        <v>0.20549750937570588</v>
      </c>
      <c r="F29" s="95">
        <f>I70</f>
        <v>48.1</v>
      </c>
      <c r="G29" s="93">
        <f t="shared" si="0"/>
        <v>1.4952690900740982E-8</v>
      </c>
      <c r="H29" s="3"/>
      <c r="I29" s="3"/>
    </row>
    <row r="30" spans="1:9" x14ac:dyDescent="0.25">
      <c r="A30" s="73" t="s">
        <v>4</v>
      </c>
      <c r="B30" s="92">
        <f>I75</f>
        <v>32.055151421498195</v>
      </c>
      <c r="C30" s="74">
        <f>I76</f>
        <v>5</v>
      </c>
      <c r="D30" s="93">
        <f>I77</f>
        <v>5.7937087694594926E-6</v>
      </c>
      <c r="E30" s="94">
        <f>I78</f>
        <v>0.17903952474662738</v>
      </c>
      <c r="F30" s="95">
        <f>I79</f>
        <v>38.960999999999999</v>
      </c>
      <c r="G30" s="93">
        <f t="shared" si="0"/>
        <v>5.7937087694594926E-6</v>
      </c>
      <c r="H30" s="3"/>
      <c r="I30" s="3"/>
    </row>
    <row r="31" spans="1:9" x14ac:dyDescent="0.25">
      <c r="A31" s="73" t="s">
        <v>5</v>
      </c>
      <c r="B31" s="92">
        <f>I85</f>
        <v>25.33268453284456</v>
      </c>
      <c r="C31" s="74">
        <f>I86</f>
        <v>4</v>
      </c>
      <c r="D31" s="93">
        <f>I87</f>
        <v>4.3125062847906808E-5</v>
      </c>
      <c r="E31" s="94">
        <f>I88</f>
        <v>0.15916244699314144</v>
      </c>
      <c r="F31" s="95">
        <f>I89</f>
        <v>36.555999999999997</v>
      </c>
      <c r="G31" s="93">
        <f t="shared" si="0"/>
        <v>4.3125062847906734E-5</v>
      </c>
      <c r="H31" s="3"/>
      <c r="I31" s="3"/>
    </row>
    <row r="32" spans="1:9" x14ac:dyDescent="0.25">
      <c r="A32" s="73" t="s">
        <v>10</v>
      </c>
      <c r="B32" s="92">
        <f>I94</f>
        <v>13.752387318679251</v>
      </c>
      <c r="C32" s="74">
        <f>I95</f>
        <v>2</v>
      </c>
      <c r="D32" s="93">
        <f>I96</f>
        <v>1.0320649691107665E-3</v>
      </c>
      <c r="E32" s="94">
        <f>I97</f>
        <v>0.11727057311482388</v>
      </c>
      <c r="F32" s="95">
        <f>I98</f>
        <v>92.352000000000004</v>
      </c>
      <c r="G32" s="93">
        <f t="shared" si="0"/>
        <v>1.0320649691107665E-3</v>
      </c>
      <c r="H32" s="3"/>
      <c r="I32" s="3"/>
    </row>
    <row r="33" spans="1:9" x14ac:dyDescent="0.25">
      <c r="A33" s="73" t="s">
        <v>1</v>
      </c>
      <c r="B33" s="92">
        <f>I101</f>
        <v>12.435557550197519</v>
      </c>
      <c r="C33" s="74">
        <f>I102</f>
        <v>1</v>
      </c>
      <c r="D33" s="93">
        <f>I103</f>
        <v>4.2123654776274653E-4</v>
      </c>
      <c r="E33" s="94">
        <f>I104</f>
        <v>0.11151483107729447</v>
      </c>
      <c r="F33" s="95">
        <f>I105</f>
        <v>222.22200000000001</v>
      </c>
      <c r="G33" s="93">
        <f t="shared" si="0"/>
        <v>4.2123654776274653E-4</v>
      </c>
      <c r="H33" s="3"/>
      <c r="I33" s="3"/>
    </row>
    <row r="34" spans="1:9" x14ac:dyDescent="0.25">
      <c r="A34" s="73" t="s">
        <v>117</v>
      </c>
      <c r="B34" s="92">
        <f>I108</f>
        <v>11.267838055706134</v>
      </c>
      <c r="C34" s="74">
        <f>I109</f>
        <v>3</v>
      </c>
      <c r="D34" s="93">
        <f>I110</f>
        <v>1.0362328424187163E-2</v>
      </c>
      <c r="E34" s="94">
        <f>I111</f>
        <v>0.10615007327225985</v>
      </c>
      <c r="F34" s="95">
        <f>I112</f>
        <v>50.505000000000003</v>
      </c>
      <c r="G34" s="93">
        <f t="shared" si="0"/>
        <v>1.0362328424187163E-2</v>
      </c>
      <c r="H34" s="3"/>
      <c r="I34" s="3"/>
    </row>
    <row r="35" spans="1:9" x14ac:dyDescent="0.25">
      <c r="A35" s="73" t="s">
        <v>6</v>
      </c>
      <c r="B35" s="92">
        <f>I116</f>
        <v>8.0056919518661136</v>
      </c>
      <c r="C35" s="74">
        <f>I117</f>
        <v>4</v>
      </c>
      <c r="D35" s="93">
        <f>I118</f>
        <v>9.1369913356531343E-2</v>
      </c>
      <c r="E35" s="94">
        <f>I119</f>
        <v>8.9474532420494454E-2</v>
      </c>
      <c r="F35" s="95">
        <f>I120</f>
        <v>57.238999999999997</v>
      </c>
      <c r="G35" s="93">
        <f t="shared" si="0"/>
        <v>9.1369913356531343E-2</v>
      </c>
      <c r="H35" s="3"/>
      <c r="I35" s="3"/>
    </row>
    <row r="36" spans="1:9" x14ac:dyDescent="0.25">
      <c r="A36" s="73" t="s">
        <v>7</v>
      </c>
      <c r="B36" s="92">
        <f>I125</f>
        <v>0.22963225268048892</v>
      </c>
      <c r="C36" s="74">
        <f>I126</f>
        <v>1</v>
      </c>
      <c r="D36" s="93">
        <f>I127</f>
        <v>0.63179664172506</v>
      </c>
      <c r="E36" s="94">
        <f>I128</f>
        <v>1.5153621767765253E-2</v>
      </c>
      <c r="F36" s="95">
        <f>I129</f>
        <v>152.477</v>
      </c>
      <c r="G36" s="93">
        <f t="shared" si="0"/>
        <v>0.63179664172506</v>
      </c>
      <c r="H36" s="3"/>
      <c r="I36" s="3"/>
    </row>
    <row r="37" spans="1:9" x14ac:dyDescent="0.25">
      <c r="A37" s="73" t="s">
        <v>2</v>
      </c>
      <c r="B37" s="92">
        <f>I132</f>
        <v>0.2303909286912178</v>
      </c>
      <c r="C37" s="74">
        <f>I133</f>
        <v>1</v>
      </c>
      <c r="D37" s="93">
        <f>I134</f>
        <v>0.63123411216662872</v>
      </c>
      <c r="E37" s="94">
        <f>I135</f>
        <v>1.5178633953397051E-2</v>
      </c>
      <c r="F37" s="95">
        <f>I136</f>
        <v>235.209</v>
      </c>
      <c r="G37" s="93">
        <f t="shared" si="0"/>
        <v>0.63123411216662872</v>
      </c>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ht="18" customHeight="1" x14ac:dyDescent="0.25">
      <c r="A40" s="106" t="s">
        <v>119</v>
      </c>
      <c r="B40" s="3"/>
      <c r="C40" s="3"/>
      <c r="D40" s="3"/>
      <c r="E40" s="3"/>
      <c r="F40" s="3"/>
      <c r="G40" s="3"/>
      <c r="H40" s="3"/>
      <c r="I40" s="3"/>
    </row>
    <row r="41" spans="1:9" ht="30" customHeight="1" x14ac:dyDescent="0.25">
      <c r="A41" s="107" t="s">
        <v>171</v>
      </c>
      <c r="B41" s="45" t="s">
        <v>183</v>
      </c>
      <c r="C41" s="45" t="s">
        <v>391</v>
      </c>
      <c r="D41" s="45" t="s">
        <v>184</v>
      </c>
      <c r="E41" s="72" t="s">
        <v>392</v>
      </c>
      <c r="F41" s="72" t="s">
        <v>393</v>
      </c>
      <c r="G41" s="3"/>
      <c r="H41" s="41" t="s">
        <v>185</v>
      </c>
      <c r="I41" s="101" cm="1">
        <f t="array" ref="I41">SUM((_xlfn.ANCHORARRAY(B42)-_xlfn.ANCHORARRAY(E42))^2/_xlfn.ANCHORARRAY(E42))+SUM((_xlfn.ANCHORARRAY(C42)-_xlfn.ANCHORARRAY(F42))^2/_xlfn.ANCHORARRAY(F42))</f>
        <v>49.868598878259448</v>
      </c>
    </row>
    <row r="42" spans="1:9" ht="18" customHeight="1" x14ac:dyDescent="0.25">
      <c r="A42" s="46" t="str" cm="1">
        <f t="array" ref="A42:A43">_xlfn.LET(_xlpm.s,_xlfn.UNIQUE(tbl_Clean[Car Ownership]),_xlfn.SORTBY(_xlpm.s,COUNTIFS(tbl_Clean[Car Ownership],_xlpm.s,tbl_Clean[Purchased Flag],1)/COUNTIFS(tbl_Clean[Car Ownership],_xlpm.s),-1))</f>
        <v>0-1 Cars</v>
      </c>
      <c r="B42" s="49" cm="1">
        <f t="array" ref="B42:B43">COUNTIFS(tbl_Clean[Car Ownership],_xlfn.ANCHORARRAY(A42),tbl_Clean[Purchased Flag],1)</f>
        <v>303</v>
      </c>
      <c r="C42" s="49" cm="1">
        <f t="array" ref="C42:C43">COUNTIFS(tbl_Clean[Car Ownership],_xlfn.ANCHORARRAY(A42),tbl_Clean[Purchased Flag],0)</f>
        <v>211</v>
      </c>
      <c r="D42" s="49" cm="1">
        <f t="array" ref="D42:D43">_xlfn.ANCHORARRAY(B42)+_xlfn.ANCHORARRAY(C42)</f>
        <v>514</v>
      </c>
      <c r="E42" s="91" cm="1">
        <f t="array" ref="E42:E43">_xlfn.ANCHORARRAY(D42)*B44/D44</f>
        <v>247.23400000000001</v>
      </c>
      <c r="F42" s="91" cm="1">
        <f t="array" ref="F42:F43">_xlfn.ANCHORARRAY(D42)*C44/D44</f>
        <v>266.76600000000002</v>
      </c>
      <c r="G42" s="3"/>
      <c r="H42" s="99" t="s">
        <v>186</v>
      </c>
      <c r="I42" s="102">
        <f>(ROWS(_xlfn.ANCHORARRAY(A42))-1)*(2-1)</f>
        <v>1</v>
      </c>
    </row>
    <row r="43" spans="1:9" ht="18" customHeight="1" x14ac:dyDescent="0.25">
      <c r="A43" s="47" t="str">
        <v>2+ Cars</v>
      </c>
      <c r="B43" s="50">
        <v>178</v>
      </c>
      <c r="C43" s="50">
        <v>308</v>
      </c>
      <c r="D43" s="50">
        <v>486</v>
      </c>
      <c r="E43" s="96">
        <v>233.76599999999999</v>
      </c>
      <c r="F43" s="96">
        <v>252.23400000000001</v>
      </c>
      <c r="G43" s="3"/>
      <c r="H43" s="99" t="s">
        <v>187</v>
      </c>
      <c r="I43" s="103">
        <f>_xlfn.CHISQ.TEST(_xlfn.HSTACK(_xlfn.ANCHORARRAY(B42),_xlfn.ANCHORARRAY(C42)),_xlfn.HSTACK(_xlfn.ANCHORARRAY(E42),_xlfn.ANCHORARRAY(F42)))</f>
        <v>1.6439465600447231E-12</v>
      </c>
    </row>
    <row r="44" spans="1:9" ht="18" customHeight="1" thickBot="1" x14ac:dyDescent="0.3">
      <c r="A44" s="108" t="s">
        <v>184</v>
      </c>
      <c r="B44" s="97">
        <f>SUM(_xlfn.ANCHORARRAY(B42))</f>
        <v>481</v>
      </c>
      <c r="C44" s="97">
        <f>SUM(_xlfn.ANCHORARRAY(C42))</f>
        <v>519</v>
      </c>
      <c r="D44" s="97">
        <f>SUM(_xlfn.ANCHORARRAY(D42))</f>
        <v>1000</v>
      </c>
      <c r="E44" s="98">
        <f>SUM(_xlfn.ANCHORARRAY(E42))</f>
        <v>481</v>
      </c>
      <c r="F44" s="98">
        <f>SUM(_xlfn.ANCHORARRAY(F42))</f>
        <v>519</v>
      </c>
      <c r="G44" s="3"/>
      <c r="H44" s="99" t="s">
        <v>188</v>
      </c>
      <c r="I44" s="104">
        <f>SQRT(I41/D44)</f>
        <v>0.22331278261277263</v>
      </c>
    </row>
    <row r="45" spans="1:9" ht="18" customHeight="1" thickTop="1" x14ac:dyDescent="0.25">
      <c r="A45" s="46"/>
      <c r="B45" s="3"/>
      <c r="C45" s="3"/>
      <c r="D45" s="3"/>
      <c r="E45" s="3"/>
      <c r="F45" s="3"/>
      <c r="G45" s="3"/>
      <c r="H45" s="100" t="s">
        <v>189</v>
      </c>
      <c r="I45" s="105">
        <f>MIN(_xlfn.ANCHORARRAY(E42),_xlfn.ANCHORARRAY(F42))</f>
        <v>233.76599999999999</v>
      </c>
    </row>
    <row r="46" spans="1:9" ht="18" customHeight="1" x14ac:dyDescent="0.25">
      <c r="A46" s="46"/>
      <c r="B46" s="3"/>
      <c r="C46" s="3"/>
      <c r="D46" s="3"/>
      <c r="E46" s="3"/>
      <c r="F46" s="3"/>
      <c r="G46" s="3"/>
      <c r="H46" s="3"/>
      <c r="I46" s="3"/>
    </row>
    <row r="47" spans="1:9" ht="18" customHeight="1" x14ac:dyDescent="0.25">
      <c r="A47" s="106" t="s">
        <v>8</v>
      </c>
      <c r="B47" s="3"/>
      <c r="C47" s="3"/>
      <c r="D47" s="3"/>
      <c r="E47" s="3"/>
      <c r="F47" s="3"/>
      <c r="G47" s="3"/>
      <c r="H47" s="3"/>
      <c r="I47" s="3"/>
    </row>
    <row r="48" spans="1:9" ht="30" customHeight="1" x14ac:dyDescent="0.25">
      <c r="A48" s="107" t="s">
        <v>171</v>
      </c>
      <c r="B48" s="45" t="s">
        <v>183</v>
      </c>
      <c r="C48" s="45" t="s">
        <v>391</v>
      </c>
      <c r="D48" s="45" t="s">
        <v>184</v>
      </c>
      <c r="E48" s="72" t="s">
        <v>392</v>
      </c>
      <c r="F48" s="72" t="s">
        <v>393</v>
      </c>
      <c r="G48" s="3"/>
      <c r="H48" s="41" t="s">
        <v>185</v>
      </c>
      <c r="I48" s="101" cm="1">
        <f t="array" ref="I48">SUM((_xlfn.ANCHORARRAY(B49)-_xlfn.ANCHORARRAY(E49))^2/_xlfn.ANCHORARRAY(E49))+SUM((_xlfn.ANCHORARRAY(C49)-_xlfn.ANCHORARRAY(F49))^2/_xlfn.ANCHORARRAY(F49))</f>
        <v>50.985548737316478</v>
      </c>
    </row>
    <row r="49" spans="1:9" ht="18" customHeight="1" x14ac:dyDescent="0.25">
      <c r="A49" s="46" cm="1">
        <f t="array" ref="A49:A53">_xlfn._xlws.SORT(_xlfn.UNIQUE(tbl_Clean[Cars]))</f>
        <v>0</v>
      </c>
      <c r="B49" s="49" cm="1">
        <f t="array" ref="B49:B53">COUNTIFS(tbl_Clean[Cars],_xlfn.ANCHORARRAY(A49),tbl_Clean[Purchased Flag],1)</f>
        <v>151</v>
      </c>
      <c r="C49" s="49" cm="1">
        <f t="array" ref="C49:C53">COUNTIFS(tbl_Clean[Cars],_xlfn.ANCHORARRAY(A49),tbl_Clean[Purchased Flag],0)</f>
        <v>96</v>
      </c>
      <c r="D49" s="49" cm="1">
        <f t="array" ref="D49:D53">_xlfn.ANCHORARRAY(B49)+_xlfn.ANCHORARRAY(C49)</f>
        <v>247</v>
      </c>
      <c r="E49" s="91" cm="1">
        <f t="array" ref="E49:E53">_xlfn.ANCHORARRAY(D49)*B54/D54</f>
        <v>118.807</v>
      </c>
      <c r="F49" s="91" cm="1">
        <f t="array" ref="F49:F53">_xlfn.ANCHORARRAY(D49)*C54/D54</f>
        <v>128.19300000000001</v>
      </c>
      <c r="G49" s="3"/>
      <c r="H49" s="99" t="s">
        <v>186</v>
      </c>
      <c r="I49" s="102">
        <f>(ROWS(_xlfn.ANCHORARRAY(A49))-1)*(2-1)</f>
        <v>4</v>
      </c>
    </row>
    <row r="50" spans="1:9" ht="18" customHeight="1" x14ac:dyDescent="0.25">
      <c r="A50" s="47">
        <v>1</v>
      </c>
      <c r="B50" s="50">
        <v>152</v>
      </c>
      <c r="C50" s="50">
        <v>115</v>
      </c>
      <c r="D50" s="50">
        <v>267</v>
      </c>
      <c r="E50" s="96">
        <v>128.42699999999999</v>
      </c>
      <c r="F50" s="96">
        <v>138.57300000000001</v>
      </c>
      <c r="G50" s="3"/>
      <c r="H50" s="99" t="s">
        <v>187</v>
      </c>
      <c r="I50" s="103">
        <f>_xlfn.CHISQ.TEST(_xlfn.HSTACK(_xlfn.ANCHORARRAY(B49),_xlfn.ANCHORARRAY(C49)),_xlfn.HSTACK(_xlfn.ANCHORARRAY(E49),_xlfn.ANCHORARRAY(F49)))</f>
        <v>2.2477924286553337E-10</v>
      </c>
    </row>
    <row r="51" spans="1:9" ht="18" customHeight="1" x14ac:dyDescent="0.25">
      <c r="A51" s="46">
        <v>2</v>
      </c>
      <c r="B51" s="49">
        <v>124</v>
      </c>
      <c r="C51" s="49">
        <v>218</v>
      </c>
      <c r="D51" s="49">
        <v>342</v>
      </c>
      <c r="E51" s="91">
        <v>164.50200000000001</v>
      </c>
      <c r="F51" s="91">
        <v>177.49799999999999</v>
      </c>
      <c r="G51" s="3"/>
      <c r="H51" s="99" t="s">
        <v>188</v>
      </c>
      <c r="I51" s="104">
        <f>SQRT(I48/D54)</f>
        <v>0.22579979791247926</v>
      </c>
    </row>
    <row r="52" spans="1:9" ht="18" customHeight="1" x14ac:dyDescent="0.25">
      <c r="A52" s="47">
        <v>3</v>
      </c>
      <c r="B52" s="50">
        <v>33</v>
      </c>
      <c r="C52" s="50">
        <v>52</v>
      </c>
      <c r="D52" s="50">
        <v>85</v>
      </c>
      <c r="E52" s="96">
        <v>40.884999999999998</v>
      </c>
      <c r="F52" s="96">
        <v>44.115000000000002</v>
      </c>
      <c r="G52" s="3"/>
      <c r="H52" s="100" t="s">
        <v>189</v>
      </c>
      <c r="I52" s="105">
        <f>MIN(_xlfn.ANCHORARRAY(E49),_xlfn.ANCHORARRAY(F49))</f>
        <v>28.379000000000001</v>
      </c>
    </row>
    <row r="53" spans="1:9" ht="18" customHeight="1" x14ac:dyDescent="0.25">
      <c r="A53" s="46">
        <v>4</v>
      </c>
      <c r="B53" s="49">
        <v>21</v>
      </c>
      <c r="C53" s="49">
        <v>38</v>
      </c>
      <c r="D53" s="49">
        <v>59</v>
      </c>
      <c r="E53" s="91">
        <v>28.379000000000001</v>
      </c>
      <c r="F53" s="91">
        <v>30.620999999999999</v>
      </c>
      <c r="G53" s="3"/>
      <c r="H53" s="3"/>
      <c r="I53" s="3"/>
    </row>
    <row r="54" spans="1:9" ht="18" customHeight="1" thickBot="1" x14ac:dyDescent="0.3">
      <c r="A54" s="108" t="s">
        <v>184</v>
      </c>
      <c r="B54" s="97">
        <f>SUM(_xlfn.ANCHORARRAY(B49))</f>
        <v>481</v>
      </c>
      <c r="C54" s="97">
        <f>SUM(_xlfn.ANCHORARRAY(C49))</f>
        <v>519</v>
      </c>
      <c r="D54" s="97">
        <f>SUM(_xlfn.ANCHORARRAY(D49))</f>
        <v>1000</v>
      </c>
      <c r="E54" s="98">
        <f>SUM(_xlfn.ANCHORARRAY(E49))</f>
        <v>481</v>
      </c>
      <c r="F54" s="98">
        <f>SUM(_xlfn.ANCHORARRAY(F49))</f>
        <v>519</v>
      </c>
      <c r="G54" s="3"/>
      <c r="H54" s="3"/>
      <c r="I54" s="3"/>
    </row>
    <row r="55" spans="1:9" ht="18" customHeight="1" thickTop="1" x14ac:dyDescent="0.25">
      <c r="A55" s="46"/>
      <c r="B55" s="3"/>
      <c r="C55" s="3"/>
      <c r="D55" s="3"/>
      <c r="E55" s="3"/>
      <c r="F55" s="3"/>
      <c r="G55" s="3"/>
      <c r="H55" s="3"/>
      <c r="I55" s="3"/>
    </row>
    <row r="56" spans="1:9" ht="18" customHeight="1" x14ac:dyDescent="0.25">
      <c r="A56" s="106" t="s">
        <v>9</v>
      </c>
      <c r="B56" s="3"/>
      <c r="C56" s="3"/>
      <c r="D56" s="3"/>
      <c r="E56" s="3"/>
      <c r="F56" s="3"/>
      <c r="G56" s="3"/>
      <c r="H56" s="3"/>
      <c r="I56" s="3"/>
    </row>
    <row r="57" spans="1:9" ht="30" customHeight="1" x14ac:dyDescent="0.25">
      <c r="A57" s="107" t="s">
        <v>171</v>
      </c>
      <c r="B57" s="45" t="s">
        <v>183</v>
      </c>
      <c r="C57" s="45" t="s">
        <v>391</v>
      </c>
      <c r="D57" s="45" t="s">
        <v>184</v>
      </c>
      <c r="E57" s="72" t="s">
        <v>392</v>
      </c>
      <c r="F57" s="72" t="s">
        <v>393</v>
      </c>
      <c r="G57" s="3"/>
      <c r="H57" s="41" t="s">
        <v>185</v>
      </c>
      <c r="I57" s="101" cm="1">
        <f t="array" ref="I57">SUM((_xlfn.ANCHORARRAY(B58)-_xlfn.ANCHORARRAY(E58))^2/_xlfn.ANCHORARRAY(E58))+SUM((_xlfn.ANCHORARRAY(C58)-_xlfn.ANCHORARRAY(F58))^2/_xlfn.ANCHORARRAY(F58))</f>
        <v>34.511748606504639</v>
      </c>
    </row>
    <row r="58" spans="1:9" ht="18" customHeight="1" x14ac:dyDescent="0.25">
      <c r="A58" s="46" t="str" cm="1">
        <f t="array" ref="A58:A62">_xlfn.LET(_xlpm.u,_xlfn.UNIQUE(_xlfn.HSTACK(tbl_Clean[Commute Distance],tbl_Clean[Commute Sort])),_xlfn.TAKE(_xlfn._xlws.SORT(_xlpm.u,2),,1))</f>
        <v>0-1 Miles</v>
      </c>
      <c r="B58" s="49" cm="1">
        <f t="array" ref="B58:B62">COUNTIFS(tbl_Clean[Commute Distance],_xlfn.ANCHORARRAY(A58),tbl_Clean[Purchased Flag],1)</f>
        <v>200</v>
      </c>
      <c r="C58" s="49" cm="1">
        <f t="array" ref="C58:C62">COUNTIFS(tbl_Clean[Commute Distance],_xlfn.ANCHORARRAY(A58),tbl_Clean[Purchased Flag],0)</f>
        <v>166</v>
      </c>
      <c r="D58" s="49" cm="1">
        <f t="array" ref="D58:D62">_xlfn.ANCHORARRAY(B58)+_xlfn.ANCHORARRAY(C58)</f>
        <v>366</v>
      </c>
      <c r="E58" s="91" cm="1">
        <f t="array" ref="E58:E62">_xlfn.ANCHORARRAY(D58)*B63/D63</f>
        <v>176.04599999999999</v>
      </c>
      <c r="F58" s="91" cm="1">
        <f t="array" ref="F58:F62">_xlfn.ANCHORARRAY(D58)*C63/D63</f>
        <v>189.95400000000001</v>
      </c>
      <c r="G58" s="3"/>
      <c r="H58" s="99" t="s">
        <v>186</v>
      </c>
      <c r="I58" s="102">
        <f>(ROWS(_xlfn.ANCHORARRAY(A58))-1)*(2-1)</f>
        <v>4</v>
      </c>
    </row>
    <row r="59" spans="1:9" ht="18" customHeight="1" x14ac:dyDescent="0.25">
      <c r="A59" s="47" t="str">
        <v>1-2 Miles</v>
      </c>
      <c r="B59" s="50">
        <v>77</v>
      </c>
      <c r="C59" s="50">
        <v>92</v>
      </c>
      <c r="D59" s="50">
        <v>169</v>
      </c>
      <c r="E59" s="96">
        <v>81.289000000000001</v>
      </c>
      <c r="F59" s="96">
        <v>87.710999999999999</v>
      </c>
      <c r="G59" s="3"/>
      <c r="H59" s="99" t="s">
        <v>187</v>
      </c>
      <c r="I59" s="103">
        <f>_xlfn.CHISQ.TEST(_xlfn.HSTACK(_xlfn.ANCHORARRAY(B58),_xlfn.ANCHORARRAY(C58)),_xlfn.HSTACK(_xlfn.ANCHORARRAY(E58),_xlfn.ANCHORARRAY(F58)))</f>
        <v>5.8515597847295239E-7</v>
      </c>
    </row>
    <row r="60" spans="1:9" ht="18" customHeight="1" x14ac:dyDescent="0.25">
      <c r="A60" s="46" t="str">
        <v>2-5 Miles</v>
      </c>
      <c r="B60" s="49">
        <v>95</v>
      </c>
      <c r="C60" s="49">
        <v>67</v>
      </c>
      <c r="D60" s="49">
        <v>162</v>
      </c>
      <c r="E60" s="91">
        <v>77.921999999999997</v>
      </c>
      <c r="F60" s="91">
        <v>84.078000000000003</v>
      </c>
      <c r="G60" s="3"/>
      <c r="H60" s="99" t="s">
        <v>188</v>
      </c>
      <c r="I60" s="104">
        <f>SQRT(I57/D63)</f>
        <v>0.18577337970361804</v>
      </c>
    </row>
    <row r="61" spans="1:9" ht="18" customHeight="1" x14ac:dyDescent="0.25">
      <c r="A61" s="47" t="str">
        <v>5-10 Miles</v>
      </c>
      <c r="B61" s="50">
        <v>76</v>
      </c>
      <c r="C61" s="50">
        <v>116</v>
      </c>
      <c r="D61" s="50">
        <v>192</v>
      </c>
      <c r="E61" s="96">
        <v>92.352000000000004</v>
      </c>
      <c r="F61" s="96">
        <v>99.647999999999996</v>
      </c>
      <c r="G61" s="3"/>
      <c r="H61" s="100" t="s">
        <v>189</v>
      </c>
      <c r="I61" s="105">
        <f>MIN(_xlfn.ANCHORARRAY(E58),_xlfn.ANCHORARRAY(F58))</f>
        <v>53.390999999999998</v>
      </c>
    </row>
    <row r="62" spans="1:9" ht="18" customHeight="1" x14ac:dyDescent="0.25">
      <c r="A62" s="46" t="str">
        <v>10+ Miles</v>
      </c>
      <c r="B62" s="49">
        <v>33</v>
      </c>
      <c r="C62" s="49">
        <v>78</v>
      </c>
      <c r="D62" s="49">
        <v>111</v>
      </c>
      <c r="E62" s="91">
        <v>53.390999999999998</v>
      </c>
      <c r="F62" s="91">
        <v>57.609000000000002</v>
      </c>
      <c r="G62" s="3"/>
      <c r="H62" s="3"/>
      <c r="I62" s="3"/>
    </row>
    <row r="63" spans="1:9" ht="18" customHeight="1" thickBot="1" x14ac:dyDescent="0.3">
      <c r="A63" s="108" t="s">
        <v>184</v>
      </c>
      <c r="B63" s="97">
        <f>SUM(_xlfn.ANCHORARRAY(B58))</f>
        <v>481</v>
      </c>
      <c r="C63" s="97">
        <f>SUM(_xlfn.ANCHORARRAY(C58))</f>
        <v>519</v>
      </c>
      <c r="D63" s="97">
        <f>SUM(_xlfn.ANCHORARRAY(D58))</f>
        <v>1000</v>
      </c>
      <c r="E63" s="98">
        <f>SUM(_xlfn.ANCHORARRAY(E58))</f>
        <v>480.99999999999994</v>
      </c>
      <c r="F63" s="98">
        <f>SUM(_xlfn.ANCHORARRAY(F58))</f>
        <v>519.00000000000011</v>
      </c>
      <c r="G63" s="3"/>
      <c r="H63" s="3"/>
      <c r="I63" s="3"/>
    </row>
    <row r="64" spans="1:9" ht="18" customHeight="1" thickTop="1" x14ac:dyDescent="0.25">
      <c r="A64" s="46"/>
      <c r="B64" s="3"/>
      <c r="C64" s="3"/>
      <c r="D64" s="3"/>
      <c r="E64" s="3"/>
      <c r="F64" s="3"/>
      <c r="G64" s="3"/>
      <c r="H64" s="3"/>
      <c r="I64" s="3"/>
    </row>
    <row r="65" spans="1:9" ht="18" customHeight="1" x14ac:dyDescent="0.25">
      <c r="A65" s="106" t="s">
        <v>115</v>
      </c>
      <c r="B65" s="3"/>
      <c r="C65" s="3"/>
      <c r="D65" s="3"/>
      <c r="E65" s="3"/>
      <c r="F65" s="3"/>
      <c r="G65" s="3"/>
      <c r="H65" s="3"/>
      <c r="I65" s="3"/>
    </row>
    <row r="66" spans="1:9" ht="30" customHeight="1" x14ac:dyDescent="0.25">
      <c r="A66" s="107" t="s">
        <v>171</v>
      </c>
      <c r="B66" s="45" t="s">
        <v>183</v>
      </c>
      <c r="C66" s="45" t="s">
        <v>391</v>
      </c>
      <c r="D66" s="45" t="s">
        <v>184</v>
      </c>
      <c r="E66" s="72" t="s">
        <v>392</v>
      </c>
      <c r="F66" s="72" t="s">
        <v>393</v>
      </c>
      <c r="G66" s="3"/>
      <c r="H66" s="41" t="s">
        <v>185</v>
      </c>
      <c r="I66" s="101" cm="1">
        <f t="array" ref="I66">SUM((_xlfn.ANCHORARRAY(B67)-_xlfn.ANCHORARRAY(E67))^2/_xlfn.ANCHORARRAY(E67))+SUM((_xlfn.ANCHORARRAY(C67)-_xlfn.ANCHORARRAY(F67))^2/_xlfn.ANCHORARRAY(F67))</f>
        <v>42.229226359618323</v>
      </c>
    </row>
    <row r="67" spans="1:9" ht="18" customHeight="1" x14ac:dyDescent="0.25">
      <c r="A67" s="46" t="str" cm="1">
        <f t="array" ref="A67:A71">_xlfn.LET(_xlpm.u,_xlfn.UNIQUE(_xlfn.HSTACK(tbl_Clean[Age Band],tbl_Clean[Age Band Sort])),_xlfn.TAKE(_xlfn._xlws.SORT(_xlpm.u,2),,1))</f>
        <v>25-30</v>
      </c>
      <c r="B67" s="49" cm="1">
        <f t="array" ref="B67:B71">COUNTIFS(tbl_Clean[Age Band],_xlfn.ANCHORARRAY(A67),tbl_Clean[Purchased Flag],1)</f>
        <v>39</v>
      </c>
      <c r="C67" s="49" cm="1">
        <f t="array" ref="C67:C71">COUNTIFS(tbl_Clean[Age Band],_xlfn.ANCHORARRAY(A67),tbl_Clean[Purchased Flag],0)</f>
        <v>71</v>
      </c>
      <c r="D67" s="49" cm="1">
        <f t="array" ref="D67:D71">_xlfn.ANCHORARRAY(B67)+_xlfn.ANCHORARRAY(C67)</f>
        <v>110</v>
      </c>
      <c r="E67" s="91" cm="1">
        <f t="array" ref="E67:E71">_xlfn.ANCHORARRAY(D67)*B72/D72</f>
        <v>52.91</v>
      </c>
      <c r="F67" s="91" cm="1">
        <f t="array" ref="F67:F71">_xlfn.ANCHORARRAY(D67)*C72/D72</f>
        <v>57.09</v>
      </c>
      <c r="G67" s="3"/>
      <c r="H67" s="99" t="s">
        <v>186</v>
      </c>
      <c r="I67" s="102">
        <f>(ROWS(_xlfn.ANCHORARRAY(A67))-1)*(2-1)</f>
        <v>4</v>
      </c>
    </row>
    <row r="68" spans="1:9" ht="18" customHeight="1" x14ac:dyDescent="0.25">
      <c r="A68" s="47" t="str">
        <v>31-40</v>
      </c>
      <c r="B68" s="50">
        <v>193</v>
      </c>
      <c r="C68" s="50">
        <v>123</v>
      </c>
      <c r="D68" s="50">
        <v>316</v>
      </c>
      <c r="E68" s="96">
        <v>151.99600000000001</v>
      </c>
      <c r="F68" s="96">
        <v>164.00399999999999</v>
      </c>
      <c r="G68" s="3"/>
      <c r="H68" s="99" t="s">
        <v>187</v>
      </c>
      <c r="I68" s="103">
        <f>_xlfn.CHISQ.TEST(_xlfn.HSTACK(_xlfn.ANCHORARRAY(B67),_xlfn.ANCHORARRAY(C67)),_xlfn.HSTACK(_xlfn.ANCHORARRAY(E67),_xlfn.ANCHORARRAY(F67)))</f>
        <v>1.495269090074093E-8</v>
      </c>
    </row>
    <row r="69" spans="1:9" ht="18" customHeight="1" x14ac:dyDescent="0.25">
      <c r="A69" s="46" t="str">
        <v>41-50</v>
      </c>
      <c r="B69" s="49">
        <v>139</v>
      </c>
      <c r="C69" s="49">
        <v>159</v>
      </c>
      <c r="D69" s="49">
        <v>298</v>
      </c>
      <c r="E69" s="91">
        <v>143.33799999999999</v>
      </c>
      <c r="F69" s="91">
        <v>154.66200000000001</v>
      </c>
      <c r="G69" s="3"/>
      <c r="H69" s="99" t="s">
        <v>188</v>
      </c>
      <c r="I69" s="104">
        <f>SQRT(I66/D72)</f>
        <v>0.20549750937570588</v>
      </c>
    </row>
    <row r="70" spans="1:9" ht="18" customHeight="1" x14ac:dyDescent="0.25">
      <c r="A70" s="47" t="str">
        <v>51-60</v>
      </c>
      <c r="B70" s="50">
        <v>80</v>
      </c>
      <c r="C70" s="50">
        <v>96</v>
      </c>
      <c r="D70" s="50">
        <v>176</v>
      </c>
      <c r="E70" s="96">
        <v>84.656000000000006</v>
      </c>
      <c r="F70" s="96">
        <v>91.343999999999994</v>
      </c>
      <c r="G70" s="3"/>
      <c r="H70" s="100" t="s">
        <v>189</v>
      </c>
      <c r="I70" s="105">
        <f>MIN(_xlfn.ANCHORARRAY(E67),_xlfn.ANCHORARRAY(F67))</f>
        <v>48.1</v>
      </c>
    </row>
    <row r="71" spans="1:9" ht="18" customHeight="1" x14ac:dyDescent="0.25">
      <c r="A71" s="46" t="str">
        <v>61+</v>
      </c>
      <c r="B71" s="49">
        <v>30</v>
      </c>
      <c r="C71" s="49">
        <v>70</v>
      </c>
      <c r="D71" s="49">
        <v>100</v>
      </c>
      <c r="E71" s="91">
        <v>48.1</v>
      </c>
      <c r="F71" s="91">
        <v>51.9</v>
      </c>
      <c r="G71" s="3"/>
      <c r="H71" s="3"/>
      <c r="I71" s="3"/>
    </row>
    <row r="72" spans="1:9" ht="18" customHeight="1" thickBot="1" x14ac:dyDescent="0.3">
      <c r="A72" s="108" t="s">
        <v>184</v>
      </c>
      <c r="B72" s="97">
        <f>SUM(_xlfn.ANCHORARRAY(B67))</f>
        <v>481</v>
      </c>
      <c r="C72" s="97">
        <f>SUM(_xlfn.ANCHORARRAY(C67))</f>
        <v>519</v>
      </c>
      <c r="D72" s="97">
        <f>SUM(_xlfn.ANCHORARRAY(D67))</f>
        <v>1000</v>
      </c>
      <c r="E72" s="98">
        <f>SUM(_xlfn.ANCHORARRAY(E67))</f>
        <v>481.00000000000006</v>
      </c>
      <c r="F72" s="98">
        <f>SUM(_xlfn.ANCHORARRAY(F67))</f>
        <v>519</v>
      </c>
      <c r="G72" s="3"/>
      <c r="H72" s="3"/>
      <c r="I72" s="3"/>
    </row>
    <row r="73" spans="1:9" ht="18" customHeight="1" thickTop="1" x14ac:dyDescent="0.25">
      <c r="A73" s="46"/>
      <c r="B73" s="3"/>
      <c r="C73" s="3"/>
      <c r="D73" s="3"/>
      <c r="E73" s="3"/>
      <c r="F73" s="3"/>
      <c r="G73" s="3"/>
      <c r="H73" s="3"/>
      <c r="I73" s="3"/>
    </row>
    <row r="74" spans="1:9" ht="18" customHeight="1" x14ac:dyDescent="0.25">
      <c r="A74" s="106" t="s">
        <v>4</v>
      </c>
      <c r="B74" s="3"/>
      <c r="C74" s="3"/>
      <c r="D74" s="3"/>
      <c r="E74" s="3"/>
      <c r="F74" s="3"/>
      <c r="G74" s="3"/>
      <c r="H74" s="3"/>
      <c r="I74" s="3"/>
    </row>
    <row r="75" spans="1:9" ht="30" customHeight="1" x14ac:dyDescent="0.25">
      <c r="A75" s="107" t="s">
        <v>171</v>
      </c>
      <c r="B75" s="45" t="s">
        <v>183</v>
      </c>
      <c r="C75" s="45" t="s">
        <v>391</v>
      </c>
      <c r="D75" s="45" t="s">
        <v>184</v>
      </c>
      <c r="E75" s="72" t="s">
        <v>392</v>
      </c>
      <c r="F75" s="72" t="s">
        <v>393</v>
      </c>
      <c r="G75" s="3"/>
      <c r="H75" s="41" t="s">
        <v>185</v>
      </c>
      <c r="I75" s="101" cm="1">
        <f t="array" ref="I75">SUM((_xlfn.ANCHORARRAY(B76)-_xlfn.ANCHORARRAY(E76))^2/_xlfn.ANCHORARRAY(E76))+SUM((_xlfn.ANCHORARRAY(C76)-_xlfn.ANCHORARRAY(F76))^2/_xlfn.ANCHORARRAY(F76))</f>
        <v>32.055151421498195</v>
      </c>
    </row>
    <row r="76" spans="1:9" ht="18" customHeight="1" x14ac:dyDescent="0.25">
      <c r="A76" s="46" cm="1">
        <f t="array" ref="A76:A81">_xlfn._xlws.SORT(_xlfn.UNIQUE(tbl_Clean[Children]))</f>
        <v>0</v>
      </c>
      <c r="B76" s="49" cm="1">
        <f t="array" ref="B76:B81">COUNTIFS(tbl_Clean[Children],_xlfn.ANCHORARRAY(A76),tbl_Clean[Purchased Flag],1)</f>
        <v>142</v>
      </c>
      <c r="C76" s="49" cm="1">
        <f t="array" ref="C76:C81">COUNTIFS(tbl_Clean[Children],_xlfn.ANCHORARRAY(A76),tbl_Clean[Purchased Flag],0)</f>
        <v>139</v>
      </c>
      <c r="D76" s="49" cm="1">
        <f t="array" ref="D76:D81">_xlfn.ANCHORARRAY(B76)+_xlfn.ANCHORARRAY(C76)</f>
        <v>281</v>
      </c>
      <c r="E76" s="91" cm="1">
        <f t="array" ref="E76:E81">_xlfn.ANCHORARRAY(D76)*B82/D82</f>
        <v>135.161</v>
      </c>
      <c r="F76" s="91" cm="1">
        <f t="array" ref="F76:F81">_xlfn.ANCHORARRAY(D76)*C82/D82</f>
        <v>145.839</v>
      </c>
      <c r="G76" s="3"/>
      <c r="H76" s="99" t="s">
        <v>186</v>
      </c>
      <c r="I76" s="102">
        <f>(ROWS(_xlfn.ANCHORARRAY(A76))-1)*(2-1)</f>
        <v>5</v>
      </c>
    </row>
    <row r="77" spans="1:9" ht="18" customHeight="1" x14ac:dyDescent="0.25">
      <c r="A77" s="47">
        <v>1</v>
      </c>
      <c r="B77" s="50">
        <v>97</v>
      </c>
      <c r="C77" s="50">
        <v>72</v>
      </c>
      <c r="D77" s="50">
        <v>169</v>
      </c>
      <c r="E77" s="96">
        <v>81.289000000000001</v>
      </c>
      <c r="F77" s="96">
        <v>87.710999999999999</v>
      </c>
      <c r="G77" s="3"/>
      <c r="H77" s="99" t="s">
        <v>187</v>
      </c>
      <c r="I77" s="103">
        <f>_xlfn.CHISQ.TEST(_xlfn.HSTACK(_xlfn.ANCHORARRAY(B76),_xlfn.ANCHORARRAY(C76)),_xlfn.HSTACK(_xlfn.ANCHORARRAY(E76),_xlfn.ANCHORARRAY(F76)))</f>
        <v>5.7937087694594926E-6</v>
      </c>
    </row>
    <row r="78" spans="1:9" ht="18" customHeight="1" x14ac:dyDescent="0.25">
      <c r="A78" s="46">
        <v>2</v>
      </c>
      <c r="B78" s="49">
        <v>97</v>
      </c>
      <c r="C78" s="49">
        <v>112</v>
      </c>
      <c r="D78" s="49">
        <v>209</v>
      </c>
      <c r="E78" s="91">
        <v>100.529</v>
      </c>
      <c r="F78" s="91">
        <v>108.471</v>
      </c>
      <c r="G78" s="3"/>
      <c r="H78" s="99" t="s">
        <v>188</v>
      </c>
      <c r="I78" s="104">
        <f>SQRT(I75/D82)</f>
        <v>0.17903952474662738</v>
      </c>
    </row>
    <row r="79" spans="1:9" ht="18" customHeight="1" x14ac:dyDescent="0.25">
      <c r="A79" s="47">
        <v>3</v>
      </c>
      <c r="B79" s="50">
        <v>73</v>
      </c>
      <c r="C79" s="50">
        <v>61</v>
      </c>
      <c r="D79" s="50">
        <v>134</v>
      </c>
      <c r="E79" s="96">
        <v>64.453999999999994</v>
      </c>
      <c r="F79" s="96">
        <v>69.546000000000006</v>
      </c>
      <c r="G79" s="3"/>
      <c r="H79" s="100" t="s">
        <v>189</v>
      </c>
      <c r="I79" s="105">
        <f>MIN(_xlfn.ANCHORARRAY(E76),_xlfn.ANCHORARRAY(F76))</f>
        <v>38.960999999999999</v>
      </c>
    </row>
    <row r="80" spans="1:9" ht="18" customHeight="1" x14ac:dyDescent="0.25">
      <c r="A80" s="46">
        <v>4</v>
      </c>
      <c r="B80" s="49">
        <v>54</v>
      </c>
      <c r="C80" s="49">
        <v>72</v>
      </c>
      <c r="D80" s="49">
        <v>126</v>
      </c>
      <c r="E80" s="91">
        <v>60.606000000000002</v>
      </c>
      <c r="F80" s="91">
        <v>65.394000000000005</v>
      </c>
      <c r="G80" s="3"/>
      <c r="H80" s="3"/>
      <c r="I80" s="3"/>
    </row>
    <row r="81" spans="1:9" ht="18" customHeight="1" x14ac:dyDescent="0.25">
      <c r="A81" s="47">
        <v>5</v>
      </c>
      <c r="B81" s="50">
        <v>18</v>
      </c>
      <c r="C81" s="50">
        <v>63</v>
      </c>
      <c r="D81" s="50">
        <v>81</v>
      </c>
      <c r="E81" s="96">
        <v>38.960999999999999</v>
      </c>
      <c r="F81" s="96">
        <v>42.039000000000001</v>
      </c>
      <c r="G81" s="3"/>
      <c r="H81" s="3"/>
      <c r="I81" s="3"/>
    </row>
    <row r="82" spans="1:9" ht="18" customHeight="1" thickBot="1" x14ac:dyDescent="0.3">
      <c r="A82" s="108" t="s">
        <v>184</v>
      </c>
      <c r="B82" s="97">
        <f>SUM(_xlfn.ANCHORARRAY(B76))</f>
        <v>481</v>
      </c>
      <c r="C82" s="97">
        <f>SUM(_xlfn.ANCHORARRAY(C76))</f>
        <v>519</v>
      </c>
      <c r="D82" s="97">
        <f>SUM(_xlfn.ANCHORARRAY(D76))</f>
        <v>1000</v>
      </c>
      <c r="E82" s="98">
        <f>SUM(_xlfn.ANCHORARRAY(E76))</f>
        <v>481</v>
      </c>
      <c r="F82" s="98">
        <f>SUM(_xlfn.ANCHORARRAY(F76))</f>
        <v>519</v>
      </c>
      <c r="G82" s="3"/>
      <c r="H82" s="3"/>
      <c r="I82" s="3"/>
    </row>
    <row r="83" spans="1:9" ht="18" customHeight="1" thickTop="1" x14ac:dyDescent="0.25">
      <c r="A83" s="46"/>
      <c r="B83" s="3"/>
      <c r="C83" s="3"/>
      <c r="D83" s="3"/>
      <c r="E83" s="3"/>
      <c r="F83" s="3"/>
      <c r="G83" s="3"/>
      <c r="H83" s="3"/>
      <c r="I83" s="3"/>
    </row>
    <row r="84" spans="1:9" ht="18" customHeight="1" x14ac:dyDescent="0.25">
      <c r="A84" s="106" t="s">
        <v>5</v>
      </c>
      <c r="B84" s="3"/>
      <c r="C84" s="3"/>
      <c r="D84" s="3"/>
      <c r="E84" s="3"/>
      <c r="F84" s="3"/>
      <c r="G84" s="3"/>
      <c r="H84" s="3"/>
      <c r="I84" s="3"/>
    </row>
    <row r="85" spans="1:9" ht="30" customHeight="1" x14ac:dyDescent="0.25">
      <c r="A85" s="107" t="s">
        <v>171</v>
      </c>
      <c r="B85" s="45" t="s">
        <v>183</v>
      </c>
      <c r="C85" s="45" t="s">
        <v>391</v>
      </c>
      <c r="D85" s="45" t="s">
        <v>184</v>
      </c>
      <c r="E85" s="72" t="s">
        <v>392</v>
      </c>
      <c r="F85" s="72" t="s">
        <v>393</v>
      </c>
      <c r="G85" s="3"/>
      <c r="H85" s="41" t="s">
        <v>185</v>
      </c>
      <c r="I85" s="101" cm="1">
        <f t="array" ref="I85">SUM((_xlfn.ANCHORARRAY(B86)-_xlfn.ANCHORARRAY(E86))^2/_xlfn.ANCHORARRAY(E86))+SUM((_xlfn.ANCHORARRAY(C86)-_xlfn.ANCHORARRAY(F86))^2/_xlfn.ANCHORARRAY(F86))</f>
        <v>25.33268453284456</v>
      </c>
    </row>
    <row r="86" spans="1:9" ht="18" customHeight="1" x14ac:dyDescent="0.25">
      <c r="A86" s="46" t="str" cm="1">
        <f t="array" ref="A86:A90">_xlfn.LET(_xlpm.u,_xlfn.UNIQUE(_xlfn.HSTACK(tbl_Clean[Education],tbl_Clean[Education Sort])),_xlfn.TAKE(_xlfn._xlws.SORT(_xlpm.u,2),,1))</f>
        <v>Partial High School</v>
      </c>
      <c r="B86" s="49" cm="1">
        <f t="array" ref="B86:B90">COUNTIFS(tbl_Clean[Education],_xlfn.ANCHORARRAY(A86),tbl_Clean[Purchased Flag],1)</f>
        <v>20</v>
      </c>
      <c r="C86" s="49" cm="1">
        <f t="array" ref="C86:C90">COUNTIFS(tbl_Clean[Education],_xlfn.ANCHORARRAY(A86),tbl_Clean[Purchased Flag],0)</f>
        <v>56</v>
      </c>
      <c r="D86" s="49" cm="1">
        <f t="array" ref="D86:D90">_xlfn.ANCHORARRAY(B86)+_xlfn.ANCHORARRAY(C86)</f>
        <v>76</v>
      </c>
      <c r="E86" s="91" cm="1">
        <f t="array" ref="E86:E90">_xlfn.ANCHORARRAY(D86)*B91/D91</f>
        <v>36.555999999999997</v>
      </c>
      <c r="F86" s="91" cm="1">
        <f t="array" ref="F86:F90">_xlfn.ANCHORARRAY(D86)*C91/D91</f>
        <v>39.444000000000003</v>
      </c>
      <c r="G86" s="3"/>
      <c r="H86" s="99" t="s">
        <v>186</v>
      </c>
      <c r="I86" s="102">
        <f>(ROWS(_xlfn.ANCHORARRAY(A86))-1)*(2-1)</f>
        <v>4</v>
      </c>
    </row>
    <row r="87" spans="1:9" ht="18" customHeight="1" x14ac:dyDescent="0.25">
      <c r="A87" s="47" t="str">
        <v>High School</v>
      </c>
      <c r="B87" s="50">
        <v>79</v>
      </c>
      <c r="C87" s="50">
        <v>100</v>
      </c>
      <c r="D87" s="50">
        <v>179</v>
      </c>
      <c r="E87" s="96">
        <v>86.099000000000004</v>
      </c>
      <c r="F87" s="96">
        <v>92.900999999999996</v>
      </c>
      <c r="G87" s="3"/>
      <c r="H87" s="99" t="s">
        <v>187</v>
      </c>
      <c r="I87" s="103">
        <f>_xlfn.CHISQ.TEST(_xlfn.HSTACK(_xlfn.ANCHORARRAY(B86),_xlfn.ANCHORARRAY(C86)),_xlfn.HSTACK(_xlfn.ANCHORARRAY(E86),_xlfn.ANCHORARRAY(F86)))</f>
        <v>4.3125062847906808E-5</v>
      </c>
    </row>
    <row r="88" spans="1:9" ht="18" customHeight="1" x14ac:dyDescent="0.25">
      <c r="A88" s="46" t="str">
        <v>Partial College</v>
      </c>
      <c r="B88" s="49">
        <v>119</v>
      </c>
      <c r="C88" s="49">
        <v>146</v>
      </c>
      <c r="D88" s="49">
        <v>265</v>
      </c>
      <c r="E88" s="91">
        <v>127.465</v>
      </c>
      <c r="F88" s="91">
        <v>137.535</v>
      </c>
      <c r="G88" s="3"/>
      <c r="H88" s="99" t="s">
        <v>188</v>
      </c>
      <c r="I88" s="104">
        <f>SQRT(I85/D91)</f>
        <v>0.15916244699314144</v>
      </c>
    </row>
    <row r="89" spans="1:9" ht="18" customHeight="1" x14ac:dyDescent="0.25">
      <c r="A89" s="47" t="str">
        <v>Bachelors</v>
      </c>
      <c r="B89" s="50">
        <v>169</v>
      </c>
      <c r="C89" s="50">
        <v>137</v>
      </c>
      <c r="D89" s="50">
        <v>306</v>
      </c>
      <c r="E89" s="96">
        <v>147.18600000000001</v>
      </c>
      <c r="F89" s="96">
        <v>158.81399999999999</v>
      </c>
      <c r="G89" s="3"/>
      <c r="H89" s="100" t="s">
        <v>189</v>
      </c>
      <c r="I89" s="105">
        <f>MIN(_xlfn.ANCHORARRAY(E86),_xlfn.ANCHORARRAY(F86))</f>
        <v>36.555999999999997</v>
      </c>
    </row>
    <row r="90" spans="1:9" ht="18" customHeight="1" x14ac:dyDescent="0.25">
      <c r="A90" s="46" t="str">
        <v>Graduate Degree</v>
      </c>
      <c r="B90" s="49">
        <v>94</v>
      </c>
      <c r="C90" s="49">
        <v>80</v>
      </c>
      <c r="D90" s="49">
        <v>174</v>
      </c>
      <c r="E90" s="91">
        <v>83.694000000000003</v>
      </c>
      <c r="F90" s="91">
        <v>90.305999999999997</v>
      </c>
      <c r="G90" s="3"/>
      <c r="H90" s="3"/>
      <c r="I90" s="3"/>
    </row>
    <row r="91" spans="1:9" ht="18" customHeight="1" thickBot="1" x14ac:dyDescent="0.3">
      <c r="A91" s="108" t="s">
        <v>184</v>
      </c>
      <c r="B91" s="97">
        <f>SUM(_xlfn.ANCHORARRAY(B86))</f>
        <v>481</v>
      </c>
      <c r="C91" s="97">
        <f>SUM(_xlfn.ANCHORARRAY(C86))</f>
        <v>519</v>
      </c>
      <c r="D91" s="97">
        <f>SUM(_xlfn.ANCHORARRAY(D86))</f>
        <v>1000</v>
      </c>
      <c r="E91" s="98">
        <f>SUM(_xlfn.ANCHORARRAY(E86))</f>
        <v>481.00000000000006</v>
      </c>
      <c r="F91" s="98">
        <f>SUM(_xlfn.ANCHORARRAY(F86))</f>
        <v>519</v>
      </c>
      <c r="G91" s="3"/>
      <c r="H91" s="3"/>
      <c r="I91" s="3"/>
    </row>
    <row r="92" spans="1:9" ht="18" customHeight="1" thickTop="1" x14ac:dyDescent="0.25">
      <c r="A92" s="46"/>
      <c r="B92" s="3"/>
      <c r="C92" s="3"/>
      <c r="D92" s="3"/>
      <c r="E92" s="3"/>
      <c r="F92" s="3"/>
      <c r="G92" s="3"/>
      <c r="H92" s="3"/>
      <c r="I92" s="3"/>
    </row>
    <row r="93" spans="1:9" ht="18" customHeight="1" x14ac:dyDescent="0.25">
      <c r="A93" s="106" t="s">
        <v>10</v>
      </c>
      <c r="B93" s="3"/>
      <c r="C93" s="3"/>
      <c r="D93" s="3"/>
      <c r="E93" s="3"/>
      <c r="F93" s="3"/>
      <c r="G93" s="3"/>
      <c r="H93" s="3"/>
      <c r="I93" s="3"/>
    </row>
    <row r="94" spans="1:9" ht="30" customHeight="1" x14ac:dyDescent="0.25">
      <c r="A94" s="107" t="s">
        <v>171</v>
      </c>
      <c r="B94" s="45" t="s">
        <v>183</v>
      </c>
      <c r="C94" s="45" t="s">
        <v>391</v>
      </c>
      <c r="D94" s="45" t="s">
        <v>184</v>
      </c>
      <c r="E94" s="72" t="s">
        <v>392</v>
      </c>
      <c r="F94" s="72" t="s">
        <v>393</v>
      </c>
      <c r="G94" s="3"/>
      <c r="H94" s="41" t="s">
        <v>185</v>
      </c>
      <c r="I94" s="101" cm="1">
        <f t="array" ref="I94">SUM((_xlfn.ANCHORARRAY(B95)-_xlfn.ANCHORARRAY(E95))^2/_xlfn.ANCHORARRAY(E95))+SUM((_xlfn.ANCHORARRAY(C95)-_xlfn.ANCHORARRAY(F95))^2/_xlfn.ANCHORARRAY(F95))</f>
        <v>13.752387318679251</v>
      </c>
    </row>
    <row r="95" spans="1:9" ht="18" customHeight="1" x14ac:dyDescent="0.25">
      <c r="A95" s="46" t="str" cm="1">
        <f t="array" ref="A95:A97">_xlfn.LET(_xlpm.s,_xlfn.UNIQUE(tbl_Clean[Region]),_xlfn.SORTBY(_xlpm.s,COUNTIFS(tbl_Clean[Region],_xlpm.s,tbl_Clean[Purchased Flag],1)/COUNTIFS(tbl_Clean[Region],_xlpm.s),-1))</f>
        <v>Pacific</v>
      </c>
      <c r="B95" s="49" cm="1">
        <f t="array" ref="B95:B97">COUNTIFS(tbl_Clean[Region],_xlfn.ANCHORARRAY(A95),tbl_Clean[Purchased Flag],1)</f>
        <v>113</v>
      </c>
      <c r="C95" s="49" cm="1">
        <f t="array" ref="C95:C97">COUNTIFS(tbl_Clean[Region],_xlfn.ANCHORARRAY(A95),tbl_Clean[Purchased Flag],0)</f>
        <v>79</v>
      </c>
      <c r="D95" s="49" cm="1">
        <f t="array" ref="D95:D97">_xlfn.ANCHORARRAY(B95)+_xlfn.ANCHORARRAY(C95)</f>
        <v>192</v>
      </c>
      <c r="E95" s="91" cm="1">
        <f t="array" ref="E95:E97">_xlfn.ANCHORARRAY(D95)*B98/D98</f>
        <v>92.352000000000004</v>
      </c>
      <c r="F95" s="91" cm="1">
        <f t="array" ref="F95:F97">_xlfn.ANCHORARRAY(D95)*C98/D98</f>
        <v>99.647999999999996</v>
      </c>
      <c r="G95" s="3"/>
      <c r="H95" s="99" t="s">
        <v>186</v>
      </c>
      <c r="I95" s="102">
        <f>(ROWS(_xlfn.ANCHORARRAY(A95))-1)*(2-1)</f>
        <v>2</v>
      </c>
    </row>
    <row r="96" spans="1:9" ht="18" customHeight="1" x14ac:dyDescent="0.25">
      <c r="A96" s="47" t="str">
        <v>Europe</v>
      </c>
      <c r="B96" s="50">
        <v>148</v>
      </c>
      <c r="C96" s="50">
        <v>152</v>
      </c>
      <c r="D96" s="50">
        <v>300</v>
      </c>
      <c r="E96" s="96">
        <v>144.30000000000001</v>
      </c>
      <c r="F96" s="96">
        <v>155.69999999999999</v>
      </c>
      <c r="G96" s="3"/>
      <c r="H96" s="99" t="s">
        <v>187</v>
      </c>
      <c r="I96" s="103">
        <f>_xlfn.CHISQ.TEST(_xlfn.HSTACK(_xlfn.ANCHORARRAY(B95),_xlfn.ANCHORARRAY(C95)),_xlfn.HSTACK(_xlfn.ANCHORARRAY(E95),_xlfn.ANCHORARRAY(F95)))</f>
        <v>1.0320649691107665E-3</v>
      </c>
    </row>
    <row r="97" spans="1:9" ht="18" customHeight="1" x14ac:dyDescent="0.25">
      <c r="A97" s="46" t="str">
        <v>North America</v>
      </c>
      <c r="B97" s="49">
        <v>220</v>
      </c>
      <c r="C97" s="49">
        <v>288</v>
      </c>
      <c r="D97" s="49">
        <v>508</v>
      </c>
      <c r="E97" s="91">
        <v>244.34800000000001</v>
      </c>
      <c r="F97" s="91">
        <v>263.65199999999999</v>
      </c>
      <c r="G97" s="3"/>
      <c r="H97" s="99" t="s">
        <v>188</v>
      </c>
      <c r="I97" s="104">
        <f>SQRT(I94/D98)</f>
        <v>0.11727057311482388</v>
      </c>
    </row>
    <row r="98" spans="1:9" ht="18" customHeight="1" thickBot="1" x14ac:dyDescent="0.3">
      <c r="A98" s="108" t="s">
        <v>184</v>
      </c>
      <c r="B98" s="97">
        <f>SUM(_xlfn.ANCHORARRAY(B95))</f>
        <v>481</v>
      </c>
      <c r="C98" s="97">
        <f>SUM(_xlfn.ANCHORARRAY(C95))</f>
        <v>519</v>
      </c>
      <c r="D98" s="97">
        <f>SUM(_xlfn.ANCHORARRAY(D95))</f>
        <v>1000</v>
      </c>
      <c r="E98" s="98">
        <f>SUM(_xlfn.ANCHORARRAY(E95))</f>
        <v>481</v>
      </c>
      <c r="F98" s="98">
        <f>SUM(_xlfn.ANCHORARRAY(F95))</f>
        <v>519</v>
      </c>
      <c r="G98" s="3"/>
      <c r="H98" s="100" t="s">
        <v>189</v>
      </c>
      <c r="I98" s="105">
        <f>MIN(_xlfn.ANCHORARRAY(E95),_xlfn.ANCHORARRAY(F95))</f>
        <v>92.352000000000004</v>
      </c>
    </row>
    <row r="99" spans="1:9" ht="18" customHeight="1" thickTop="1" x14ac:dyDescent="0.25">
      <c r="A99" s="46"/>
      <c r="B99" s="3"/>
      <c r="C99" s="3"/>
      <c r="D99" s="3"/>
      <c r="E99" s="3"/>
      <c r="F99" s="3"/>
      <c r="G99" s="3"/>
      <c r="H99" s="3"/>
      <c r="I99" s="3"/>
    </row>
    <row r="100" spans="1:9" ht="18" customHeight="1" x14ac:dyDescent="0.25">
      <c r="A100" s="106" t="s">
        <v>1</v>
      </c>
      <c r="B100" s="3"/>
      <c r="C100" s="3"/>
      <c r="D100" s="3"/>
      <c r="E100" s="3"/>
      <c r="F100" s="3"/>
      <c r="G100" s="3"/>
      <c r="H100" s="3"/>
      <c r="I100" s="3"/>
    </row>
    <row r="101" spans="1:9" ht="30" customHeight="1" x14ac:dyDescent="0.25">
      <c r="A101" s="107" t="s">
        <v>171</v>
      </c>
      <c r="B101" s="45" t="s">
        <v>183</v>
      </c>
      <c r="C101" s="45" t="s">
        <v>391</v>
      </c>
      <c r="D101" s="45" t="s">
        <v>184</v>
      </c>
      <c r="E101" s="72" t="s">
        <v>392</v>
      </c>
      <c r="F101" s="72" t="s">
        <v>393</v>
      </c>
      <c r="G101" s="3"/>
      <c r="H101" s="41" t="s">
        <v>185</v>
      </c>
      <c r="I101" s="101" cm="1">
        <f t="array" ref="I101">SUM((_xlfn.ANCHORARRAY(B102)-_xlfn.ANCHORARRAY(E102))^2/_xlfn.ANCHORARRAY(E102))+SUM((_xlfn.ANCHORARRAY(C102)-_xlfn.ANCHORARRAY(F102))^2/_xlfn.ANCHORARRAY(F102))</f>
        <v>12.435557550197519</v>
      </c>
    </row>
    <row r="102" spans="1:9" ht="18" customHeight="1" x14ac:dyDescent="0.25">
      <c r="A102" s="46" t="str" cm="1">
        <f t="array" ref="A102:A103">_xlfn.LET(_xlpm.s,_xlfn.UNIQUE(tbl_Clean[Marital Status]),_xlfn.SORTBY(_xlpm.s,COUNTIFS(tbl_Clean[Marital Status],_xlpm.s,tbl_Clean[Purchased Flag],1)/COUNTIFS(tbl_Clean[Marital Status],_xlpm.s),-1))</f>
        <v>Single</v>
      </c>
      <c r="B102" s="49" cm="1">
        <f t="array" ref="B102:B103">COUNTIFS(tbl_Clean[Marital Status],_xlfn.ANCHORARRAY(A102),tbl_Clean[Purchased Flag],1)</f>
        <v>250</v>
      </c>
      <c r="C102" s="49" cm="1">
        <f t="array" ref="C102:C103">COUNTIFS(tbl_Clean[Marital Status],_xlfn.ANCHORARRAY(A102),tbl_Clean[Purchased Flag],0)</f>
        <v>212</v>
      </c>
      <c r="D102" s="49" cm="1">
        <f t="array" ref="D102:D103">_xlfn.ANCHORARRAY(B102)+_xlfn.ANCHORARRAY(C102)</f>
        <v>462</v>
      </c>
      <c r="E102" s="91" cm="1">
        <f t="array" ref="E102:E103">_xlfn.ANCHORARRAY(D102)*B104/D104</f>
        <v>222.22200000000001</v>
      </c>
      <c r="F102" s="91" cm="1">
        <f t="array" ref="F102:F103">_xlfn.ANCHORARRAY(D102)*C104/D104</f>
        <v>239.77799999999999</v>
      </c>
      <c r="G102" s="3"/>
      <c r="H102" s="99" t="s">
        <v>186</v>
      </c>
      <c r="I102" s="102">
        <f>(ROWS(_xlfn.ANCHORARRAY(A102))-1)*(2-1)</f>
        <v>1</v>
      </c>
    </row>
    <row r="103" spans="1:9" ht="18" customHeight="1" x14ac:dyDescent="0.25">
      <c r="A103" s="47" t="str">
        <v>Married</v>
      </c>
      <c r="B103" s="50">
        <v>231</v>
      </c>
      <c r="C103" s="50">
        <v>307</v>
      </c>
      <c r="D103" s="50">
        <v>538</v>
      </c>
      <c r="E103" s="96">
        <v>258.77800000000002</v>
      </c>
      <c r="F103" s="96">
        <v>279.22199999999998</v>
      </c>
      <c r="G103" s="3"/>
      <c r="H103" s="99" t="s">
        <v>187</v>
      </c>
      <c r="I103" s="103">
        <f>_xlfn.CHISQ.TEST(_xlfn.HSTACK(_xlfn.ANCHORARRAY(B102),_xlfn.ANCHORARRAY(C102)),_xlfn.HSTACK(_xlfn.ANCHORARRAY(E102),_xlfn.ANCHORARRAY(F102)))</f>
        <v>4.2123654776274653E-4</v>
      </c>
    </row>
    <row r="104" spans="1:9" ht="18" customHeight="1" thickBot="1" x14ac:dyDescent="0.3">
      <c r="A104" s="108" t="s">
        <v>184</v>
      </c>
      <c r="B104" s="97">
        <f>SUM(_xlfn.ANCHORARRAY(B102))</f>
        <v>481</v>
      </c>
      <c r="C104" s="97">
        <f>SUM(_xlfn.ANCHORARRAY(C102))</f>
        <v>519</v>
      </c>
      <c r="D104" s="97">
        <f>SUM(_xlfn.ANCHORARRAY(D102))</f>
        <v>1000</v>
      </c>
      <c r="E104" s="98">
        <f>SUM(_xlfn.ANCHORARRAY(E102))</f>
        <v>481</v>
      </c>
      <c r="F104" s="98">
        <f>SUM(_xlfn.ANCHORARRAY(F102))</f>
        <v>519</v>
      </c>
      <c r="G104" s="3"/>
      <c r="H104" s="99" t="s">
        <v>188</v>
      </c>
      <c r="I104" s="104">
        <f>SQRT(I101/D104)</f>
        <v>0.11151483107729447</v>
      </c>
    </row>
    <row r="105" spans="1:9" ht="18" customHeight="1" thickTop="1" x14ac:dyDescent="0.25">
      <c r="A105" s="46"/>
      <c r="B105" s="3"/>
      <c r="C105" s="3"/>
      <c r="D105" s="3"/>
      <c r="E105" s="3"/>
      <c r="F105" s="3"/>
      <c r="G105" s="3"/>
      <c r="H105" s="100" t="s">
        <v>189</v>
      </c>
      <c r="I105" s="105">
        <f>MIN(_xlfn.ANCHORARRAY(E102),_xlfn.ANCHORARRAY(F102))</f>
        <v>222.22200000000001</v>
      </c>
    </row>
    <row r="106" spans="1:9" ht="18" customHeight="1" x14ac:dyDescent="0.25">
      <c r="A106" s="46"/>
      <c r="B106" s="3"/>
      <c r="C106" s="3"/>
      <c r="D106" s="3"/>
      <c r="E106" s="3"/>
      <c r="F106" s="3"/>
      <c r="G106" s="3"/>
      <c r="H106" s="3"/>
      <c r="I106" s="3"/>
    </row>
    <row r="107" spans="1:9" ht="18" customHeight="1" x14ac:dyDescent="0.25">
      <c r="A107" s="106" t="s">
        <v>117</v>
      </c>
      <c r="B107" s="3"/>
      <c r="C107" s="3"/>
      <c r="D107" s="3"/>
      <c r="E107" s="3"/>
      <c r="F107" s="3"/>
      <c r="G107" s="3"/>
      <c r="H107" s="3"/>
      <c r="I107" s="3"/>
    </row>
    <row r="108" spans="1:9" ht="30" customHeight="1" x14ac:dyDescent="0.25">
      <c r="A108" s="107" t="s">
        <v>171</v>
      </c>
      <c r="B108" s="45" t="s">
        <v>183</v>
      </c>
      <c r="C108" s="45" t="s">
        <v>391</v>
      </c>
      <c r="D108" s="45" t="s">
        <v>184</v>
      </c>
      <c r="E108" s="72" t="s">
        <v>392</v>
      </c>
      <c r="F108" s="72" t="s">
        <v>393</v>
      </c>
      <c r="G108" s="3"/>
      <c r="H108" s="41" t="s">
        <v>185</v>
      </c>
      <c r="I108" s="101" cm="1">
        <f t="array" ref="I108">SUM((_xlfn.ANCHORARRAY(B109)-_xlfn.ANCHORARRAY(E109))^2/_xlfn.ANCHORARRAY(E109))+SUM((_xlfn.ANCHORARRAY(C109)-_xlfn.ANCHORARRAY(F109))^2/_xlfn.ANCHORARRAY(F109))</f>
        <v>11.267838055706134</v>
      </c>
    </row>
    <row r="109" spans="1:9" ht="18" customHeight="1" x14ac:dyDescent="0.25">
      <c r="A109" s="46" t="str" cm="1">
        <f t="array" ref="A109:A112">_xlfn.LET(_xlpm.u,_xlfn.UNIQUE(_xlfn.HSTACK(tbl_Clean[Income Band],tbl_Clean[Income Band Sort])),_xlfn.TAKE(_xlfn._xlws.SORT(_xlpm.u,2),,1))</f>
        <v>$10k-30k</v>
      </c>
      <c r="B109" s="49" cm="1">
        <f t="array" ref="B109:B112">COUNTIFS(tbl_Clean[Income Band],_xlfn.ANCHORARRAY(A109),tbl_Clean[Purchased Flag],1)</f>
        <v>113</v>
      </c>
      <c r="C109" s="49" cm="1">
        <f t="array" ref="C109:C112">COUNTIFS(tbl_Clean[Income Band],_xlfn.ANCHORARRAY(A109),tbl_Clean[Purchased Flag],0)</f>
        <v>169</v>
      </c>
      <c r="D109" s="49" cm="1">
        <f t="array" ref="D109:D112">_xlfn.ANCHORARRAY(B109)+_xlfn.ANCHORARRAY(C109)</f>
        <v>282</v>
      </c>
      <c r="E109" s="91" cm="1">
        <f t="array" ref="E109:E112">_xlfn.ANCHORARRAY(D109)*B113/D113</f>
        <v>135.642</v>
      </c>
      <c r="F109" s="91" cm="1">
        <f t="array" ref="F109:F112">_xlfn.ANCHORARRAY(D109)*C113/D113</f>
        <v>146.358</v>
      </c>
      <c r="G109" s="3"/>
      <c r="H109" s="99" t="s">
        <v>186</v>
      </c>
      <c r="I109" s="102">
        <f>(ROWS(_xlfn.ANCHORARRAY(A109))-1)*(2-1)</f>
        <v>3</v>
      </c>
    </row>
    <row r="110" spans="1:9" ht="18" customHeight="1" x14ac:dyDescent="0.25">
      <c r="A110" s="47" t="str">
        <v>$40k-60k</v>
      </c>
      <c r="B110" s="50">
        <v>191</v>
      </c>
      <c r="C110" s="50">
        <v>168</v>
      </c>
      <c r="D110" s="50">
        <v>359</v>
      </c>
      <c r="E110" s="96">
        <v>172.679</v>
      </c>
      <c r="F110" s="96">
        <v>186.321</v>
      </c>
      <c r="G110" s="3"/>
      <c r="H110" s="99" t="s">
        <v>187</v>
      </c>
      <c r="I110" s="103">
        <f>_xlfn.CHISQ.TEST(_xlfn.HSTACK(_xlfn.ANCHORARRAY(B109),_xlfn.ANCHORARRAY(C109)),_xlfn.HSTACK(_xlfn.ANCHORARRAY(E109),_xlfn.ANCHORARRAY(F109)))</f>
        <v>1.0362328424187163E-2</v>
      </c>
    </row>
    <row r="111" spans="1:9" ht="18" customHeight="1" x14ac:dyDescent="0.25">
      <c r="A111" s="46" t="str">
        <v>$70k-90k</v>
      </c>
      <c r="B111" s="49">
        <v>126</v>
      </c>
      <c r="C111" s="49">
        <v>128</v>
      </c>
      <c r="D111" s="49">
        <v>254</v>
      </c>
      <c r="E111" s="91">
        <v>122.17400000000001</v>
      </c>
      <c r="F111" s="91">
        <v>131.82599999999999</v>
      </c>
      <c r="G111" s="3"/>
      <c r="H111" s="99" t="s">
        <v>188</v>
      </c>
      <c r="I111" s="104">
        <f>SQRT(I108/D113)</f>
        <v>0.10615007327225985</v>
      </c>
    </row>
    <row r="112" spans="1:9" ht="18" customHeight="1" x14ac:dyDescent="0.25">
      <c r="A112" s="47" t="str">
        <v>$100k+</v>
      </c>
      <c r="B112" s="50">
        <v>51</v>
      </c>
      <c r="C112" s="50">
        <v>54</v>
      </c>
      <c r="D112" s="50">
        <v>105</v>
      </c>
      <c r="E112" s="96">
        <v>50.505000000000003</v>
      </c>
      <c r="F112" s="96">
        <v>54.494999999999997</v>
      </c>
      <c r="G112" s="3"/>
      <c r="H112" s="100" t="s">
        <v>189</v>
      </c>
      <c r="I112" s="105">
        <f>MIN(_xlfn.ANCHORARRAY(E109),_xlfn.ANCHORARRAY(F109))</f>
        <v>50.505000000000003</v>
      </c>
    </row>
    <row r="113" spans="1:9" ht="18" customHeight="1" thickBot="1" x14ac:dyDescent="0.3">
      <c r="A113" s="108" t="s">
        <v>184</v>
      </c>
      <c r="B113" s="97">
        <f>SUM(_xlfn.ANCHORARRAY(B109))</f>
        <v>481</v>
      </c>
      <c r="C113" s="97">
        <f>SUM(_xlfn.ANCHORARRAY(C109))</f>
        <v>519</v>
      </c>
      <c r="D113" s="97">
        <f>SUM(_xlfn.ANCHORARRAY(D109))</f>
        <v>1000</v>
      </c>
      <c r="E113" s="98">
        <f>SUM(_xlfn.ANCHORARRAY(E109))</f>
        <v>481</v>
      </c>
      <c r="F113" s="98">
        <f>SUM(_xlfn.ANCHORARRAY(F109))</f>
        <v>519</v>
      </c>
      <c r="G113" s="3"/>
      <c r="H113" s="3"/>
      <c r="I113" s="3"/>
    </row>
    <row r="114" spans="1:9" ht="18" customHeight="1" thickTop="1" x14ac:dyDescent="0.25">
      <c r="A114" s="46"/>
      <c r="B114" s="3"/>
      <c r="C114" s="3"/>
      <c r="D114" s="3"/>
      <c r="E114" s="3"/>
      <c r="F114" s="3"/>
      <c r="G114" s="3"/>
      <c r="H114" s="3"/>
      <c r="I114" s="3"/>
    </row>
    <row r="115" spans="1:9" ht="18" customHeight="1" x14ac:dyDescent="0.25">
      <c r="A115" s="106" t="s">
        <v>6</v>
      </c>
      <c r="B115" s="3"/>
      <c r="C115" s="3"/>
      <c r="D115" s="3"/>
      <c r="E115" s="3"/>
      <c r="F115" s="3"/>
      <c r="G115" s="3"/>
      <c r="H115" s="3"/>
      <c r="I115" s="3"/>
    </row>
    <row r="116" spans="1:9" ht="30" customHeight="1" x14ac:dyDescent="0.25">
      <c r="A116" s="107" t="s">
        <v>171</v>
      </c>
      <c r="B116" s="45" t="s">
        <v>183</v>
      </c>
      <c r="C116" s="45" t="s">
        <v>391</v>
      </c>
      <c r="D116" s="45" t="s">
        <v>184</v>
      </c>
      <c r="E116" s="72" t="s">
        <v>392</v>
      </c>
      <c r="F116" s="72" t="s">
        <v>393</v>
      </c>
      <c r="G116" s="3"/>
      <c r="H116" s="41" t="s">
        <v>185</v>
      </c>
      <c r="I116" s="101" cm="1">
        <f t="array" ref="I116">SUM((_xlfn.ANCHORARRAY(B117)-_xlfn.ANCHORARRAY(E117))^2/_xlfn.ANCHORARRAY(E117))+SUM((_xlfn.ANCHORARRAY(C117)-_xlfn.ANCHORARRAY(F117))^2/_xlfn.ANCHORARRAY(F117))</f>
        <v>8.0056919518661136</v>
      </c>
    </row>
    <row r="117" spans="1:9" ht="18" customHeight="1" x14ac:dyDescent="0.25">
      <c r="A117" s="46" t="str" cm="1">
        <f t="array" ref="A117:A121">_xlfn.LET(_xlpm.s,_xlfn.UNIQUE(tbl_Clean[Occupation]),_xlfn.SORTBY(_xlpm.s,COUNTIFS(tbl_Clean[Occupation],_xlpm.s,tbl_Clean[Purchased Flag],1)/COUNTIFS(tbl_Clean[Occupation],_xlpm.s),-1))</f>
        <v>Professional</v>
      </c>
      <c r="B117" s="49" cm="1">
        <f t="array" ref="B117:B121">COUNTIFS(tbl_Clean[Occupation],_xlfn.ANCHORARRAY(A117),tbl_Clean[Purchased Flag],1)</f>
        <v>150</v>
      </c>
      <c r="C117" s="49" cm="1">
        <f t="array" ref="C117:C121">COUNTIFS(tbl_Clean[Occupation],_xlfn.ANCHORARRAY(A117),tbl_Clean[Purchased Flag],0)</f>
        <v>126</v>
      </c>
      <c r="D117" s="49" cm="1">
        <f t="array" ref="D117:D121">_xlfn.ANCHORARRAY(B117)+_xlfn.ANCHORARRAY(C117)</f>
        <v>276</v>
      </c>
      <c r="E117" s="91" cm="1">
        <f t="array" ref="E117:E121">_xlfn.ANCHORARRAY(D117)*B122/D122</f>
        <v>132.756</v>
      </c>
      <c r="F117" s="91" cm="1">
        <f t="array" ref="F117:F121">_xlfn.ANCHORARRAY(D117)*C122/D122</f>
        <v>143.244</v>
      </c>
      <c r="G117" s="3"/>
      <c r="H117" s="99" t="s">
        <v>186</v>
      </c>
      <c r="I117" s="102">
        <f>(ROWS(_xlfn.ANCHORARRAY(A117))-1)*(2-1)</f>
        <v>4</v>
      </c>
    </row>
    <row r="118" spans="1:9" ht="18" customHeight="1" x14ac:dyDescent="0.25">
      <c r="A118" s="47" t="str">
        <v>Clerical</v>
      </c>
      <c r="B118" s="50">
        <v>88</v>
      </c>
      <c r="C118" s="50">
        <v>89</v>
      </c>
      <c r="D118" s="50">
        <v>177</v>
      </c>
      <c r="E118" s="96">
        <v>85.137</v>
      </c>
      <c r="F118" s="96">
        <v>91.863</v>
      </c>
      <c r="G118" s="3"/>
      <c r="H118" s="99" t="s">
        <v>187</v>
      </c>
      <c r="I118" s="103">
        <f>_xlfn.CHISQ.TEST(_xlfn.HSTACK(_xlfn.ANCHORARRAY(B117),_xlfn.ANCHORARRAY(C117)),_xlfn.HSTACK(_xlfn.ANCHORARRAY(E117),_xlfn.ANCHORARRAY(F117)))</f>
        <v>9.1369913356531343E-2</v>
      </c>
    </row>
    <row r="119" spans="1:9" ht="18" customHeight="1" x14ac:dyDescent="0.25">
      <c r="A119" s="46" t="str">
        <v>Manual</v>
      </c>
      <c r="B119" s="49">
        <v>55</v>
      </c>
      <c r="C119" s="49">
        <v>64</v>
      </c>
      <c r="D119" s="49">
        <v>119</v>
      </c>
      <c r="E119" s="91">
        <v>57.238999999999997</v>
      </c>
      <c r="F119" s="91">
        <v>61.761000000000003</v>
      </c>
      <c r="G119" s="3"/>
      <c r="H119" s="99" t="s">
        <v>188</v>
      </c>
      <c r="I119" s="104">
        <f>SQRT(I116/D122)</f>
        <v>8.9474532420494454E-2</v>
      </c>
    </row>
    <row r="120" spans="1:9" ht="18" customHeight="1" x14ac:dyDescent="0.25">
      <c r="A120" s="47" t="str">
        <v>Skilled Manual</v>
      </c>
      <c r="B120" s="50">
        <v>115</v>
      </c>
      <c r="C120" s="50">
        <v>140</v>
      </c>
      <c r="D120" s="50">
        <v>255</v>
      </c>
      <c r="E120" s="96">
        <v>122.655</v>
      </c>
      <c r="F120" s="96">
        <v>132.345</v>
      </c>
      <c r="G120" s="3"/>
      <c r="H120" s="100" t="s">
        <v>189</v>
      </c>
      <c r="I120" s="105">
        <f>MIN(_xlfn.ANCHORARRAY(E117),_xlfn.ANCHORARRAY(F117))</f>
        <v>57.238999999999997</v>
      </c>
    </row>
    <row r="121" spans="1:9" ht="18" customHeight="1" x14ac:dyDescent="0.25">
      <c r="A121" s="46" t="str">
        <v>Management</v>
      </c>
      <c r="B121" s="49">
        <v>73</v>
      </c>
      <c r="C121" s="49">
        <v>100</v>
      </c>
      <c r="D121" s="49">
        <v>173</v>
      </c>
      <c r="E121" s="91">
        <v>83.212999999999994</v>
      </c>
      <c r="F121" s="91">
        <v>89.787000000000006</v>
      </c>
      <c r="G121" s="3"/>
      <c r="H121" s="3"/>
      <c r="I121" s="3"/>
    </row>
    <row r="122" spans="1:9" ht="18" customHeight="1" thickBot="1" x14ac:dyDescent="0.3">
      <c r="A122" s="108" t="s">
        <v>184</v>
      </c>
      <c r="B122" s="97">
        <f>SUM(_xlfn.ANCHORARRAY(B117))</f>
        <v>481</v>
      </c>
      <c r="C122" s="97">
        <f>SUM(_xlfn.ANCHORARRAY(C117))</f>
        <v>519</v>
      </c>
      <c r="D122" s="97">
        <f>SUM(_xlfn.ANCHORARRAY(D117))</f>
        <v>1000</v>
      </c>
      <c r="E122" s="98">
        <f>SUM(_xlfn.ANCHORARRAY(E117))</f>
        <v>481</v>
      </c>
      <c r="F122" s="98">
        <f>SUM(_xlfn.ANCHORARRAY(F117))</f>
        <v>519</v>
      </c>
      <c r="G122" s="3"/>
      <c r="H122" s="3"/>
      <c r="I122" s="3"/>
    </row>
    <row r="123" spans="1:9" ht="18" customHeight="1" thickTop="1" x14ac:dyDescent="0.25">
      <c r="A123" s="46"/>
      <c r="B123" s="3"/>
      <c r="C123" s="3"/>
      <c r="D123" s="3"/>
      <c r="E123" s="3"/>
      <c r="F123" s="3"/>
      <c r="G123" s="3"/>
      <c r="H123" s="3"/>
      <c r="I123" s="3"/>
    </row>
    <row r="124" spans="1:9" ht="18" customHeight="1" x14ac:dyDescent="0.25">
      <c r="A124" s="106" t="s">
        <v>7</v>
      </c>
      <c r="B124" s="3"/>
      <c r="C124" s="3"/>
      <c r="D124" s="3"/>
      <c r="E124" s="3"/>
      <c r="F124" s="3"/>
      <c r="G124" s="3"/>
      <c r="H124" s="3"/>
      <c r="I124" s="3"/>
    </row>
    <row r="125" spans="1:9" ht="30" customHeight="1" x14ac:dyDescent="0.25">
      <c r="A125" s="107" t="s">
        <v>171</v>
      </c>
      <c r="B125" s="45" t="s">
        <v>183</v>
      </c>
      <c r="C125" s="45" t="s">
        <v>391</v>
      </c>
      <c r="D125" s="45" t="s">
        <v>184</v>
      </c>
      <c r="E125" s="72" t="s">
        <v>392</v>
      </c>
      <c r="F125" s="72" t="s">
        <v>393</v>
      </c>
      <c r="G125" s="3"/>
      <c r="H125" s="41" t="s">
        <v>185</v>
      </c>
      <c r="I125" s="101" cm="1">
        <f t="array" ref="I125">SUM((_xlfn.ANCHORARRAY(B126)-_xlfn.ANCHORARRAY(E126))^2/_xlfn.ANCHORARRAY(E126))+SUM((_xlfn.ANCHORARRAY(C126)-_xlfn.ANCHORARRAY(F126))^2/_xlfn.ANCHORARRAY(F126))</f>
        <v>0.22963225268048892</v>
      </c>
    </row>
    <row r="126" spans="1:9" ht="18" customHeight="1" x14ac:dyDescent="0.25">
      <c r="A126" s="46" t="str" cm="1">
        <f t="array" ref="A126:A127">_xlfn.LET(_xlpm.s,_xlfn.UNIQUE(tbl_Clean[Home Owner]),_xlfn.SORTBY(_xlpm.s,COUNTIFS(tbl_Clean[Home Owner],_xlpm.s,tbl_Clean[Purchased Flag],1)/COUNTIFS(tbl_Clean[Home Owner],_xlpm.s),-1))</f>
        <v>No</v>
      </c>
      <c r="B126" s="49" cm="1">
        <f t="array" ref="B126:B127">COUNTIFS(tbl_Clean[Home Owner],_xlfn.ANCHORARRAY(A126),tbl_Clean[Purchased Flag],1)</f>
        <v>156</v>
      </c>
      <c r="C126" s="49" cm="1">
        <f t="array" ref="C126:C127">COUNTIFS(tbl_Clean[Home Owner],_xlfn.ANCHORARRAY(A126),tbl_Clean[Purchased Flag],0)</f>
        <v>161</v>
      </c>
      <c r="D126" s="49" cm="1">
        <f t="array" ref="D126:D127">_xlfn.ANCHORARRAY(B126)+_xlfn.ANCHORARRAY(C126)</f>
        <v>317</v>
      </c>
      <c r="E126" s="91" cm="1">
        <f t="array" ref="E126:E127">_xlfn.ANCHORARRAY(D126)*B128/D128</f>
        <v>152.477</v>
      </c>
      <c r="F126" s="91" cm="1">
        <f t="array" ref="F126:F127">_xlfn.ANCHORARRAY(D126)*C128/D128</f>
        <v>164.523</v>
      </c>
      <c r="G126" s="3"/>
      <c r="H126" s="99" t="s">
        <v>186</v>
      </c>
      <c r="I126" s="102">
        <f>(ROWS(_xlfn.ANCHORARRAY(A126))-1)*(2-1)</f>
        <v>1</v>
      </c>
    </row>
    <row r="127" spans="1:9" ht="18" customHeight="1" x14ac:dyDescent="0.25">
      <c r="A127" s="47" t="str">
        <v>Yes</v>
      </c>
      <c r="B127" s="50">
        <v>325</v>
      </c>
      <c r="C127" s="50">
        <v>358</v>
      </c>
      <c r="D127" s="50">
        <v>683</v>
      </c>
      <c r="E127" s="96">
        <v>328.52300000000002</v>
      </c>
      <c r="F127" s="96">
        <v>354.47699999999998</v>
      </c>
      <c r="G127" s="3"/>
      <c r="H127" s="99" t="s">
        <v>187</v>
      </c>
      <c r="I127" s="103">
        <f>_xlfn.CHISQ.TEST(_xlfn.HSTACK(_xlfn.ANCHORARRAY(B126),_xlfn.ANCHORARRAY(C126)),_xlfn.HSTACK(_xlfn.ANCHORARRAY(E126),_xlfn.ANCHORARRAY(F126)))</f>
        <v>0.63179664172506</v>
      </c>
    </row>
    <row r="128" spans="1:9" ht="18" customHeight="1" thickBot="1" x14ac:dyDescent="0.3">
      <c r="A128" s="108" t="s">
        <v>184</v>
      </c>
      <c r="B128" s="97">
        <f>SUM(_xlfn.ANCHORARRAY(B126))</f>
        <v>481</v>
      </c>
      <c r="C128" s="97">
        <f>SUM(_xlfn.ANCHORARRAY(C126))</f>
        <v>519</v>
      </c>
      <c r="D128" s="97">
        <f>SUM(_xlfn.ANCHORARRAY(D126))</f>
        <v>1000</v>
      </c>
      <c r="E128" s="98">
        <f>SUM(_xlfn.ANCHORARRAY(E126))</f>
        <v>481</v>
      </c>
      <c r="F128" s="98">
        <f>SUM(_xlfn.ANCHORARRAY(F126))</f>
        <v>519</v>
      </c>
      <c r="G128" s="3"/>
      <c r="H128" s="99" t="s">
        <v>188</v>
      </c>
      <c r="I128" s="104">
        <f>SQRT(I125/D128)</f>
        <v>1.5153621767765253E-2</v>
      </c>
    </row>
    <row r="129" spans="1:9" ht="18" customHeight="1" thickTop="1" x14ac:dyDescent="0.25">
      <c r="A129" s="46"/>
      <c r="B129" s="3"/>
      <c r="C129" s="3"/>
      <c r="D129" s="3"/>
      <c r="E129" s="3"/>
      <c r="F129" s="3"/>
      <c r="G129" s="3"/>
      <c r="H129" s="100" t="s">
        <v>189</v>
      </c>
      <c r="I129" s="105">
        <f>MIN(_xlfn.ANCHORARRAY(E126),_xlfn.ANCHORARRAY(F126))</f>
        <v>152.477</v>
      </c>
    </row>
    <row r="130" spans="1:9" ht="18" customHeight="1" x14ac:dyDescent="0.25">
      <c r="A130" s="46"/>
      <c r="B130" s="3"/>
      <c r="C130" s="3"/>
      <c r="D130" s="3"/>
      <c r="E130" s="3"/>
      <c r="F130" s="3"/>
      <c r="G130" s="3"/>
      <c r="H130" s="3"/>
      <c r="I130" s="3"/>
    </row>
    <row r="131" spans="1:9" ht="18" customHeight="1" x14ac:dyDescent="0.25">
      <c r="A131" s="106" t="s">
        <v>2</v>
      </c>
      <c r="B131" s="3"/>
      <c r="C131" s="3"/>
      <c r="D131" s="3"/>
      <c r="E131" s="3"/>
      <c r="F131" s="3"/>
      <c r="G131" s="3"/>
      <c r="H131" s="3"/>
      <c r="I131" s="3"/>
    </row>
    <row r="132" spans="1:9" ht="30" customHeight="1" x14ac:dyDescent="0.25">
      <c r="A132" s="107" t="s">
        <v>171</v>
      </c>
      <c r="B132" s="45" t="s">
        <v>183</v>
      </c>
      <c r="C132" s="45" t="s">
        <v>391</v>
      </c>
      <c r="D132" s="45" t="s">
        <v>184</v>
      </c>
      <c r="E132" s="72" t="s">
        <v>392</v>
      </c>
      <c r="F132" s="72" t="s">
        <v>393</v>
      </c>
      <c r="G132" s="3"/>
      <c r="H132" s="41" t="s">
        <v>185</v>
      </c>
      <c r="I132" s="101" cm="1">
        <f t="array" ref="I132">SUM((_xlfn.ANCHORARRAY(B133)-_xlfn.ANCHORARRAY(E133))^2/_xlfn.ANCHORARRAY(E133))+SUM((_xlfn.ANCHORARRAY(C133)-_xlfn.ANCHORARRAY(F133))^2/_xlfn.ANCHORARRAY(F133))</f>
        <v>0.2303909286912178</v>
      </c>
    </row>
    <row r="133" spans="1:9" ht="18" customHeight="1" x14ac:dyDescent="0.25">
      <c r="A133" s="46" t="str" cm="1">
        <f t="array" ref="A133:A134">_xlfn.LET(_xlpm.s,_xlfn.UNIQUE(tbl_Clean[Gender]),_xlfn.SORTBY(_xlpm.s,COUNTIFS(tbl_Clean[Gender],_xlpm.s,tbl_Clean[Purchased Flag],1)/COUNTIFS(tbl_Clean[Gender],_xlpm.s),-1))</f>
        <v>Female</v>
      </c>
      <c r="B133" s="49" cm="1">
        <f t="array" ref="B133:B134">COUNTIFS(tbl_Clean[Gender],_xlfn.ANCHORARRAY(A133),tbl_Clean[Purchased Flag],1)</f>
        <v>239</v>
      </c>
      <c r="C133" s="49" cm="1">
        <f t="array" ref="C133:C134">COUNTIFS(tbl_Clean[Gender],_xlfn.ANCHORARRAY(A133),tbl_Clean[Purchased Flag],0)</f>
        <v>250</v>
      </c>
      <c r="D133" s="49" cm="1">
        <f t="array" ref="D133:D134">_xlfn.ANCHORARRAY(B133)+_xlfn.ANCHORARRAY(C133)</f>
        <v>489</v>
      </c>
      <c r="E133" s="91" cm="1">
        <f t="array" ref="E133:E134">_xlfn.ANCHORARRAY(D133)*B135/D135</f>
        <v>235.209</v>
      </c>
      <c r="F133" s="91" cm="1">
        <f t="array" ref="F133:F134">_xlfn.ANCHORARRAY(D133)*C135/D135</f>
        <v>253.791</v>
      </c>
      <c r="G133" s="3"/>
      <c r="H133" s="99" t="s">
        <v>186</v>
      </c>
      <c r="I133" s="102">
        <f>(ROWS(_xlfn.ANCHORARRAY(A133))-1)*(2-1)</f>
        <v>1</v>
      </c>
    </row>
    <row r="134" spans="1:9" ht="18" customHeight="1" x14ac:dyDescent="0.25">
      <c r="A134" s="47" t="str">
        <v>Male</v>
      </c>
      <c r="B134" s="50">
        <v>242</v>
      </c>
      <c r="C134" s="50">
        <v>269</v>
      </c>
      <c r="D134" s="50">
        <v>511</v>
      </c>
      <c r="E134" s="96">
        <v>245.791</v>
      </c>
      <c r="F134" s="96">
        <v>265.209</v>
      </c>
      <c r="G134" s="3"/>
      <c r="H134" s="99" t="s">
        <v>187</v>
      </c>
      <c r="I134" s="103">
        <f>_xlfn.CHISQ.TEST(_xlfn.HSTACK(_xlfn.ANCHORARRAY(B133),_xlfn.ANCHORARRAY(C133)),_xlfn.HSTACK(_xlfn.ANCHORARRAY(E133),_xlfn.ANCHORARRAY(F133)))</f>
        <v>0.63123411216662872</v>
      </c>
    </row>
    <row r="135" spans="1:9" ht="18" customHeight="1" thickBot="1" x14ac:dyDescent="0.3">
      <c r="A135" s="108" t="s">
        <v>184</v>
      </c>
      <c r="B135" s="97">
        <f>SUM(_xlfn.ANCHORARRAY(B133))</f>
        <v>481</v>
      </c>
      <c r="C135" s="97">
        <f>SUM(_xlfn.ANCHORARRAY(C133))</f>
        <v>519</v>
      </c>
      <c r="D135" s="97">
        <f>SUM(_xlfn.ANCHORARRAY(D133))</f>
        <v>1000</v>
      </c>
      <c r="E135" s="98">
        <f>SUM(_xlfn.ANCHORARRAY(E133))</f>
        <v>481</v>
      </c>
      <c r="F135" s="98">
        <f>SUM(_xlfn.ANCHORARRAY(F133))</f>
        <v>519</v>
      </c>
      <c r="G135" s="3"/>
      <c r="H135" s="99" t="s">
        <v>188</v>
      </c>
      <c r="I135" s="104">
        <f>SQRT(I132/D135)</f>
        <v>1.5178633953397051E-2</v>
      </c>
    </row>
    <row r="136" spans="1:9" ht="18" customHeight="1" thickTop="1" x14ac:dyDescent="0.25">
      <c r="A136" s="46"/>
      <c r="B136" s="3"/>
      <c r="C136" s="3"/>
      <c r="D136" s="3"/>
      <c r="E136" s="3"/>
      <c r="F136" s="3"/>
      <c r="G136" s="3"/>
      <c r="H136" s="100" t="s">
        <v>189</v>
      </c>
      <c r="I136" s="105">
        <f>MIN(_xlfn.ANCHORARRAY(E133),_xlfn.ANCHORARRAY(F133))</f>
        <v>235.209</v>
      </c>
    </row>
    <row r="137" spans="1:9" ht="18" customHeight="1" x14ac:dyDescent="0.25">
      <c r="A137" s="46"/>
      <c r="B137" s="3"/>
      <c r="C137" s="3"/>
      <c r="D137" s="3"/>
      <c r="E137" s="3"/>
      <c r="F137" s="3"/>
      <c r="G137" s="3"/>
      <c r="H137" s="3"/>
      <c r="I137" s="3"/>
    </row>
    <row r="138" spans="1:9" ht="18" customHeight="1" x14ac:dyDescent="0.25">
      <c r="A138" s="46"/>
      <c r="B138" s="3"/>
      <c r="C138" s="3"/>
      <c r="D138" s="3"/>
      <c r="E138" s="3"/>
      <c r="F138" s="3"/>
      <c r="G138" s="3"/>
      <c r="H138" s="3"/>
      <c r="I138" s="3"/>
    </row>
  </sheetData>
  <conditionalFormatting sqref="A11:I22">
    <cfRule type="expression" dxfId="24" priority="1">
      <formula>$G11="Yes"</formula>
    </cfRule>
    <cfRule type="expression" dxfId="23" priority="2">
      <formula>$G11="No"</formula>
    </cfRule>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7FE79-02AE-4AED-A020-FB0FD4A06B72}">
  <dimension ref="A1:Y1004"/>
  <sheetViews>
    <sheetView showGridLines="0" topLeftCell="C1" workbookViewId="0">
      <pane ySplit="4" topLeftCell="A5" activePane="bottomLeft" state="frozen"/>
      <selection pane="bottomLeft" sqref="A1:I49"/>
    </sheetView>
  </sheetViews>
  <sheetFormatPr defaultRowHeight="15" x14ac:dyDescent="0.25"/>
  <cols>
    <col min="1" max="1" width="28.5703125" customWidth="1"/>
    <col min="2" max="5" width="18.140625" customWidth="1"/>
    <col min="6" max="6" width="20" customWidth="1"/>
    <col min="7" max="7" width="21.85546875" customWidth="1"/>
    <col min="8" max="8" width="25.7109375" customWidth="1"/>
    <col min="9" max="10" width="3.85546875" customWidth="1"/>
    <col min="11" max="11" width="12.42578125" customWidth="1"/>
    <col min="12" max="12" width="16.140625" customWidth="1"/>
    <col min="13" max="13" width="13.28515625" customWidth="1"/>
    <col min="14" max="14" width="18.140625" customWidth="1"/>
    <col min="15" max="15" width="12.42578125" customWidth="1"/>
    <col min="16" max="16" width="22.85546875" customWidth="1"/>
    <col min="17" max="17" width="18.140625" customWidth="1"/>
    <col min="18" max="19" width="15.28515625" customWidth="1"/>
    <col min="20" max="20" width="14.28515625" customWidth="1"/>
    <col min="21" max="21" width="15.28515625" customWidth="1"/>
    <col min="22" max="24" width="11.42578125" customWidth="1"/>
    <col min="25" max="25" width="14.28515625" customWidth="1"/>
  </cols>
  <sheetData>
    <row r="1" spans="1:25" ht="23.25" x14ac:dyDescent="0.35">
      <c r="A1" s="4" t="s">
        <v>424</v>
      </c>
      <c r="B1" s="3"/>
      <c r="C1" s="3"/>
      <c r="D1" s="3"/>
      <c r="E1" s="3"/>
      <c r="F1" s="3"/>
      <c r="G1" s="3"/>
      <c r="H1" s="3"/>
      <c r="I1" s="3"/>
      <c r="J1" s="3"/>
      <c r="K1" s="3"/>
      <c r="L1" s="3"/>
      <c r="M1" s="3"/>
      <c r="N1" s="3"/>
      <c r="O1" s="3"/>
      <c r="P1" s="3"/>
      <c r="Q1" s="3"/>
      <c r="R1" s="3"/>
      <c r="S1" s="3"/>
      <c r="T1" s="3"/>
      <c r="U1" s="3"/>
      <c r="V1" s="3"/>
      <c r="W1" s="3"/>
      <c r="X1" s="3"/>
      <c r="Y1" s="3"/>
    </row>
    <row r="2" spans="1:25" x14ac:dyDescent="0.25">
      <c r="A2" s="5" t="s">
        <v>198</v>
      </c>
      <c r="B2" s="3"/>
      <c r="C2" s="3"/>
      <c r="D2" s="3"/>
      <c r="E2" s="3"/>
      <c r="F2" s="3"/>
      <c r="G2" s="3"/>
      <c r="H2" s="3"/>
      <c r="I2" s="3"/>
      <c r="J2" s="3"/>
      <c r="K2" s="3"/>
      <c r="L2" s="3"/>
      <c r="M2" s="3"/>
      <c r="N2" s="3"/>
      <c r="O2" s="3"/>
      <c r="P2" s="3"/>
      <c r="Q2" s="3"/>
      <c r="R2" s="3"/>
      <c r="S2" s="3"/>
      <c r="T2" s="3"/>
      <c r="U2" s="3"/>
      <c r="V2" s="3"/>
      <c r="W2" s="3"/>
      <c r="X2" s="3"/>
      <c r="Y2" s="3"/>
    </row>
    <row r="3" spans="1:25" ht="15.75" x14ac:dyDescent="0.25">
      <c r="A3" s="3"/>
      <c r="B3" s="3"/>
      <c r="C3" s="3"/>
      <c r="D3" s="3"/>
      <c r="E3" s="3"/>
      <c r="F3" s="3"/>
      <c r="G3" s="3"/>
      <c r="H3" s="3"/>
      <c r="I3" s="3"/>
      <c r="J3" s="3"/>
      <c r="K3" s="44" t="s">
        <v>394</v>
      </c>
      <c r="L3" s="3"/>
      <c r="M3" s="3"/>
      <c r="N3" s="3"/>
      <c r="O3" s="3"/>
      <c r="P3" s="3"/>
      <c r="Q3" s="3"/>
      <c r="R3" s="3"/>
      <c r="S3" s="3"/>
      <c r="T3" s="3"/>
      <c r="U3" s="3"/>
      <c r="V3" s="3"/>
      <c r="W3" s="3"/>
      <c r="X3" s="3"/>
      <c r="Y3" s="3"/>
    </row>
    <row r="4" spans="1:25" ht="32.1" customHeight="1" x14ac:dyDescent="0.25">
      <c r="A4" s="119" t="s">
        <v>129</v>
      </c>
      <c r="B4" s="120"/>
      <c r="C4" s="120"/>
      <c r="D4" s="120"/>
      <c r="E4" s="120"/>
      <c r="F4" s="120"/>
      <c r="G4" s="120"/>
      <c r="H4" s="120"/>
      <c r="I4" s="121"/>
      <c r="J4" s="3"/>
      <c r="K4" s="16" t="s">
        <v>0</v>
      </c>
      <c r="L4" s="16" t="s">
        <v>119</v>
      </c>
      <c r="M4" s="16" t="s">
        <v>115</v>
      </c>
      <c r="N4" s="16" t="s">
        <v>9</v>
      </c>
      <c r="O4" s="16" t="s">
        <v>4</v>
      </c>
      <c r="P4" s="16" t="s">
        <v>5</v>
      </c>
      <c r="Q4" s="16" t="s">
        <v>10</v>
      </c>
      <c r="R4" s="16" t="s">
        <v>1</v>
      </c>
      <c r="S4" s="16" t="s">
        <v>117</v>
      </c>
      <c r="T4" s="16" t="s">
        <v>395</v>
      </c>
      <c r="U4" s="16" t="s">
        <v>396</v>
      </c>
      <c r="V4" s="16" t="s">
        <v>227</v>
      </c>
      <c r="W4" s="16" t="s">
        <v>228</v>
      </c>
      <c r="X4" s="16" t="s">
        <v>229</v>
      </c>
      <c r="Y4" s="16" t="s">
        <v>122</v>
      </c>
    </row>
    <row r="5" spans="1:25" ht="15" customHeight="1" x14ac:dyDescent="0.25">
      <c r="A5" s="122" t="s">
        <v>199</v>
      </c>
      <c r="B5" s="123"/>
      <c r="C5" s="123"/>
      <c r="D5" s="123"/>
      <c r="E5" s="123"/>
      <c r="F5" s="123"/>
      <c r="G5" s="123"/>
      <c r="H5" s="123"/>
      <c r="I5" s="124"/>
      <c r="J5" s="3"/>
      <c r="K5" s="20" cm="1">
        <f t="array" ref="K5:K1004">tbl_Clean[ID]</f>
        <v>12496</v>
      </c>
      <c r="L5" s="20" t="str" cm="1">
        <f t="array" ref="L5:L1004">tbl_Clean[Car Ownership]</f>
        <v>0-1 Cars</v>
      </c>
      <c r="M5" s="20" t="str" cm="1">
        <f t="array" ref="M5:M1004">tbl_Clean[Age Band]</f>
        <v>41-50</v>
      </c>
      <c r="N5" s="20" t="str" cm="1">
        <f t="array" ref="N5:N1004">tbl_Clean[Commute Distance]</f>
        <v>0-1 Miles</v>
      </c>
      <c r="O5" s="20" cm="1">
        <f t="array" ref="O5:O1004">tbl_Clean[Children]</f>
        <v>1</v>
      </c>
      <c r="P5" s="20" t="str" cm="1">
        <f t="array" ref="P5:P1004">tbl_Clean[Education]</f>
        <v>Bachelors</v>
      </c>
      <c r="Q5" s="20" t="str" cm="1">
        <f t="array" ref="Q5:Q1004">tbl_Clean[Region]</f>
        <v>Europe</v>
      </c>
      <c r="R5" s="20" t="str" cm="1">
        <f t="array" ref="R5:R1004">tbl_Clean[Marital Status]</f>
        <v>Married</v>
      </c>
      <c r="S5" s="20" t="str" cm="1">
        <f t="array" ref="S5:S1004">tbl_Clean[Income Band]</f>
        <v>$40k-60k</v>
      </c>
      <c r="T5" s="89" cm="1">
        <f t="array" ref="T5:T1004">_xlfn.LET(_xlpm.seg,_xlfn.HSTACK(_xlfn.ANCHORARRAY(L5),_xlfn.ANCHORARRAY(M5),_xlfn.ANCHORARRAY(N5),_xlfn.ANCHORARRAY(O5),_xlfn.ANCHORARRAY(P5),_xlfn.ANCHORARRAY(Q5),_xlfn.ANCHORARRAY(R5),_xlfn.ANCHORARRAY(S5)),_xlpm.hdr,$L$4:$S$4,_xlpm.w,_xlfn.XLOOKUP(_xlpm.hdr,tbl_Weights[Factor],tbl_Weights[Weight]),_xlpm.rate,_xlfn.XLOOKUP(_xlpm.hdr&amp;"|"&amp;_xlpm.seg,tbl_SegmentRates[Key],tbl_SegmentRates[Purchase Rate]),MMULT(_xlpm.rate,TRANSPOSE(_xlpm.w)))</f>
        <v>0.52952886380755659</v>
      </c>
      <c r="U5" s="91" cm="1">
        <f t="array" ref="U5:U1004">_xlfn.LET(_xlpm.r,_xlfn.ANCHORARRAY(T5),(_xlpm.r-MIN(_xlpm.r))/(MAX(_xlpm.r)-MIN(_xlpm.r))*100)</f>
        <v>82.097556792484326</v>
      </c>
      <c r="V5" s="49" cm="1">
        <f t="array" ref="V5:V1004">COUNTIFS(_xlfn.ANCHORARRAY(T5),"&gt;"&amp;_xlfn.ANCHORARRAY(T5))+COUNTIFS(_xlfn.ANCHORARRAY(T5),_xlfn.ANCHORARRAY(T5),_xlfn.ANCHORARRAY(K5),"&lt;"&amp;_xlfn.ANCHORARRAY(K5))+1</f>
        <v>192</v>
      </c>
      <c r="W5" s="20" cm="1">
        <f t="array" ref="W5:W1004">ROUNDUP(_xlfn.ANCHORARRAY(V5)*10/ROWS(_xlfn.ANCHORARRAY(V5)),0)</f>
        <v>2</v>
      </c>
      <c r="X5" s="20" t="str" cm="1">
        <f t="array" ref="X5:X1004">IF(_xlfn.ANCHORARRAY(W5)&lt;=Hot_Cutoff,"Hot",IF(_xlfn.ANCHORARRAY(W5)&lt;=Warm_Cutoff,"Warm","Cold"))</f>
        <v>Hot</v>
      </c>
      <c r="Y5" s="20" cm="1">
        <f t="array" ref="Y5:Y1004">tbl_Clean[Purchased Flag]</f>
        <v>0</v>
      </c>
    </row>
    <row r="6" spans="1:25" ht="15" customHeight="1" x14ac:dyDescent="0.25">
      <c r="A6" s="122" t="s">
        <v>200</v>
      </c>
      <c r="B6" s="123"/>
      <c r="C6" s="123"/>
      <c r="D6" s="123"/>
      <c r="E6" s="123"/>
      <c r="F6" s="123"/>
      <c r="G6" s="123"/>
      <c r="H6" s="123"/>
      <c r="I6" s="124"/>
      <c r="J6" s="3"/>
      <c r="K6" s="20">
        <v>24107</v>
      </c>
      <c r="L6" s="20" t="str">
        <v>0-1 Cars</v>
      </c>
      <c r="M6" s="20" t="str">
        <v>41-50</v>
      </c>
      <c r="N6" s="20" t="str">
        <v>0-1 Miles</v>
      </c>
      <c r="O6" s="20">
        <v>3</v>
      </c>
      <c r="P6" s="20" t="str">
        <v>Partial College</v>
      </c>
      <c r="Q6" s="20" t="str">
        <v>Europe</v>
      </c>
      <c r="R6" s="20" t="str">
        <v>Married</v>
      </c>
      <c r="S6" s="20" t="str">
        <v>$10k-30k</v>
      </c>
      <c r="T6" s="89">
        <v>0.50188588905244202</v>
      </c>
      <c r="U6" s="91">
        <v>68.694763021232092</v>
      </c>
      <c r="V6" s="49">
        <v>359</v>
      </c>
      <c r="W6" s="20">
        <v>4</v>
      </c>
      <c r="X6" s="20" t="str">
        <v>Warm</v>
      </c>
      <c r="Y6" s="20">
        <v>0</v>
      </c>
    </row>
    <row r="7" spans="1:25" ht="15" customHeight="1" x14ac:dyDescent="0.25">
      <c r="A7" s="122" t="s">
        <v>201</v>
      </c>
      <c r="B7" s="123"/>
      <c r="C7" s="123"/>
      <c r="D7" s="123"/>
      <c r="E7" s="123"/>
      <c r="F7" s="123"/>
      <c r="G7" s="123"/>
      <c r="H7" s="123"/>
      <c r="I7" s="124"/>
      <c r="J7" s="3"/>
      <c r="K7" s="20">
        <v>14177</v>
      </c>
      <c r="L7" s="20" t="str">
        <v>2+ Cars</v>
      </c>
      <c r="M7" s="20" t="str">
        <v>51-60</v>
      </c>
      <c r="N7" s="20" t="str">
        <v>2-5 Miles</v>
      </c>
      <c r="O7" s="20">
        <v>5</v>
      </c>
      <c r="P7" s="20" t="str">
        <v>Partial College</v>
      </c>
      <c r="Q7" s="20" t="str">
        <v>Europe</v>
      </c>
      <c r="R7" s="20" t="str">
        <v>Married</v>
      </c>
      <c r="S7" s="20" t="str">
        <v>$70k-90k</v>
      </c>
      <c r="T7" s="89">
        <v>0.43005399429381302</v>
      </c>
      <c r="U7" s="91">
        <v>33.866815588763075</v>
      </c>
      <c r="V7" s="49">
        <v>841</v>
      </c>
      <c r="W7" s="20">
        <v>9</v>
      </c>
      <c r="X7" s="20" t="str">
        <v>Cold</v>
      </c>
      <c r="Y7" s="20">
        <v>0</v>
      </c>
    </row>
    <row r="8" spans="1:25" ht="15" customHeight="1" x14ac:dyDescent="0.25">
      <c r="A8" s="125" t="s">
        <v>202</v>
      </c>
      <c r="B8" s="126"/>
      <c r="C8" s="126"/>
      <c r="D8" s="126"/>
      <c r="E8" s="126"/>
      <c r="F8" s="126"/>
      <c r="G8" s="126"/>
      <c r="H8" s="126"/>
      <c r="I8" s="127"/>
      <c r="J8" s="3"/>
      <c r="K8" s="20">
        <v>24381</v>
      </c>
      <c r="L8" s="20" t="str">
        <v>0-1 Cars</v>
      </c>
      <c r="M8" s="20" t="str">
        <v>41-50</v>
      </c>
      <c r="N8" s="20" t="str">
        <v>5-10 Miles</v>
      </c>
      <c r="O8" s="20">
        <v>0</v>
      </c>
      <c r="P8" s="20" t="str">
        <v>Bachelors</v>
      </c>
      <c r="Q8" s="20" t="str">
        <v>Pacific</v>
      </c>
      <c r="R8" s="20" t="str">
        <v>Single</v>
      </c>
      <c r="S8" s="20" t="str">
        <v>$70k-90k</v>
      </c>
      <c r="T8" s="89">
        <v>0.51364222394441361</v>
      </c>
      <c r="U8" s="91">
        <v>74.394863443084063</v>
      </c>
      <c r="V8" s="49">
        <v>292</v>
      </c>
      <c r="W8" s="20">
        <v>3</v>
      </c>
      <c r="X8" s="20" t="str">
        <v>Hot</v>
      </c>
      <c r="Y8" s="20">
        <v>1</v>
      </c>
    </row>
    <row r="9" spans="1:25" ht="15" customHeight="1" x14ac:dyDescent="0.25">
      <c r="A9" s="3"/>
      <c r="B9" s="3"/>
      <c r="C9" s="3"/>
      <c r="D9" s="3"/>
      <c r="E9" s="3"/>
      <c r="F9" s="3"/>
      <c r="G9" s="3"/>
      <c r="H9" s="3"/>
      <c r="I9" s="3"/>
      <c r="J9" s="3"/>
      <c r="K9" s="20">
        <v>25597</v>
      </c>
      <c r="L9" s="20" t="str">
        <v>0-1 Cars</v>
      </c>
      <c r="M9" s="20" t="str">
        <v>31-40</v>
      </c>
      <c r="N9" s="20" t="str">
        <v>0-1 Miles</v>
      </c>
      <c r="O9" s="20">
        <v>0</v>
      </c>
      <c r="P9" s="20" t="str">
        <v>Bachelors</v>
      </c>
      <c r="Q9" s="20" t="str">
        <v>Europe</v>
      </c>
      <c r="R9" s="20" t="str">
        <v>Single</v>
      </c>
      <c r="S9" s="20" t="str">
        <v>$10k-30k</v>
      </c>
      <c r="T9" s="89">
        <v>0.5418703513311155</v>
      </c>
      <c r="U9" s="91">
        <v>88.081370530842491</v>
      </c>
      <c r="V9" s="49">
        <v>97</v>
      </c>
      <c r="W9" s="20">
        <v>1</v>
      </c>
      <c r="X9" s="20" t="str">
        <v>Hot</v>
      </c>
      <c r="Y9" s="20">
        <v>1</v>
      </c>
    </row>
    <row r="10" spans="1:25" ht="15" customHeight="1" x14ac:dyDescent="0.25">
      <c r="A10" s="110" t="str">
        <f>_xlfn.LET(_xlpm.c,INDEX(tbl_TierSummary[Customers],1),_xlpm.cap,INDEX(tbl_TierSummary[Share of All Buyers],1),_xlpm.rt,INDEX(tbl_TierSummary[Purchase Rate],1),_xlpm.lift,INDEX(tbl_TierSummary[Lift vs Avg],1),"Targeting the top "&amp;TEXT(_xlpm.c/ROWS(_xlfn.ANCHORARRAY($K$5)),"0%")&amp;" of customers (Hot tier) reaches "&amp;TEXT(_xlpm.cap,"0.0%")&amp;" of all buyers at a "&amp;TEXT(_xlpm.rt,"0.0%")&amp;" purchase rate, "&amp;TEXT(_xlpm.lift,"0.00")&amp;"x the average.")</f>
        <v>Targeting the top 30% of customers (Hot tier) reaches 43.9% of all buyers at a 70.3% purchase rate, 1.46x the average.</v>
      </c>
      <c r="B10" s="110"/>
      <c r="C10" s="110"/>
      <c r="D10" s="110"/>
      <c r="E10" s="110"/>
      <c r="F10" s="110"/>
      <c r="G10" s="110"/>
      <c r="H10" s="110"/>
      <c r="I10" s="110"/>
      <c r="J10" s="3"/>
      <c r="K10" s="20">
        <v>13507</v>
      </c>
      <c r="L10" s="20" t="str">
        <v>0-1 Cars</v>
      </c>
      <c r="M10" s="20" t="str">
        <v>41-50</v>
      </c>
      <c r="N10" s="20" t="str">
        <v>1-2 Miles</v>
      </c>
      <c r="O10" s="20">
        <v>2</v>
      </c>
      <c r="P10" s="20" t="str">
        <v>Partial College</v>
      </c>
      <c r="Q10" s="20" t="str">
        <v>Europe</v>
      </c>
      <c r="R10" s="20" t="str">
        <v>Married</v>
      </c>
      <c r="S10" s="20" t="str">
        <v>$10k-30k</v>
      </c>
      <c r="T10" s="89">
        <v>0.47756792385251196</v>
      </c>
      <c r="U10" s="91">
        <v>56.90411185584523</v>
      </c>
      <c r="V10" s="49">
        <v>526</v>
      </c>
      <c r="W10" s="20">
        <v>6</v>
      </c>
      <c r="X10" s="20" t="str">
        <v>Warm</v>
      </c>
      <c r="Y10" s="20">
        <v>0</v>
      </c>
    </row>
    <row r="11" spans="1:25" ht="15" customHeight="1" x14ac:dyDescent="0.25">
      <c r="A11" s="110"/>
      <c r="B11" s="110"/>
      <c r="C11" s="110"/>
      <c r="D11" s="110"/>
      <c r="E11" s="110"/>
      <c r="F11" s="110"/>
      <c r="G11" s="110"/>
      <c r="H11" s="110"/>
      <c r="I11" s="110"/>
      <c r="J11" s="3"/>
      <c r="K11" s="20">
        <v>27974</v>
      </c>
      <c r="L11" s="20" t="str">
        <v>2+ Cars</v>
      </c>
      <c r="M11" s="20" t="str">
        <v>31-40</v>
      </c>
      <c r="N11" s="20" t="str">
        <v>0-1 Miles</v>
      </c>
      <c r="O11" s="20">
        <v>2</v>
      </c>
      <c r="P11" s="20" t="str">
        <v>High School</v>
      </c>
      <c r="Q11" s="20" t="str">
        <v>Pacific</v>
      </c>
      <c r="R11" s="20" t="str">
        <v>Single</v>
      </c>
      <c r="S11" s="20" t="str">
        <v>$100k+</v>
      </c>
      <c r="T11" s="89">
        <v>0.49938999563051623</v>
      </c>
      <c r="U11" s="91">
        <v>67.484620295803921</v>
      </c>
      <c r="V11" s="49">
        <v>379</v>
      </c>
      <c r="W11" s="20">
        <v>4</v>
      </c>
      <c r="X11" s="20" t="str">
        <v>Warm</v>
      </c>
      <c r="Y11" s="20">
        <v>1</v>
      </c>
    </row>
    <row r="12" spans="1:25" ht="15" customHeight="1" x14ac:dyDescent="0.25">
      <c r="A12" s="3"/>
      <c r="B12" s="3"/>
      <c r="C12" s="3"/>
      <c r="D12" s="3"/>
      <c r="E12" s="3"/>
      <c r="F12" s="3"/>
      <c r="G12" s="3"/>
      <c r="H12" s="3"/>
      <c r="I12" s="3"/>
      <c r="J12" s="3"/>
      <c r="K12" s="20">
        <v>19364</v>
      </c>
      <c r="L12" s="20" t="str">
        <v>0-1 Cars</v>
      </c>
      <c r="M12" s="20" t="str">
        <v>41-50</v>
      </c>
      <c r="N12" s="20" t="str">
        <v>0-1 Miles</v>
      </c>
      <c r="O12" s="20">
        <v>1</v>
      </c>
      <c r="P12" s="20" t="str">
        <v>Bachelors</v>
      </c>
      <c r="Q12" s="20" t="str">
        <v>Europe</v>
      </c>
      <c r="R12" s="20" t="str">
        <v>Married</v>
      </c>
      <c r="S12" s="20" t="str">
        <v>$40k-60k</v>
      </c>
      <c r="T12" s="89">
        <v>0.52952886380755659</v>
      </c>
      <c r="U12" s="91">
        <v>82.097556792484326</v>
      </c>
      <c r="V12" s="49">
        <v>197</v>
      </c>
      <c r="W12" s="20">
        <v>2</v>
      </c>
      <c r="X12" s="20" t="str">
        <v>Hot</v>
      </c>
      <c r="Y12" s="20">
        <v>1</v>
      </c>
    </row>
    <row r="13" spans="1:25" ht="15" customHeight="1" x14ac:dyDescent="0.25">
      <c r="A13" s="44" t="s">
        <v>203</v>
      </c>
      <c r="B13" s="3"/>
      <c r="C13" s="3"/>
      <c r="D13" s="3"/>
      <c r="E13" s="3"/>
      <c r="F13" s="3"/>
      <c r="G13" s="3"/>
      <c r="H13" s="3"/>
      <c r="I13" s="3"/>
      <c r="J13" s="3"/>
      <c r="K13" s="20">
        <v>22155</v>
      </c>
      <c r="L13" s="20" t="str">
        <v>2+ Cars</v>
      </c>
      <c r="M13" s="20" t="str">
        <v>51-60</v>
      </c>
      <c r="N13" s="20" t="str">
        <v>5-10 Miles</v>
      </c>
      <c r="O13" s="20">
        <v>2</v>
      </c>
      <c r="P13" s="20" t="str">
        <v>Partial High School</v>
      </c>
      <c r="Q13" s="20" t="str">
        <v>Pacific</v>
      </c>
      <c r="R13" s="20" t="str">
        <v>Married</v>
      </c>
      <c r="S13" s="20" t="str">
        <v>$10k-30k</v>
      </c>
      <c r="T13" s="89">
        <v>0.41402388302301224</v>
      </c>
      <c r="U13" s="91">
        <v>26.094559621520723</v>
      </c>
      <c r="V13" s="49">
        <v>922</v>
      </c>
      <c r="W13" s="20">
        <v>10</v>
      </c>
      <c r="X13" s="20" t="str">
        <v>Cold</v>
      </c>
      <c r="Y13" s="20">
        <v>0</v>
      </c>
    </row>
    <row r="14" spans="1:25" ht="15" customHeight="1" x14ac:dyDescent="0.25">
      <c r="A14" s="43" t="s">
        <v>204</v>
      </c>
      <c r="B14" s="111">
        <v>3</v>
      </c>
      <c r="C14" s="5" t="s">
        <v>236</v>
      </c>
      <c r="D14" s="3"/>
      <c r="E14" s="3"/>
      <c r="F14" s="3"/>
      <c r="G14" s="3"/>
      <c r="H14" s="3"/>
      <c r="I14" s="3"/>
      <c r="J14" s="3"/>
      <c r="K14" s="20">
        <v>19280</v>
      </c>
      <c r="L14" s="20" t="str">
        <v>0-1 Cars</v>
      </c>
      <c r="M14" s="20" t="str">
        <v>31-40</v>
      </c>
      <c r="N14" s="20" t="str">
        <v>0-1 Miles</v>
      </c>
      <c r="O14" s="20">
        <v>2</v>
      </c>
      <c r="P14" s="20" t="str">
        <v>Partial College</v>
      </c>
      <c r="Q14" s="20" t="str">
        <v>Europe</v>
      </c>
      <c r="R14" s="20" t="str">
        <v>Married</v>
      </c>
      <c r="S14" s="20" t="str">
        <v>$100k+</v>
      </c>
      <c r="T14" s="89">
        <v>0.5207086176503718</v>
      </c>
      <c r="U14" s="91">
        <v>77.821029345504144</v>
      </c>
      <c r="V14" s="49">
        <v>249</v>
      </c>
      <c r="W14" s="20">
        <v>3</v>
      </c>
      <c r="X14" s="20" t="str">
        <v>Hot</v>
      </c>
      <c r="Y14" s="20">
        <v>1</v>
      </c>
    </row>
    <row r="15" spans="1:25" ht="15" customHeight="1" x14ac:dyDescent="0.25">
      <c r="A15" s="43" t="s">
        <v>205</v>
      </c>
      <c r="B15" s="111">
        <v>6</v>
      </c>
      <c r="C15" s="5" t="s">
        <v>237</v>
      </c>
      <c r="D15" s="3"/>
      <c r="E15" s="3"/>
      <c r="F15" s="3"/>
      <c r="G15" s="3"/>
      <c r="H15" s="3"/>
      <c r="I15" s="3"/>
      <c r="J15" s="3"/>
      <c r="K15" s="20">
        <v>22173</v>
      </c>
      <c r="L15" s="20" t="str">
        <v>2+ Cars</v>
      </c>
      <c r="M15" s="20" t="str">
        <v>51-60</v>
      </c>
      <c r="N15" s="20" t="str">
        <v>1-2 Miles</v>
      </c>
      <c r="O15" s="20">
        <v>3</v>
      </c>
      <c r="P15" s="20" t="str">
        <v>High School</v>
      </c>
      <c r="Q15" s="20" t="str">
        <v>Pacific</v>
      </c>
      <c r="R15" s="20" t="str">
        <v>Married</v>
      </c>
      <c r="S15" s="20" t="str">
        <v>$10k-30k</v>
      </c>
      <c r="T15" s="89">
        <v>0.45588744720866081</v>
      </c>
      <c r="U15" s="91">
        <v>46.392256315904696</v>
      </c>
      <c r="V15" s="49">
        <v>685</v>
      </c>
      <c r="W15" s="20">
        <v>7</v>
      </c>
      <c r="X15" s="20" t="str">
        <v>Cold</v>
      </c>
      <c r="Y15" s="20">
        <v>1</v>
      </c>
    </row>
    <row r="16" spans="1:25" ht="15" customHeight="1" x14ac:dyDescent="0.25">
      <c r="A16" s="43" t="s">
        <v>206</v>
      </c>
      <c r="B16" s="111">
        <v>25</v>
      </c>
      <c r="C16" s="5" t="s">
        <v>397</v>
      </c>
      <c r="D16" s="3"/>
      <c r="E16" s="3"/>
      <c r="F16" s="3"/>
      <c r="G16" s="3"/>
      <c r="H16" s="3"/>
      <c r="I16" s="3"/>
      <c r="J16" s="3"/>
      <c r="K16" s="20">
        <v>12697</v>
      </c>
      <c r="L16" s="20" t="str">
        <v>2+ Cars</v>
      </c>
      <c r="M16" s="20" t="str">
        <v>31-40</v>
      </c>
      <c r="N16" s="20" t="str">
        <v>10+ Miles</v>
      </c>
      <c r="O16" s="20">
        <v>0</v>
      </c>
      <c r="P16" s="20" t="str">
        <v>Bachelors</v>
      </c>
      <c r="Q16" s="20" t="str">
        <v>Pacific</v>
      </c>
      <c r="R16" s="20" t="str">
        <v>Single</v>
      </c>
      <c r="S16" s="20" t="str">
        <v>$70k-90k</v>
      </c>
      <c r="T16" s="89">
        <v>0.48374381756216484</v>
      </c>
      <c r="U16" s="91">
        <v>59.898515695407994</v>
      </c>
      <c r="V16" s="49">
        <v>484</v>
      </c>
      <c r="W16" s="20">
        <v>5</v>
      </c>
      <c r="X16" s="20" t="str">
        <v>Warm</v>
      </c>
      <c r="Y16" s="20">
        <v>0</v>
      </c>
    </row>
    <row r="17" spans="1:25" ht="15" customHeight="1" x14ac:dyDescent="0.25">
      <c r="A17" s="3"/>
      <c r="B17" s="3"/>
      <c r="C17" s="3"/>
      <c r="D17" s="3"/>
      <c r="E17" s="3"/>
      <c r="F17" s="3"/>
      <c r="G17" s="3"/>
      <c r="H17" s="3"/>
      <c r="I17" s="3"/>
      <c r="J17" s="3"/>
      <c r="K17" s="20">
        <v>11434</v>
      </c>
      <c r="L17" s="20" t="str">
        <v>0-1 Cars</v>
      </c>
      <c r="M17" s="20" t="str">
        <v>51-60</v>
      </c>
      <c r="N17" s="20" t="str">
        <v>0-1 Miles</v>
      </c>
      <c r="O17" s="20">
        <v>5</v>
      </c>
      <c r="P17" s="20" t="str">
        <v>Partial College</v>
      </c>
      <c r="Q17" s="20" t="str">
        <v>Europe</v>
      </c>
      <c r="R17" s="20" t="str">
        <v>Married</v>
      </c>
      <c r="S17" s="20" t="str">
        <v>$100k+</v>
      </c>
      <c r="T17" s="89">
        <v>0.46214785263970698</v>
      </c>
      <c r="U17" s="91">
        <v>49.427635961549186</v>
      </c>
      <c r="V17" s="49">
        <v>633</v>
      </c>
      <c r="W17" s="20">
        <v>7</v>
      </c>
      <c r="X17" s="20" t="str">
        <v>Cold</v>
      </c>
      <c r="Y17" s="20">
        <v>0</v>
      </c>
    </row>
    <row r="18" spans="1:25" ht="15" customHeight="1" x14ac:dyDescent="0.25">
      <c r="A18" s="44" t="s">
        <v>398</v>
      </c>
      <c r="B18" s="3"/>
      <c r="C18" s="3"/>
      <c r="D18" s="3"/>
      <c r="E18" s="3"/>
      <c r="F18" s="3"/>
      <c r="G18" s="3"/>
      <c r="H18" s="3"/>
      <c r="I18" s="3"/>
      <c r="J18" s="3"/>
      <c r="K18" s="20">
        <v>25323</v>
      </c>
      <c r="L18" s="20" t="str">
        <v>0-1 Cars</v>
      </c>
      <c r="M18" s="20" t="str">
        <v>31-40</v>
      </c>
      <c r="N18" s="20" t="str">
        <v>1-2 Miles</v>
      </c>
      <c r="O18" s="20">
        <v>2</v>
      </c>
      <c r="P18" s="20" t="str">
        <v>Partial College</v>
      </c>
      <c r="Q18" s="20" t="str">
        <v>Europe</v>
      </c>
      <c r="R18" s="20" t="str">
        <v>Married</v>
      </c>
      <c r="S18" s="20" t="str">
        <v>$40k-60k</v>
      </c>
      <c r="T18" s="89">
        <v>0.51142367342583384</v>
      </c>
      <c r="U18" s="91">
        <v>73.319191402175093</v>
      </c>
      <c r="V18" s="49">
        <v>310</v>
      </c>
      <c r="W18" s="20">
        <v>4</v>
      </c>
      <c r="X18" s="20" t="str">
        <v>Warm</v>
      </c>
      <c r="Y18" s="20">
        <v>1</v>
      </c>
    </row>
    <row r="19" spans="1:25" ht="15" customHeight="1" x14ac:dyDescent="0.25">
      <c r="A19" s="16" t="s">
        <v>177</v>
      </c>
      <c r="B19" s="16" t="s">
        <v>188</v>
      </c>
      <c r="C19" s="16" t="s">
        <v>207</v>
      </c>
      <c r="D19" s="3"/>
      <c r="E19" s="3"/>
      <c r="F19" s="3"/>
      <c r="G19" s="3"/>
      <c r="H19" s="3"/>
      <c r="I19" s="3"/>
      <c r="J19" s="3"/>
      <c r="K19" s="20">
        <v>23542</v>
      </c>
      <c r="L19" s="20" t="str">
        <v>0-1 Cars</v>
      </c>
      <c r="M19" s="20" t="str">
        <v>41-50</v>
      </c>
      <c r="N19" s="20" t="str">
        <v>0-1 Miles</v>
      </c>
      <c r="O19" s="20">
        <v>1</v>
      </c>
      <c r="P19" s="20" t="str">
        <v>Partial College</v>
      </c>
      <c r="Q19" s="20" t="str">
        <v>Pacific</v>
      </c>
      <c r="R19" s="20" t="str">
        <v>Single</v>
      </c>
      <c r="S19" s="20" t="str">
        <v>$40k-60k</v>
      </c>
      <c r="T19" s="89">
        <v>0.53511800935324827</v>
      </c>
      <c r="U19" s="91">
        <v>84.807473716044029</v>
      </c>
      <c r="V19" s="49">
        <v>147</v>
      </c>
      <c r="W19" s="20">
        <v>2</v>
      </c>
      <c r="X19" s="20" t="str">
        <v>Hot</v>
      </c>
      <c r="Y19" s="20">
        <v>1</v>
      </c>
    </row>
    <row r="20" spans="1:25" ht="15" customHeight="1" x14ac:dyDescent="0.25">
      <c r="A20" s="3" t="s">
        <v>119</v>
      </c>
      <c r="B20" s="90">
        <f>_xlfn.XLOOKUP(tbl_Weights[[#This Row],[Factor]],tbl_Significance[Factor],tbl_Significance[Cramér''s V])</f>
        <v>0.22331278261277263</v>
      </c>
      <c r="C20" s="51">
        <f>tbl_Weights[[#This Row],[Cramér''s V]]/SUM(tbl_Weights[Cramér''s V])</f>
        <v>0.1734170380441914</v>
      </c>
      <c r="D20" s="3"/>
      <c r="E20" s="3"/>
      <c r="F20" s="3"/>
      <c r="G20" s="3"/>
      <c r="H20" s="3"/>
      <c r="I20" s="3"/>
      <c r="J20" s="3"/>
      <c r="K20" s="20">
        <v>20870</v>
      </c>
      <c r="L20" s="20" t="str">
        <v>0-1 Cars</v>
      </c>
      <c r="M20" s="20" t="str">
        <v>31-40</v>
      </c>
      <c r="N20" s="20" t="str">
        <v>0-1 Miles</v>
      </c>
      <c r="O20" s="20">
        <v>2</v>
      </c>
      <c r="P20" s="20" t="str">
        <v>High School</v>
      </c>
      <c r="Q20" s="20" t="str">
        <v>Europe</v>
      </c>
      <c r="R20" s="20" t="str">
        <v>Single</v>
      </c>
      <c r="S20" s="20" t="str">
        <v>$10k-30k</v>
      </c>
      <c r="T20" s="89">
        <v>0.52242580388292881</v>
      </c>
      <c r="U20" s="91">
        <v>78.653613144667673</v>
      </c>
      <c r="V20" s="49">
        <v>238</v>
      </c>
      <c r="W20" s="20">
        <v>3</v>
      </c>
      <c r="X20" s="20" t="str">
        <v>Hot</v>
      </c>
      <c r="Y20" s="20">
        <v>1</v>
      </c>
    </row>
    <row r="21" spans="1:25" ht="15" customHeight="1" x14ac:dyDescent="0.25">
      <c r="A21" s="3" t="s">
        <v>115</v>
      </c>
      <c r="B21" s="90">
        <f>_xlfn.XLOOKUP(tbl_Weights[[#This Row],[Factor]],tbl_Significance[Factor],tbl_Significance[Cramér''s V])</f>
        <v>0.20549750937570588</v>
      </c>
      <c r="C21" s="51">
        <f>tbl_Weights[[#This Row],[Cramér''s V]]/SUM(tbl_Weights[Cramér''s V])</f>
        <v>0.15958230865444009</v>
      </c>
      <c r="D21" s="3"/>
      <c r="E21" s="3"/>
      <c r="F21" s="3"/>
      <c r="G21" s="3"/>
      <c r="H21" s="3"/>
      <c r="I21" s="3"/>
      <c r="J21" s="3"/>
      <c r="K21" s="20">
        <v>23316</v>
      </c>
      <c r="L21" s="20" t="str">
        <v>2+ Cars</v>
      </c>
      <c r="M21" s="20" t="str">
        <v>51-60</v>
      </c>
      <c r="N21" s="20" t="str">
        <v>1-2 Miles</v>
      </c>
      <c r="O21" s="20">
        <v>3</v>
      </c>
      <c r="P21" s="20" t="str">
        <v>Partial College</v>
      </c>
      <c r="Q21" s="20" t="str">
        <v>Pacific</v>
      </c>
      <c r="R21" s="20" t="str">
        <v>Single</v>
      </c>
      <c r="S21" s="20" t="str">
        <v>$10k-30k</v>
      </c>
      <c r="T21" s="89">
        <v>0.46651916617026218</v>
      </c>
      <c r="U21" s="91">
        <v>51.54708273884205</v>
      </c>
      <c r="V21" s="49">
        <v>603</v>
      </c>
      <c r="W21" s="20">
        <v>7</v>
      </c>
      <c r="X21" s="20" t="str">
        <v>Cold</v>
      </c>
      <c r="Y21" s="20">
        <v>1</v>
      </c>
    </row>
    <row r="22" spans="1:25" ht="15" customHeight="1" x14ac:dyDescent="0.25">
      <c r="A22" s="3" t="s">
        <v>9</v>
      </c>
      <c r="B22" s="90">
        <f>_xlfn.XLOOKUP(tbl_Weights[[#This Row],[Factor]],tbl_Significance[Factor],tbl_Significance[Cramér''s V])</f>
        <v>0.18577337970361804</v>
      </c>
      <c r="C22" s="51">
        <f>tbl_Weights[[#This Row],[Cramér''s V]]/SUM(tbl_Weights[Cramér''s V])</f>
        <v>0.14426522691056065</v>
      </c>
      <c r="D22" s="3"/>
      <c r="E22" s="3"/>
      <c r="F22" s="3"/>
      <c r="G22" s="3"/>
      <c r="H22" s="3"/>
      <c r="I22" s="3"/>
      <c r="J22" s="3"/>
      <c r="K22" s="20">
        <v>12610</v>
      </c>
      <c r="L22" s="20" t="str">
        <v>0-1 Cars</v>
      </c>
      <c r="M22" s="20" t="str">
        <v>41-50</v>
      </c>
      <c r="N22" s="20" t="str">
        <v>0-1 Miles</v>
      </c>
      <c r="O22" s="20">
        <v>1</v>
      </c>
      <c r="P22" s="20" t="str">
        <v>Bachelors</v>
      </c>
      <c r="Q22" s="20" t="str">
        <v>Europe</v>
      </c>
      <c r="R22" s="20" t="str">
        <v>Married</v>
      </c>
      <c r="S22" s="20" t="str">
        <v>$10k-30k</v>
      </c>
      <c r="T22" s="89">
        <v>0.51870348096830421</v>
      </c>
      <c r="U22" s="91">
        <v>76.848831755664335</v>
      </c>
      <c r="V22" s="49">
        <v>263</v>
      </c>
      <c r="W22" s="20">
        <v>3</v>
      </c>
      <c r="X22" s="20" t="str">
        <v>Hot</v>
      </c>
      <c r="Y22" s="20">
        <v>0</v>
      </c>
    </row>
    <row r="23" spans="1:25" ht="15" customHeight="1" x14ac:dyDescent="0.25">
      <c r="A23" s="3" t="s">
        <v>4</v>
      </c>
      <c r="B23" s="90">
        <f>_xlfn.XLOOKUP(tbl_Weights[[#This Row],[Factor]],tbl_Significance[Factor],tbl_Significance[Cramér''s V])</f>
        <v>0.17903952474662738</v>
      </c>
      <c r="C23" s="51">
        <f>tbl_Weights[[#This Row],[Cramér''s V]]/SUM(tbl_Weights[Cramér''s V])</f>
        <v>0.13903594640275632</v>
      </c>
      <c r="D23" s="3"/>
      <c r="E23" s="3"/>
      <c r="F23" s="3"/>
      <c r="G23" s="3"/>
      <c r="H23" s="3"/>
      <c r="I23" s="3"/>
      <c r="J23" s="3"/>
      <c r="K23" s="20">
        <v>27183</v>
      </c>
      <c r="L23" s="20" t="str">
        <v>0-1 Cars</v>
      </c>
      <c r="M23" s="20" t="str">
        <v>31-40</v>
      </c>
      <c r="N23" s="20" t="str">
        <v>1-2 Miles</v>
      </c>
      <c r="O23" s="20">
        <v>2</v>
      </c>
      <c r="P23" s="20" t="str">
        <v>Partial College</v>
      </c>
      <c r="Q23" s="20" t="str">
        <v>Europe</v>
      </c>
      <c r="R23" s="20" t="str">
        <v>Single</v>
      </c>
      <c r="S23" s="20" t="str">
        <v>$40k-60k</v>
      </c>
      <c r="T23" s="89">
        <v>0.52110171613365897</v>
      </c>
      <c r="U23" s="91">
        <v>78.011624531078922</v>
      </c>
      <c r="V23" s="49">
        <v>246</v>
      </c>
      <c r="W23" s="20">
        <v>3</v>
      </c>
      <c r="X23" s="20" t="str">
        <v>Hot</v>
      </c>
      <c r="Y23" s="20">
        <v>1</v>
      </c>
    </row>
    <row r="24" spans="1:25" ht="15" customHeight="1" x14ac:dyDescent="0.25">
      <c r="A24" s="3" t="s">
        <v>5</v>
      </c>
      <c r="B24" s="90">
        <f>_xlfn.XLOOKUP(tbl_Weights[[#This Row],[Factor]],tbl_Significance[Factor],tbl_Significance[Cramér''s V])</f>
        <v>0.15916244699314144</v>
      </c>
      <c r="C24" s="51">
        <f>tbl_Weights[[#This Row],[Cramér''s V]]/SUM(tbl_Weights[Cramér''s V])</f>
        <v>0.12360009043135495</v>
      </c>
      <c r="D24" s="3"/>
      <c r="E24" s="3"/>
      <c r="F24" s="3"/>
      <c r="G24" s="3"/>
      <c r="H24" s="3"/>
      <c r="I24" s="3"/>
      <c r="J24" s="3"/>
      <c r="K24" s="20">
        <v>25940</v>
      </c>
      <c r="L24" s="20" t="str">
        <v>2+ Cars</v>
      </c>
      <c r="M24" s="20" t="str">
        <v>51-60</v>
      </c>
      <c r="N24" s="20" t="str">
        <v>5-10 Miles</v>
      </c>
      <c r="O24" s="20">
        <v>2</v>
      </c>
      <c r="P24" s="20" t="str">
        <v>Partial High School</v>
      </c>
      <c r="Q24" s="20" t="str">
        <v>Pacific</v>
      </c>
      <c r="R24" s="20" t="str">
        <v>Single</v>
      </c>
      <c r="S24" s="20" t="str">
        <v>$10k-30k</v>
      </c>
      <c r="T24" s="89">
        <v>0.42370192573083737</v>
      </c>
      <c r="U24" s="91">
        <v>30.786992750424545</v>
      </c>
      <c r="V24" s="49">
        <v>860</v>
      </c>
      <c r="W24" s="20">
        <v>9</v>
      </c>
      <c r="X24" s="20" t="str">
        <v>Cold</v>
      </c>
      <c r="Y24" s="20">
        <v>1</v>
      </c>
    </row>
    <row r="25" spans="1:25" ht="15" customHeight="1" x14ac:dyDescent="0.25">
      <c r="A25" s="3" t="s">
        <v>10</v>
      </c>
      <c r="B25" s="90">
        <f>_xlfn.XLOOKUP(tbl_Weights[[#This Row],[Factor]],tbl_Significance[Factor],tbl_Significance[Cramér''s V])</f>
        <v>0.11727057311482388</v>
      </c>
      <c r="C25" s="51">
        <f>tbl_Weights[[#This Row],[Cramér''s V]]/SUM(tbl_Weights[Cramér''s V])</f>
        <v>9.1068299814174455E-2</v>
      </c>
      <c r="D25" s="3"/>
      <c r="E25" s="3"/>
      <c r="F25" s="3"/>
      <c r="G25" s="3"/>
      <c r="H25" s="3"/>
      <c r="I25" s="3"/>
      <c r="J25" s="3"/>
      <c r="K25" s="20">
        <v>25598</v>
      </c>
      <c r="L25" s="20" t="str">
        <v>0-1 Cars</v>
      </c>
      <c r="M25" s="20" t="str">
        <v>31-40</v>
      </c>
      <c r="N25" s="20" t="str">
        <v>0-1 Miles</v>
      </c>
      <c r="O25" s="20">
        <v>0</v>
      </c>
      <c r="P25" s="20" t="str">
        <v>Graduate Degree</v>
      </c>
      <c r="Q25" s="20" t="str">
        <v>Europe</v>
      </c>
      <c r="R25" s="20" t="str">
        <v>Married</v>
      </c>
      <c r="S25" s="20" t="str">
        <v>$40k-60k</v>
      </c>
      <c r="T25" s="89">
        <v>0.54152735906721317</v>
      </c>
      <c r="U25" s="91">
        <v>87.915069522396678</v>
      </c>
      <c r="V25" s="49">
        <v>105</v>
      </c>
      <c r="W25" s="20">
        <v>2</v>
      </c>
      <c r="X25" s="20" t="str">
        <v>Hot</v>
      </c>
      <c r="Y25" s="20">
        <v>1</v>
      </c>
    </row>
    <row r="26" spans="1:25" ht="15" customHeight="1" x14ac:dyDescent="0.25">
      <c r="A26" s="3" t="s">
        <v>1</v>
      </c>
      <c r="B26" s="90">
        <f>_xlfn.XLOOKUP(tbl_Weights[[#This Row],[Factor]],tbl_Significance[Factor],tbl_Significance[Cramér''s V])</f>
        <v>0.11151483107729447</v>
      </c>
      <c r="C26" s="51">
        <f>tbl_Weights[[#This Row],[Cramér''s V]]/SUM(tbl_Weights[Cramér''s V])</f>
        <v>8.6598588209597011E-2</v>
      </c>
      <c r="D26" s="3"/>
      <c r="E26" s="3"/>
      <c r="F26" s="3"/>
      <c r="G26" s="3"/>
      <c r="H26" s="3"/>
      <c r="I26" s="3"/>
      <c r="J26" s="3"/>
      <c r="K26" s="20">
        <v>21564</v>
      </c>
      <c r="L26" s="20" t="str">
        <v>2+ Cars</v>
      </c>
      <c r="M26" s="20" t="str">
        <v>31-40</v>
      </c>
      <c r="N26" s="20" t="str">
        <v>10+ Miles</v>
      </c>
      <c r="O26" s="20">
        <v>0</v>
      </c>
      <c r="P26" s="20" t="str">
        <v>Bachelors</v>
      </c>
      <c r="Q26" s="20" t="str">
        <v>Pacific</v>
      </c>
      <c r="R26" s="20" t="str">
        <v>Single</v>
      </c>
      <c r="S26" s="20" t="str">
        <v>$70k-90k</v>
      </c>
      <c r="T26" s="89">
        <v>0.48374381756216484</v>
      </c>
      <c r="U26" s="91">
        <v>59.898515695407994</v>
      </c>
      <c r="V26" s="49">
        <v>489</v>
      </c>
      <c r="W26" s="20">
        <v>5</v>
      </c>
      <c r="X26" s="20" t="str">
        <v>Warm</v>
      </c>
      <c r="Y26" s="20">
        <v>0</v>
      </c>
    </row>
    <row r="27" spans="1:25" ht="15" customHeight="1" x14ac:dyDescent="0.25">
      <c r="A27" s="3" t="s">
        <v>117</v>
      </c>
      <c r="B27" s="90">
        <f>_xlfn.XLOOKUP(tbl_Weights[[#This Row],[Factor]],tbl_Significance[Factor],tbl_Significance[Cramér''s V])</f>
        <v>0.10615007327225985</v>
      </c>
      <c r="C27" s="51">
        <f>tbl_Weights[[#This Row],[Cramér''s V]]/SUM(tbl_Weights[Cramér''s V])</f>
        <v>8.2432501532925292E-2</v>
      </c>
      <c r="D27" s="3"/>
      <c r="E27" s="3"/>
      <c r="F27" s="3"/>
      <c r="G27" s="3"/>
      <c r="H27" s="3"/>
      <c r="I27" s="3"/>
      <c r="J27" s="3"/>
      <c r="K27" s="20">
        <v>19193</v>
      </c>
      <c r="L27" s="20" t="str">
        <v>0-1 Cars</v>
      </c>
      <c r="M27" s="20" t="str">
        <v>31-40</v>
      </c>
      <c r="N27" s="20" t="str">
        <v>1-2 Miles</v>
      </c>
      <c r="O27" s="20">
        <v>2</v>
      </c>
      <c r="P27" s="20" t="str">
        <v>Partial College</v>
      </c>
      <c r="Q27" s="20" t="str">
        <v>Europe</v>
      </c>
      <c r="R27" s="20" t="str">
        <v>Single</v>
      </c>
      <c r="S27" s="20" t="str">
        <v>$40k-60k</v>
      </c>
      <c r="T27" s="89">
        <v>0.52110171613365897</v>
      </c>
      <c r="U27" s="91">
        <v>78.011624531078922</v>
      </c>
      <c r="V27" s="49">
        <v>245</v>
      </c>
      <c r="W27" s="20">
        <v>3</v>
      </c>
      <c r="X27" s="20" t="str">
        <v>Hot</v>
      </c>
      <c r="Y27" s="20">
        <v>1</v>
      </c>
    </row>
    <row r="28" spans="1:25" ht="15" customHeight="1" x14ac:dyDescent="0.25">
      <c r="A28" s="43" t="s">
        <v>184</v>
      </c>
      <c r="B28" s="114">
        <f>SUBTOTAL(109,tbl_Weights[Cramér''s V])</f>
        <v>1.2877211208962434</v>
      </c>
      <c r="C28" s="115">
        <f>SUBTOTAL(109,tbl_Weights[Weight])</f>
        <v>1.0000000000000002</v>
      </c>
      <c r="D28" s="3"/>
      <c r="E28" s="3"/>
      <c r="F28" s="3"/>
      <c r="G28" s="3"/>
      <c r="H28" s="3"/>
      <c r="I28" s="3"/>
      <c r="J28" s="3"/>
      <c r="K28" s="20">
        <v>26412</v>
      </c>
      <c r="L28" s="20" t="str">
        <v>2+ Cars</v>
      </c>
      <c r="M28" s="20" t="str">
        <v>51-60</v>
      </c>
      <c r="N28" s="20" t="str">
        <v>5-10 Miles</v>
      </c>
      <c r="O28" s="20">
        <v>5</v>
      </c>
      <c r="P28" s="20" t="str">
        <v>High School</v>
      </c>
      <c r="Q28" s="20" t="str">
        <v>Europe</v>
      </c>
      <c r="R28" s="20" t="str">
        <v>Married</v>
      </c>
      <c r="S28" s="20" t="str">
        <v>$70k-90k</v>
      </c>
      <c r="T28" s="89">
        <v>0.40160532494828644</v>
      </c>
      <c r="U28" s="91">
        <v>20.07337795470054</v>
      </c>
      <c r="V28" s="49">
        <v>965</v>
      </c>
      <c r="W28" s="20">
        <v>10</v>
      </c>
      <c r="X28" s="20" t="str">
        <v>Cold</v>
      </c>
      <c r="Y28" s="20">
        <v>0</v>
      </c>
    </row>
    <row r="29" spans="1:25" ht="15" customHeight="1" x14ac:dyDescent="0.25">
      <c r="A29" s="3"/>
      <c r="B29" s="3"/>
      <c r="C29" s="3"/>
      <c r="D29" s="3"/>
      <c r="E29" s="3"/>
      <c r="F29" s="3"/>
      <c r="G29" s="3"/>
      <c r="H29" s="3"/>
      <c r="I29" s="3"/>
      <c r="J29" s="3"/>
      <c r="K29" s="20">
        <v>27184</v>
      </c>
      <c r="L29" s="20" t="str">
        <v>0-1 Cars</v>
      </c>
      <c r="M29" s="20" t="str">
        <v>31-40</v>
      </c>
      <c r="N29" s="20" t="str">
        <v>0-1 Miles</v>
      </c>
      <c r="O29" s="20">
        <v>2</v>
      </c>
      <c r="P29" s="20" t="str">
        <v>Partial College</v>
      </c>
      <c r="Q29" s="20" t="str">
        <v>Europe</v>
      </c>
      <c r="R29" s="20" t="str">
        <v>Single</v>
      </c>
      <c r="S29" s="20" t="str">
        <v>$40k-60k</v>
      </c>
      <c r="T29" s="89">
        <v>0.53420486297595748</v>
      </c>
      <c r="U29" s="91">
        <v>84.364731475521225</v>
      </c>
      <c r="V29" s="49">
        <v>160</v>
      </c>
      <c r="W29" s="20">
        <v>2</v>
      </c>
      <c r="X29" s="20" t="str">
        <v>Hot</v>
      </c>
      <c r="Y29" s="20">
        <v>0</v>
      </c>
    </row>
    <row r="30" spans="1:25" ht="15" customHeight="1" x14ac:dyDescent="0.25">
      <c r="A30" s="3"/>
      <c r="B30" s="3"/>
      <c r="C30" s="3"/>
      <c r="D30" s="3"/>
      <c r="E30" s="3"/>
      <c r="F30" s="3"/>
      <c r="G30" s="3"/>
      <c r="H30" s="3"/>
      <c r="I30" s="3"/>
      <c r="J30" s="3"/>
      <c r="K30" s="20">
        <v>12590</v>
      </c>
      <c r="L30" s="20" t="str">
        <v>0-1 Cars</v>
      </c>
      <c r="M30" s="20" t="str">
        <v>61+</v>
      </c>
      <c r="N30" s="20" t="str">
        <v>0-1 Miles</v>
      </c>
      <c r="O30" s="20">
        <v>1</v>
      </c>
      <c r="P30" s="20" t="str">
        <v>Bachelors</v>
      </c>
      <c r="Q30" s="20" t="str">
        <v>Europe</v>
      </c>
      <c r="R30" s="20" t="str">
        <v>Single</v>
      </c>
      <c r="S30" s="20" t="str">
        <v>$10k-30k</v>
      </c>
      <c r="T30" s="89">
        <v>0.50182017297391379</v>
      </c>
      <c r="U30" s="91">
        <v>68.662900348861555</v>
      </c>
      <c r="V30" s="49">
        <v>360</v>
      </c>
      <c r="W30" s="20">
        <v>4</v>
      </c>
      <c r="X30" s="20" t="str">
        <v>Warm</v>
      </c>
      <c r="Y30" s="20">
        <v>0</v>
      </c>
    </row>
    <row r="31" spans="1:25" ht="15" customHeight="1" x14ac:dyDescent="0.25">
      <c r="A31" s="44" t="s">
        <v>399</v>
      </c>
      <c r="B31" s="3"/>
      <c r="C31" s="3"/>
      <c r="D31" s="3"/>
      <c r="E31" s="3"/>
      <c r="F31" s="3"/>
      <c r="G31" s="3"/>
      <c r="H31" s="3"/>
      <c r="I31" s="3"/>
      <c r="J31" s="3"/>
      <c r="K31" s="20">
        <v>17841</v>
      </c>
      <c r="L31" s="20" t="str">
        <v>0-1 Cars</v>
      </c>
      <c r="M31" s="20" t="str">
        <v>25-30</v>
      </c>
      <c r="N31" s="20" t="str">
        <v>0-1 Miles</v>
      </c>
      <c r="O31" s="20">
        <v>0</v>
      </c>
      <c r="P31" s="20" t="str">
        <v>Partial College</v>
      </c>
      <c r="Q31" s="20" t="str">
        <v>Europe</v>
      </c>
      <c r="R31" s="20" t="str">
        <v>Single</v>
      </c>
      <c r="S31" s="20" t="str">
        <v>$10k-30k</v>
      </c>
      <c r="T31" s="89">
        <v>0.4882237652508587</v>
      </c>
      <c r="U31" s="91">
        <v>62.07063412728742</v>
      </c>
      <c r="V31" s="49">
        <v>459</v>
      </c>
      <c r="W31" s="20">
        <v>5</v>
      </c>
      <c r="X31" s="20" t="str">
        <v>Warm</v>
      </c>
      <c r="Y31" s="20">
        <v>1</v>
      </c>
    </row>
    <row r="32" spans="1:25" ht="30" customHeight="1" x14ac:dyDescent="0.25">
      <c r="A32" s="16" t="s">
        <v>229</v>
      </c>
      <c r="B32" s="16" t="s">
        <v>172</v>
      </c>
      <c r="C32" s="16" t="s">
        <v>173</v>
      </c>
      <c r="D32" s="16" t="s">
        <v>174</v>
      </c>
      <c r="E32" s="16" t="s">
        <v>175</v>
      </c>
      <c r="F32" s="16" t="s">
        <v>176</v>
      </c>
      <c r="G32" s="3"/>
      <c r="H32" s="3"/>
      <c r="I32" s="3"/>
      <c r="J32" s="3"/>
      <c r="K32" s="20">
        <v>18283</v>
      </c>
      <c r="L32" s="20" t="str">
        <v>0-1 Cars</v>
      </c>
      <c r="M32" s="20" t="str">
        <v>31-40</v>
      </c>
      <c r="N32" s="20" t="str">
        <v>5-10 Miles</v>
      </c>
      <c r="O32" s="20">
        <v>0</v>
      </c>
      <c r="P32" s="20" t="str">
        <v>Bachelors</v>
      </c>
      <c r="Q32" s="20" t="str">
        <v>Pacific</v>
      </c>
      <c r="R32" s="20" t="str">
        <v>Single</v>
      </c>
      <c r="S32" s="20" t="str">
        <v>$100k+</v>
      </c>
      <c r="T32" s="89">
        <v>0.53581952092133678</v>
      </c>
      <c r="U32" s="91">
        <v>85.147604073161204</v>
      </c>
      <c r="V32" s="49">
        <v>142</v>
      </c>
      <c r="W32" s="20">
        <v>2</v>
      </c>
      <c r="X32" s="20" t="str">
        <v>Hot</v>
      </c>
      <c r="Y32" s="20">
        <v>0</v>
      </c>
    </row>
    <row r="33" spans="1:25" ht="15" customHeight="1" x14ac:dyDescent="0.25">
      <c r="A33" s="43" t="s">
        <v>230</v>
      </c>
      <c r="B33" s="49">
        <f>COUNTIFS(_xlfn.ANCHORARRAY($X$5),tbl_TierSummary[[#This Row],[Tier]])</f>
        <v>300</v>
      </c>
      <c r="C33" s="49">
        <f>SUMIFS(_xlfn.ANCHORARRAY($Y$5),_xlfn.ANCHORARRAY($X$5),tbl_TierSummary[[#This Row],[Tier]])</f>
        <v>211</v>
      </c>
      <c r="D33" s="51">
        <f>tbl_TierSummary[[#This Row],[Buyers]]/tbl_TierSummary[[#This Row],[Customers]]</f>
        <v>0.70333333333333337</v>
      </c>
      <c r="E33" s="53">
        <f>tbl_TierSummary[[#This Row],[Purchase Rate]]/Baseline_Rate</f>
        <v>1.4622314622314623</v>
      </c>
      <c r="F33" s="51">
        <f>tbl_TierSummary[[#This Row],[Buyers]]/Total_Buyers</f>
        <v>0.43866943866943869</v>
      </c>
      <c r="G33" s="3"/>
      <c r="H33" s="3"/>
      <c r="I33" s="3"/>
      <c r="J33" s="3"/>
      <c r="K33" s="20">
        <v>18299</v>
      </c>
      <c r="L33" s="20" t="str">
        <v>2+ Cars</v>
      </c>
      <c r="M33" s="20" t="str">
        <v>41-50</v>
      </c>
      <c r="N33" s="20" t="str">
        <v>5-10 Miles</v>
      </c>
      <c r="O33" s="20">
        <v>5</v>
      </c>
      <c r="P33" s="20" t="str">
        <v>Partial College</v>
      </c>
      <c r="Q33" s="20" t="str">
        <v>Pacific</v>
      </c>
      <c r="R33" s="20" t="str">
        <v>Married</v>
      </c>
      <c r="S33" s="20" t="str">
        <v>$70k-90k</v>
      </c>
      <c r="T33" s="89">
        <v>0.41312809252067262</v>
      </c>
      <c r="U33" s="91">
        <v>25.660232438159859</v>
      </c>
      <c r="V33" s="49">
        <v>928</v>
      </c>
      <c r="W33" s="20">
        <v>10</v>
      </c>
      <c r="X33" s="20" t="str">
        <v>Cold</v>
      </c>
      <c r="Y33" s="20">
        <v>0</v>
      </c>
    </row>
    <row r="34" spans="1:25" ht="15" customHeight="1" x14ac:dyDescent="0.25">
      <c r="A34" s="43" t="s">
        <v>231</v>
      </c>
      <c r="B34" s="49">
        <f>COUNTIFS(_xlfn.ANCHORARRAY($X$5),tbl_TierSummary[[#This Row],[Tier]])</f>
        <v>300</v>
      </c>
      <c r="C34" s="49">
        <f>SUMIFS(_xlfn.ANCHORARRAY($Y$5),_xlfn.ANCHORARRAY($X$5),tbl_TierSummary[[#This Row],[Tier]])</f>
        <v>138</v>
      </c>
      <c r="D34" s="51">
        <f>tbl_TierSummary[[#This Row],[Buyers]]/tbl_TierSummary[[#This Row],[Customers]]</f>
        <v>0.46</v>
      </c>
      <c r="E34" s="53">
        <f>tbl_TierSummary[[#This Row],[Purchase Rate]]/Baseline_Rate</f>
        <v>0.95634095634095639</v>
      </c>
      <c r="F34" s="51">
        <f>tbl_TierSummary[[#This Row],[Buyers]]/Total_Buyers</f>
        <v>0.28690228690228692</v>
      </c>
      <c r="G34" s="3"/>
      <c r="H34" s="3"/>
      <c r="I34" s="3"/>
      <c r="J34" s="3"/>
      <c r="K34" s="20">
        <v>16466</v>
      </c>
      <c r="L34" s="20" t="str">
        <v>2+ Cars</v>
      </c>
      <c r="M34" s="20" t="str">
        <v>31-40</v>
      </c>
      <c r="N34" s="20" t="str">
        <v>0-1 Miles</v>
      </c>
      <c r="O34" s="20">
        <v>0</v>
      </c>
      <c r="P34" s="20" t="str">
        <v>Partial High School</v>
      </c>
      <c r="Q34" s="20" t="str">
        <v>Europe</v>
      </c>
      <c r="R34" s="20" t="str">
        <v>Single</v>
      </c>
      <c r="S34" s="20" t="str">
        <v>$10k-30k</v>
      </c>
      <c r="T34" s="89">
        <v>0.46742044635744834</v>
      </c>
      <c r="U34" s="91">
        <v>51.984071615255822</v>
      </c>
      <c r="V34" s="49">
        <v>597</v>
      </c>
      <c r="W34" s="20">
        <v>6</v>
      </c>
      <c r="X34" s="20" t="str">
        <v>Warm</v>
      </c>
      <c r="Y34" s="20">
        <v>1</v>
      </c>
    </row>
    <row r="35" spans="1:25" ht="15" customHeight="1" x14ac:dyDescent="0.25">
      <c r="A35" s="43" t="s">
        <v>232</v>
      </c>
      <c r="B35" s="49">
        <f>COUNTIFS(_xlfn.ANCHORARRAY($X$5),tbl_TierSummary[[#This Row],[Tier]])</f>
        <v>400</v>
      </c>
      <c r="C35" s="49">
        <f>SUMIFS(_xlfn.ANCHORARRAY($Y$5),_xlfn.ANCHORARRAY($X$5),tbl_TierSummary[[#This Row],[Tier]])</f>
        <v>132</v>
      </c>
      <c r="D35" s="51">
        <f>tbl_TierSummary[[#This Row],[Buyers]]/tbl_TierSummary[[#This Row],[Customers]]</f>
        <v>0.33</v>
      </c>
      <c r="E35" s="53">
        <f>tbl_TierSummary[[#This Row],[Purchase Rate]]/Baseline_Rate</f>
        <v>0.68607068607068611</v>
      </c>
      <c r="F35" s="51">
        <f>tbl_TierSummary[[#This Row],[Buyers]]/Total_Buyers</f>
        <v>0.27442827442827444</v>
      </c>
      <c r="G35" s="3"/>
      <c r="H35" s="3"/>
      <c r="I35" s="3"/>
      <c r="J35" s="3"/>
      <c r="K35" s="20">
        <v>19273</v>
      </c>
      <c r="L35" s="20" t="str">
        <v>0-1 Cars</v>
      </c>
      <c r="M35" s="20" t="str">
        <v>61+</v>
      </c>
      <c r="N35" s="20" t="str">
        <v>0-1 Miles</v>
      </c>
      <c r="O35" s="20">
        <v>2</v>
      </c>
      <c r="P35" s="20" t="str">
        <v>Partial College</v>
      </c>
      <c r="Q35" s="20" t="str">
        <v>Europe</v>
      </c>
      <c r="R35" s="20" t="str">
        <v>Married</v>
      </c>
      <c r="S35" s="20" t="str">
        <v>$10k-30k</v>
      </c>
      <c r="T35" s="89">
        <v>0.46410971999259493</v>
      </c>
      <c r="U35" s="91">
        <v>50.378854264580944</v>
      </c>
      <c r="V35" s="49">
        <v>617</v>
      </c>
      <c r="W35" s="20">
        <v>7</v>
      </c>
      <c r="X35" s="20" t="str">
        <v>Cold</v>
      </c>
      <c r="Y35" s="20">
        <v>0</v>
      </c>
    </row>
    <row r="36" spans="1:25" ht="15" customHeight="1" x14ac:dyDescent="0.25">
      <c r="A36" s="3"/>
      <c r="B36" s="3"/>
      <c r="C36" s="3"/>
      <c r="D36" s="3"/>
      <c r="E36" s="3"/>
      <c r="F36" s="3"/>
      <c r="G36" s="3"/>
      <c r="H36" s="3"/>
      <c r="I36" s="3"/>
      <c r="J36" s="3"/>
      <c r="K36" s="20">
        <v>22400</v>
      </c>
      <c r="L36" s="20" t="str">
        <v>0-1 Cars</v>
      </c>
      <c r="M36" s="20" t="str">
        <v>25-30</v>
      </c>
      <c r="N36" s="20" t="str">
        <v>0-1 Miles</v>
      </c>
      <c r="O36" s="20">
        <v>0</v>
      </c>
      <c r="P36" s="20" t="str">
        <v>Partial College</v>
      </c>
      <c r="Q36" s="20" t="str">
        <v>Pacific</v>
      </c>
      <c r="R36" s="20" t="str">
        <v>Married</v>
      </c>
      <c r="S36" s="20" t="str">
        <v>$10k-30k</v>
      </c>
      <c r="T36" s="89">
        <v>0.48721618358784141</v>
      </c>
      <c r="U36" s="91">
        <v>61.582104605528279</v>
      </c>
      <c r="V36" s="49">
        <v>467</v>
      </c>
      <c r="W36" s="20">
        <v>5</v>
      </c>
      <c r="X36" s="20" t="str">
        <v>Warm</v>
      </c>
      <c r="Y36" s="20">
        <v>1</v>
      </c>
    </row>
    <row r="37" spans="1:25" ht="15" customHeight="1" x14ac:dyDescent="0.25">
      <c r="A37" s="3"/>
      <c r="B37" s="3"/>
      <c r="C37" s="3"/>
      <c r="D37" s="3"/>
      <c r="E37" s="3"/>
      <c r="F37" s="3"/>
      <c r="G37" s="3"/>
      <c r="H37" s="3"/>
      <c r="I37" s="3"/>
      <c r="J37" s="3"/>
      <c r="K37" s="20">
        <v>20942</v>
      </c>
      <c r="L37" s="20" t="str">
        <v>0-1 Cars</v>
      </c>
      <c r="M37" s="20" t="str">
        <v>31-40</v>
      </c>
      <c r="N37" s="20" t="str">
        <v>5-10 Miles</v>
      </c>
      <c r="O37" s="20">
        <v>0</v>
      </c>
      <c r="P37" s="20" t="str">
        <v>High School</v>
      </c>
      <c r="Q37" s="20" t="str">
        <v>Europe</v>
      </c>
      <c r="R37" s="20" t="str">
        <v>Single</v>
      </c>
      <c r="S37" s="20" t="str">
        <v>$10k-30k</v>
      </c>
      <c r="T37" s="89">
        <v>0.50642884519431952</v>
      </c>
      <c r="U37" s="91">
        <v>70.897431323787416</v>
      </c>
      <c r="V37" s="49">
        <v>335</v>
      </c>
      <c r="W37" s="20">
        <v>4</v>
      </c>
      <c r="X37" s="20" t="str">
        <v>Warm</v>
      </c>
      <c r="Y37" s="20">
        <v>0</v>
      </c>
    </row>
    <row r="38" spans="1:25" ht="15" customHeight="1" x14ac:dyDescent="0.25">
      <c r="A38" s="44" t="s">
        <v>400</v>
      </c>
      <c r="B38" s="3"/>
      <c r="C38" s="3"/>
      <c r="D38" s="3"/>
      <c r="E38" s="3"/>
      <c r="F38" s="3"/>
      <c r="G38" s="3"/>
      <c r="H38" s="3"/>
      <c r="I38" s="3"/>
      <c r="J38" s="3"/>
      <c r="K38" s="20">
        <v>18484</v>
      </c>
      <c r="L38" s="20" t="str">
        <v>2+ Cars</v>
      </c>
      <c r="M38" s="20" t="str">
        <v>41-50</v>
      </c>
      <c r="N38" s="20" t="str">
        <v>1-2 Miles</v>
      </c>
      <c r="O38" s="20">
        <v>2</v>
      </c>
      <c r="P38" s="20" t="str">
        <v>High School</v>
      </c>
      <c r="Q38" s="20" t="str">
        <v>Pacific</v>
      </c>
      <c r="R38" s="20" t="str">
        <v>Single</v>
      </c>
      <c r="S38" s="20" t="str">
        <v>$70k-90k</v>
      </c>
      <c r="T38" s="89">
        <v>0.46410955181129454</v>
      </c>
      <c r="U38" s="91">
        <v>50.378772721284484</v>
      </c>
      <c r="V38" s="49">
        <v>618</v>
      </c>
      <c r="W38" s="20">
        <v>7</v>
      </c>
      <c r="X38" s="20" t="str">
        <v>Cold</v>
      </c>
      <c r="Y38" s="20">
        <v>1</v>
      </c>
    </row>
    <row r="39" spans="1:25" ht="30" customHeight="1" x14ac:dyDescent="0.25">
      <c r="A39" s="16" t="s">
        <v>228</v>
      </c>
      <c r="B39" s="16" t="s">
        <v>172</v>
      </c>
      <c r="C39" s="16" t="s">
        <v>173</v>
      </c>
      <c r="D39" s="16" t="s">
        <v>174</v>
      </c>
      <c r="E39" s="16" t="s">
        <v>175</v>
      </c>
      <c r="F39" s="16" t="s">
        <v>233</v>
      </c>
      <c r="G39" s="16" t="s">
        <v>234</v>
      </c>
      <c r="H39" s="16" t="s">
        <v>235</v>
      </c>
      <c r="I39" s="3"/>
      <c r="J39" s="3"/>
      <c r="K39" s="20">
        <v>12291</v>
      </c>
      <c r="L39" s="20" t="str">
        <v>2+ Cars</v>
      </c>
      <c r="M39" s="20" t="str">
        <v>61+</v>
      </c>
      <c r="N39" s="20" t="str">
        <v>2-5 Miles</v>
      </c>
      <c r="O39" s="20">
        <v>5</v>
      </c>
      <c r="P39" s="20" t="str">
        <v>Partial College</v>
      </c>
      <c r="Q39" s="20" t="str">
        <v>Europe</v>
      </c>
      <c r="R39" s="20" t="str">
        <v>Single</v>
      </c>
      <c r="S39" s="20" t="str">
        <v>$70k-90k</v>
      </c>
      <c r="T39" s="89">
        <v>0.41506931657322471</v>
      </c>
      <c r="U39" s="91">
        <v>26.60144176424139</v>
      </c>
      <c r="V39" s="49">
        <v>920</v>
      </c>
      <c r="W39" s="20">
        <v>10</v>
      </c>
      <c r="X39" s="20" t="str">
        <v>Cold</v>
      </c>
      <c r="Y39" s="20">
        <v>1</v>
      </c>
    </row>
    <row r="40" spans="1:25" ht="15" customHeight="1" x14ac:dyDescent="0.25">
      <c r="A40" s="116">
        <v>1</v>
      </c>
      <c r="B40" s="49">
        <f>COUNTIFS(_xlfn.ANCHORARRAY($W$5),tbl_Gains[[#This Row],[Decile]])</f>
        <v>100</v>
      </c>
      <c r="C40" s="49">
        <f>SUMIFS(_xlfn.ANCHORARRAY($Y$5),_xlfn.ANCHORARRAY($W$5),tbl_Gains[[#This Row],[Decile]])</f>
        <v>80</v>
      </c>
      <c r="D40" s="51">
        <f>tbl_Gains[[#This Row],[Buyers]]/tbl_Gains[[#This Row],[Customers]]</f>
        <v>0.8</v>
      </c>
      <c r="E40" s="53">
        <f>tbl_Gains[[#This Row],[Purchase Rate]]/Baseline_Rate</f>
        <v>1.6632016632016633</v>
      </c>
      <c r="F40" s="49">
        <f>SUMIFS(_xlfn.ANCHORARRAY($Y$5),_xlfn.ANCHORARRAY($W$5),"&lt;="&amp;tbl_Gains[[#This Row],[Decile]])</f>
        <v>80</v>
      </c>
      <c r="G40" s="51">
        <f>tbl_Gains[[#This Row],[Cumulative Buyers]]/Total_Buyers</f>
        <v>0.16632016632016633</v>
      </c>
      <c r="H40" s="117" t="str">
        <f>TEXT(_xlfn.MINIFS(_xlfn.ANCHORARRAY($U$5),_xlfn.ANCHORARRAY($W$5),tbl_Gains[[#This Row],[Decile]]),"0.0")&amp;" – "&amp;TEXT(_xlfn.MAXIFS(_xlfn.ANCHORARRAY($U$5),_xlfn.ANCHORARRAY($W$5),tbl_Gains[[#This Row],[Decile]]),"0.0")</f>
        <v>87.9 – 100.0</v>
      </c>
      <c r="I40" s="3"/>
      <c r="J40" s="3"/>
      <c r="K40" s="20">
        <v>28380</v>
      </c>
      <c r="L40" s="20" t="str">
        <v>2+ Cars</v>
      </c>
      <c r="M40" s="20" t="str">
        <v>41-50</v>
      </c>
      <c r="N40" s="20" t="str">
        <v>0-1 Miles</v>
      </c>
      <c r="O40" s="20">
        <v>5</v>
      </c>
      <c r="P40" s="20" t="str">
        <v>Partial High School</v>
      </c>
      <c r="Q40" s="20" t="str">
        <v>Europe</v>
      </c>
      <c r="R40" s="20" t="str">
        <v>Single</v>
      </c>
      <c r="S40" s="20" t="str">
        <v>$10k-30k</v>
      </c>
      <c r="T40" s="89">
        <v>0.40502679863311669</v>
      </c>
      <c r="U40" s="91">
        <v>21.732291533929622</v>
      </c>
      <c r="V40" s="49">
        <v>960</v>
      </c>
      <c r="W40" s="20">
        <v>10</v>
      </c>
      <c r="X40" s="20" t="str">
        <v>Cold</v>
      </c>
      <c r="Y40" s="20">
        <v>0</v>
      </c>
    </row>
    <row r="41" spans="1:25" ht="15" customHeight="1" x14ac:dyDescent="0.25">
      <c r="A41" s="116">
        <v>2</v>
      </c>
      <c r="B41" s="49">
        <f>COUNTIFS(_xlfn.ANCHORARRAY($W$5),tbl_Gains[[#This Row],[Decile]])</f>
        <v>100</v>
      </c>
      <c r="C41" s="49">
        <f>SUMIFS(_xlfn.ANCHORARRAY($Y$5),_xlfn.ANCHORARRAY($W$5),tbl_Gains[[#This Row],[Decile]])</f>
        <v>65</v>
      </c>
      <c r="D41" s="51">
        <f>tbl_Gains[[#This Row],[Buyers]]/tbl_Gains[[#This Row],[Customers]]</f>
        <v>0.65</v>
      </c>
      <c r="E41" s="53">
        <f>tbl_Gains[[#This Row],[Purchase Rate]]/Baseline_Rate</f>
        <v>1.3513513513513515</v>
      </c>
      <c r="F41" s="49">
        <f>SUMIFS(_xlfn.ANCHORARRAY($Y$5),_xlfn.ANCHORARRAY($W$5),"&lt;="&amp;tbl_Gains[[#This Row],[Decile]])</f>
        <v>145</v>
      </c>
      <c r="G41" s="51">
        <f>tbl_Gains[[#This Row],[Cumulative Buyers]]/Total_Buyers</f>
        <v>0.30145530145530147</v>
      </c>
      <c r="H41" s="117" t="str">
        <f>TEXT(_xlfn.MINIFS(_xlfn.ANCHORARRAY($U$5),_xlfn.ANCHORARRAY($W$5),tbl_Gains[[#This Row],[Decile]]),"0.0")&amp;" – "&amp;TEXT(_xlfn.MAXIFS(_xlfn.ANCHORARRAY($U$5),_xlfn.ANCHORARRAY($W$5),tbl_Gains[[#This Row],[Decile]]),"0.0")</f>
        <v>82.1 – 87.9</v>
      </c>
      <c r="I41" s="3"/>
      <c r="J41" s="3"/>
      <c r="K41" s="20">
        <v>17891</v>
      </c>
      <c r="L41" s="20" t="str">
        <v>0-1 Cars</v>
      </c>
      <c r="M41" s="20" t="str">
        <v>41-50</v>
      </c>
      <c r="N41" s="20" t="str">
        <v>0-1 Miles</v>
      </c>
      <c r="O41" s="20">
        <v>2</v>
      </c>
      <c r="P41" s="20" t="str">
        <v>Partial College</v>
      </c>
      <c r="Q41" s="20" t="str">
        <v>Europe</v>
      </c>
      <c r="R41" s="20" t="str">
        <v>Married</v>
      </c>
      <c r="S41" s="20" t="str">
        <v>$10k-30k</v>
      </c>
      <c r="T41" s="89">
        <v>0.49067107069481047</v>
      </c>
      <c r="U41" s="91">
        <v>63.257218800287554</v>
      </c>
      <c r="V41" s="49">
        <v>450</v>
      </c>
      <c r="W41" s="20">
        <v>5</v>
      </c>
      <c r="X41" s="20" t="str">
        <v>Warm</v>
      </c>
      <c r="Y41" s="20">
        <v>1</v>
      </c>
    </row>
    <row r="42" spans="1:25" ht="15" customHeight="1" x14ac:dyDescent="0.25">
      <c r="A42" s="116">
        <v>3</v>
      </c>
      <c r="B42" s="49">
        <f>COUNTIFS(_xlfn.ANCHORARRAY($W$5),tbl_Gains[[#This Row],[Decile]])</f>
        <v>100</v>
      </c>
      <c r="C42" s="49">
        <f>SUMIFS(_xlfn.ANCHORARRAY($Y$5),_xlfn.ANCHORARRAY($W$5),tbl_Gains[[#This Row],[Decile]])</f>
        <v>66</v>
      </c>
      <c r="D42" s="51">
        <f>tbl_Gains[[#This Row],[Buyers]]/tbl_Gains[[#This Row],[Customers]]</f>
        <v>0.66</v>
      </c>
      <c r="E42" s="53">
        <f>tbl_Gains[[#This Row],[Purchase Rate]]/Baseline_Rate</f>
        <v>1.3721413721413722</v>
      </c>
      <c r="F42" s="49">
        <f>SUMIFS(_xlfn.ANCHORARRAY($Y$5),_xlfn.ANCHORARRAY($W$5),"&lt;="&amp;tbl_Gains[[#This Row],[Decile]])</f>
        <v>211</v>
      </c>
      <c r="G42" s="51">
        <f>tbl_Gains[[#This Row],[Cumulative Buyers]]/Total_Buyers</f>
        <v>0.43866943866943869</v>
      </c>
      <c r="H42" s="117" t="str">
        <f>TEXT(_xlfn.MINIFS(_xlfn.ANCHORARRAY($U$5),_xlfn.ANCHORARRAY($W$5),tbl_Gains[[#This Row],[Decile]]),"0.0")&amp;" – "&amp;TEXT(_xlfn.MAXIFS(_xlfn.ANCHORARRAY($U$5),_xlfn.ANCHORARRAY($W$5),tbl_Gains[[#This Row],[Decile]]),"0.0")</f>
        <v>74.0 – 82.1</v>
      </c>
      <c r="I42" s="3"/>
      <c r="J42" s="3"/>
      <c r="K42" s="20">
        <v>27832</v>
      </c>
      <c r="L42" s="20" t="str">
        <v>0-1 Cars</v>
      </c>
      <c r="M42" s="20" t="str">
        <v>25-30</v>
      </c>
      <c r="N42" s="20" t="str">
        <v>2-5 Miles</v>
      </c>
      <c r="O42" s="20">
        <v>0</v>
      </c>
      <c r="P42" s="20" t="str">
        <v>Partial College</v>
      </c>
      <c r="Q42" s="20" t="str">
        <v>Europe</v>
      </c>
      <c r="R42" s="20" t="str">
        <v>Single</v>
      </c>
      <c r="S42" s="20" t="str">
        <v>$10k-30k</v>
      </c>
      <c r="T42" s="89">
        <v>0.49399028666653072</v>
      </c>
      <c r="U42" s="91">
        <v>64.86655236678375</v>
      </c>
      <c r="V42" s="49">
        <v>426</v>
      </c>
      <c r="W42" s="20">
        <v>5</v>
      </c>
      <c r="X42" s="20" t="str">
        <v>Warm</v>
      </c>
      <c r="Y42" s="20">
        <v>0</v>
      </c>
    </row>
    <row r="43" spans="1:25" ht="15" customHeight="1" x14ac:dyDescent="0.25">
      <c r="A43" s="116">
        <v>4</v>
      </c>
      <c r="B43" s="49">
        <f>COUNTIFS(_xlfn.ANCHORARRAY($W$5),tbl_Gains[[#This Row],[Decile]])</f>
        <v>100</v>
      </c>
      <c r="C43" s="49">
        <f>SUMIFS(_xlfn.ANCHORARRAY($Y$5),_xlfn.ANCHORARRAY($W$5),tbl_Gains[[#This Row],[Decile]])</f>
        <v>52</v>
      </c>
      <c r="D43" s="51">
        <f>tbl_Gains[[#This Row],[Buyers]]/tbl_Gains[[#This Row],[Customers]]</f>
        <v>0.52</v>
      </c>
      <c r="E43" s="53">
        <f>tbl_Gains[[#This Row],[Purchase Rate]]/Baseline_Rate</f>
        <v>1.0810810810810811</v>
      </c>
      <c r="F43" s="49">
        <f>SUMIFS(_xlfn.ANCHORARRAY($Y$5),_xlfn.ANCHORARRAY($W$5),"&lt;="&amp;tbl_Gains[[#This Row],[Decile]])</f>
        <v>263</v>
      </c>
      <c r="G43" s="51">
        <f>tbl_Gains[[#This Row],[Cumulative Buyers]]/Total_Buyers</f>
        <v>0.54677754677754675</v>
      </c>
      <c r="H43" s="117" t="str">
        <f>TEXT(_xlfn.MINIFS(_xlfn.ANCHORARRAY($U$5),_xlfn.ANCHORARRAY($W$5),tbl_Gains[[#This Row],[Decile]]),"0.0")&amp;" – "&amp;TEXT(_xlfn.MAXIFS(_xlfn.ANCHORARRAY($U$5),_xlfn.ANCHORARRAY($W$5),tbl_Gains[[#This Row],[Decile]]),"0.0")</f>
        <v>66.3 – 73.9</v>
      </c>
      <c r="I43" s="3"/>
      <c r="J43" s="3"/>
      <c r="K43" s="20">
        <v>26863</v>
      </c>
      <c r="L43" s="20" t="str">
        <v>0-1 Cars</v>
      </c>
      <c r="M43" s="20" t="str">
        <v>25-30</v>
      </c>
      <c r="N43" s="20" t="str">
        <v>2-5 Miles</v>
      </c>
      <c r="O43" s="20">
        <v>0</v>
      </c>
      <c r="P43" s="20" t="str">
        <v>High School</v>
      </c>
      <c r="Q43" s="20" t="str">
        <v>Europe</v>
      </c>
      <c r="R43" s="20" t="str">
        <v>Single</v>
      </c>
      <c r="S43" s="20" t="str">
        <v>$10k-30k</v>
      </c>
      <c r="T43" s="89">
        <v>0.49303661041275448</v>
      </c>
      <c r="U43" s="91">
        <v>64.404159072750218</v>
      </c>
      <c r="V43" s="49">
        <v>432</v>
      </c>
      <c r="W43" s="20">
        <v>5</v>
      </c>
      <c r="X43" s="20" t="str">
        <v>Warm</v>
      </c>
      <c r="Y43" s="20">
        <v>0</v>
      </c>
    </row>
    <row r="44" spans="1:25" ht="15" customHeight="1" x14ac:dyDescent="0.25">
      <c r="A44" s="116">
        <v>5</v>
      </c>
      <c r="B44" s="49">
        <f>COUNTIFS(_xlfn.ANCHORARRAY($W$5),tbl_Gains[[#This Row],[Decile]])</f>
        <v>100</v>
      </c>
      <c r="C44" s="49">
        <f>SUMIFS(_xlfn.ANCHORARRAY($Y$5),_xlfn.ANCHORARRAY($W$5),tbl_Gains[[#This Row],[Decile]])</f>
        <v>51</v>
      </c>
      <c r="D44" s="51">
        <f>tbl_Gains[[#This Row],[Buyers]]/tbl_Gains[[#This Row],[Customers]]</f>
        <v>0.51</v>
      </c>
      <c r="E44" s="53">
        <f>tbl_Gains[[#This Row],[Purchase Rate]]/Baseline_Rate</f>
        <v>1.0602910602910602</v>
      </c>
      <c r="F44" s="49">
        <f>SUMIFS(_xlfn.ANCHORARRAY($Y$5),_xlfn.ANCHORARRAY($W$5),"&lt;="&amp;tbl_Gains[[#This Row],[Decile]])</f>
        <v>314</v>
      </c>
      <c r="G44" s="51">
        <f>tbl_Gains[[#This Row],[Cumulative Buyers]]/Total_Buyers</f>
        <v>0.65280665280665284</v>
      </c>
      <c r="H44" s="117" t="str">
        <f>TEXT(_xlfn.MINIFS(_xlfn.ANCHORARRAY($U$5),_xlfn.ANCHORARRAY($W$5),tbl_Gains[[#This Row],[Decile]]),"0.0")&amp;" – "&amp;TEXT(_xlfn.MAXIFS(_xlfn.ANCHORARRAY($U$5),_xlfn.ANCHORARRAY($W$5),tbl_Gains[[#This Row],[Decile]]),"0.0")</f>
        <v>58.7 – 66.3</v>
      </c>
      <c r="I44" s="3"/>
      <c r="J44" s="3"/>
      <c r="K44" s="20">
        <v>16259</v>
      </c>
      <c r="L44" s="20" t="str">
        <v>2+ Cars</v>
      </c>
      <c r="M44" s="20" t="str">
        <v>31-40</v>
      </c>
      <c r="N44" s="20" t="str">
        <v>0-1 Miles</v>
      </c>
      <c r="O44" s="20">
        <v>4</v>
      </c>
      <c r="P44" s="20" t="str">
        <v>Partial High School</v>
      </c>
      <c r="Q44" s="20" t="str">
        <v>Europe</v>
      </c>
      <c r="R44" s="20" t="str">
        <v>Single</v>
      </c>
      <c r="S44" s="20" t="str">
        <v>$10k-30k</v>
      </c>
      <c r="T44" s="89">
        <v>0.45674712256140554</v>
      </c>
      <c r="U44" s="91">
        <v>46.809072941652765</v>
      </c>
      <c r="V44" s="49">
        <v>680</v>
      </c>
      <c r="W44" s="20">
        <v>7</v>
      </c>
      <c r="X44" s="20" t="str">
        <v>Cold</v>
      </c>
      <c r="Y44" s="20">
        <v>1</v>
      </c>
    </row>
    <row r="45" spans="1:25" ht="15" customHeight="1" x14ac:dyDescent="0.25">
      <c r="A45" s="116">
        <v>6</v>
      </c>
      <c r="B45" s="49">
        <f>COUNTIFS(_xlfn.ANCHORARRAY($W$5),tbl_Gains[[#This Row],[Decile]])</f>
        <v>100</v>
      </c>
      <c r="C45" s="49">
        <f>SUMIFS(_xlfn.ANCHORARRAY($Y$5),_xlfn.ANCHORARRAY($W$5),tbl_Gains[[#This Row],[Decile]])</f>
        <v>35</v>
      </c>
      <c r="D45" s="51">
        <f>tbl_Gains[[#This Row],[Buyers]]/tbl_Gains[[#This Row],[Customers]]</f>
        <v>0.35</v>
      </c>
      <c r="E45" s="53">
        <f>tbl_Gains[[#This Row],[Purchase Rate]]/Baseline_Rate</f>
        <v>0.72765072765072758</v>
      </c>
      <c r="F45" s="49">
        <f>SUMIFS(_xlfn.ANCHORARRAY($Y$5),_xlfn.ANCHORARRAY($W$5),"&lt;="&amp;tbl_Gains[[#This Row],[Decile]])</f>
        <v>349</v>
      </c>
      <c r="G45" s="51">
        <f>tbl_Gains[[#This Row],[Cumulative Buyers]]/Total_Buyers</f>
        <v>0.72557172557172556</v>
      </c>
      <c r="H45" s="117" t="str">
        <f>TEXT(_xlfn.MINIFS(_xlfn.ANCHORARRAY($U$5),_xlfn.ANCHORARRAY($W$5),tbl_Gains[[#This Row],[Decile]]),"0.0")&amp;" – "&amp;TEXT(_xlfn.MAXIFS(_xlfn.ANCHORARRAY($U$5),_xlfn.ANCHORARRAY($W$5),tbl_Gains[[#This Row],[Decile]]),"0.0")</f>
        <v>51.9 – 58.7</v>
      </c>
      <c r="I45" s="3"/>
      <c r="J45" s="3"/>
      <c r="K45" s="20">
        <v>27803</v>
      </c>
      <c r="L45" s="20" t="str">
        <v>0-1 Cars</v>
      </c>
      <c r="M45" s="20" t="str">
        <v>41-50</v>
      </c>
      <c r="N45" s="20" t="str">
        <v>0-1 Miles</v>
      </c>
      <c r="O45" s="20">
        <v>2</v>
      </c>
      <c r="P45" s="20" t="str">
        <v>Partial College</v>
      </c>
      <c r="Q45" s="20" t="str">
        <v>Europe</v>
      </c>
      <c r="R45" s="20" t="str">
        <v>Single</v>
      </c>
      <c r="S45" s="20" t="str">
        <v>$10k-30k</v>
      </c>
      <c r="T45" s="89">
        <v>0.50034911340263566</v>
      </c>
      <c r="U45" s="91">
        <v>67.949651929191404</v>
      </c>
      <c r="V45" s="49">
        <v>373</v>
      </c>
      <c r="W45" s="20">
        <v>4</v>
      </c>
      <c r="X45" s="20" t="str">
        <v>Warm</v>
      </c>
      <c r="Y45" s="20">
        <v>0</v>
      </c>
    </row>
    <row r="46" spans="1:25" ht="15" customHeight="1" x14ac:dyDescent="0.25">
      <c r="A46" s="116">
        <v>7</v>
      </c>
      <c r="B46" s="49">
        <f>COUNTIFS(_xlfn.ANCHORARRAY($W$5),tbl_Gains[[#This Row],[Decile]])</f>
        <v>100</v>
      </c>
      <c r="C46" s="49">
        <f>SUMIFS(_xlfn.ANCHORARRAY($Y$5),_xlfn.ANCHORARRAY($W$5),tbl_Gains[[#This Row],[Decile]])</f>
        <v>39</v>
      </c>
      <c r="D46" s="51">
        <f>tbl_Gains[[#This Row],[Buyers]]/tbl_Gains[[#This Row],[Customers]]</f>
        <v>0.39</v>
      </c>
      <c r="E46" s="53">
        <f>tbl_Gains[[#This Row],[Purchase Rate]]/Baseline_Rate</f>
        <v>0.81081081081081086</v>
      </c>
      <c r="F46" s="49">
        <f>SUMIFS(_xlfn.ANCHORARRAY($Y$5),_xlfn.ANCHORARRAY($W$5),"&lt;="&amp;tbl_Gains[[#This Row],[Decile]])</f>
        <v>388</v>
      </c>
      <c r="G46" s="51">
        <f>tbl_Gains[[#This Row],[Cumulative Buyers]]/Total_Buyers</f>
        <v>0.8066528066528067</v>
      </c>
      <c r="H46" s="117" t="str">
        <f>TEXT(_xlfn.MINIFS(_xlfn.ANCHORARRAY($U$5),_xlfn.ANCHORARRAY($W$5),tbl_Gains[[#This Row],[Decile]]),"0.0")&amp;" – "&amp;TEXT(_xlfn.MAXIFS(_xlfn.ANCHORARRAY($U$5),_xlfn.ANCHORARRAY($W$5),tbl_Gains[[#This Row],[Decile]]),"0.0")</f>
        <v>45.7 – 51.9</v>
      </c>
      <c r="I46" s="3"/>
      <c r="J46" s="3"/>
      <c r="K46" s="20">
        <v>14347</v>
      </c>
      <c r="L46" s="20" t="str">
        <v>2+ Cars</v>
      </c>
      <c r="M46" s="20" t="str">
        <v>61+</v>
      </c>
      <c r="N46" s="20" t="str">
        <v>5-10 Miles</v>
      </c>
      <c r="O46" s="20">
        <v>2</v>
      </c>
      <c r="P46" s="20" t="str">
        <v>Bachelors</v>
      </c>
      <c r="Q46" s="20" t="str">
        <v>Pacific</v>
      </c>
      <c r="R46" s="20" t="str">
        <v>Single</v>
      </c>
      <c r="S46" s="20" t="str">
        <v>$40k-60k</v>
      </c>
      <c r="T46" s="89">
        <v>0.44560104359663127</v>
      </c>
      <c r="U46" s="91">
        <v>41.404857257690544</v>
      </c>
      <c r="V46" s="49">
        <v>747</v>
      </c>
      <c r="W46" s="20">
        <v>8</v>
      </c>
      <c r="X46" s="20" t="str">
        <v>Cold</v>
      </c>
      <c r="Y46" s="20">
        <v>1</v>
      </c>
    </row>
    <row r="47" spans="1:25" ht="15" customHeight="1" x14ac:dyDescent="0.25">
      <c r="A47" s="116">
        <v>8</v>
      </c>
      <c r="B47" s="49">
        <f>COUNTIFS(_xlfn.ANCHORARRAY($W$5),tbl_Gains[[#This Row],[Decile]])</f>
        <v>100</v>
      </c>
      <c r="C47" s="49">
        <f>SUMIFS(_xlfn.ANCHORARRAY($Y$5),_xlfn.ANCHORARRAY($W$5),tbl_Gains[[#This Row],[Decile]])</f>
        <v>53</v>
      </c>
      <c r="D47" s="51">
        <f>tbl_Gains[[#This Row],[Buyers]]/tbl_Gains[[#This Row],[Customers]]</f>
        <v>0.53</v>
      </c>
      <c r="E47" s="53">
        <f>tbl_Gains[[#This Row],[Purchase Rate]]/Baseline_Rate</f>
        <v>1.101871101871102</v>
      </c>
      <c r="F47" s="49">
        <f>SUMIFS(_xlfn.ANCHORARRAY($Y$5),_xlfn.ANCHORARRAY($W$5),"&lt;="&amp;tbl_Gains[[#This Row],[Decile]])</f>
        <v>441</v>
      </c>
      <c r="G47" s="51">
        <f>tbl_Gains[[#This Row],[Cumulative Buyers]]/Total_Buyers</f>
        <v>0.91683991683991684</v>
      </c>
      <c r="H47" s="117" t="str">
        <f>TEXT(_xlfn.MINIFS(_xlfn.ANCHORARRAY($U$5),_xlfn.ANCHORARRAY($W$5),tbl_Gains[[#This Row],[Decile]]),"0.0")&amp;" – "&amp;TEXT(_xlfn.MAXIFS(_xlfn.ANCHORARRAY($U$5),_xlfn.ANCHORARRAY($W$5),tbl_Gains[[#This Row],[Decile]]),"0.0")</f>
        <v>36.8 – 45.6</v>
      </c>
      <c r="I47" s="3"/>
      <c r="J47" s="3"/>
      <c r="K47" s="20">
        <v>17703</v>
      </c>
      <c r="L47" s="20" t="str">
        <v>0-1 Cars</v>
      </c>
      <c r="M47" s="20" t="str">
        <v>31-40</v>
      </c>
      <c r="N47" s="20" t="str">
        <v>0-1 Miles</v>
      </c>
      <c r="O47" s="20">
        <v>1</v>
      </c>
      <c r="P47" s="20" t="str">
        <v>Graduate Degree</v>
      </c>
      <c r="Q47" s="20" t="str">
        <v>Europe</v>
      </c>
      <c r="R47" s="20" t="str">
        <v>Married</v>
      </c>
      <c r="S47" s="20" t="str">
        <v>$10k-30k</v>
      </c>
      <c r="T47" s="89">
        <v>0.54024351530704395</v>
      </c>
      <c r="U47" s="91">
        <v>87.292593348812147</v>
      </c>
      <c r="V47" s="49">
        <v>112</v>
      </c>
      <c r="W47" s="20">
        <v>2</v>
      </c>
      <c r="X47" s="20" t="str">
        <v>Hot</v>
      </c>
      <c r="Y47" s="20">
        <v>0</v>
      </c>
    </row>
    <row r="48" spans="1:25" ht="15" customHeight="1" x14ac:dyDescent="0.25">
      <c r="A48" s="116">
        <v>9</v>
      </c>
      <c r="B48" s="49">
        <f>COUNTIFS(_xlfn.ANCHORARRAY($W$5),tbl_Gains[[#This Row],[Decile]])</f>
        <v>100</v>
      </c>
      <c r="C48" s="49">
        <f>SUMIFS(_xlfn.ANCHORARRAY($Y$5),_xlfn.ANCHORARRAY($W$5),tbl_Gains[[#This Row],[Decile]])</f>
        <v>21</v>
      </c>
      <c r="D48" s="51">
        <f>tbl_Gains[[#This Row],[Buyers]]/tbl_Gains[[#This Row],[Customers]]</f>
        <v>0.21</v>
      </c>
      <c r="E48" s="53">
        <f>tbl_Gains[[#This Row],[Purchase Rate]]/Baseline_Rate</f>
        <v>0.43659043659043661</v>
      </c>
      <c r="F48" s="49">
        <f>SUMIFS(_xlfn.ANCHORARRAY($Y$5),_xlfn.ANCHORARRAY($W$5),"&lt;="&amp;tbl_Gains[[#This Row],[Decile]])</f>
        <v>462</v>
      </c>
      <c r="G48" s="51">
        <f>tbl_Gains[[#This Row],[Cumulative Buyers]]/Total_Buyers</f>
        <v>0.96049896049896055</v>
      </c>
      <c r="H48" s="117" t="str">
        <f>TEXT(_xlfn.MINIFS(_xlfn.ANCHORARRAY($U$5),_xlfn.ANCHORARRAY($W$5),tbl_Gains[[#This Row],[Decile]]),"0.0")&amp;" – "&amp;TEXT(_xlfn.MAXIFS(_xlfn.ANCHORARRAY($U$5),_xlfn.ANCHORARRAY($W$5),tbl_Gains[[#This Row],[Decile]]),"0.0")</f>
        <v>28.4 – 36.7</v>
      </c>
      <c r="I48" s="3"/>
      <c r="J48" s="3"/>
      <c r="K48" s="20">
        <v>17185</v>
      </c>
      <c r="L48" s="20" t="str">
        <v>2+ Cars</v>
      </c>
      <c r="M48" s="20" t="str">
        <v>41-50</v>
      </c>
      <c r="N48" s="20" t="str">
        <v>5-10 Miles</v>
      </c>
      <c r="O48" s="20">
        <v>4</v>
      </c>
      <c r="P48" s="20" t="str">
        <v>Partial College</v>
      </c>
      <c r="Q48" s="20" t="str">
        <v>Europe</v>
      </c>
      <c r="R48" s="20" t="str">
        <v>Married</v>
      </c>
      <c r="S48" s="20" t="str">
        <v>$100k+</v>
      </c>
      <c r="T48" s="89">
        <v>0.43229451891293819</v>
      </c>
      <c r="U48" s="91">
        <v>34.953141849795891</v>
      </c>
      <c r="V48" s="49">
        <v>824</v>
      </c>
      <c r="W48" s="20">
        <v>9</v>
      </c>
      <c r="X48" s="20" t="str">
        <v>Cold</v>
      </c>
      <c r="Y48" s="20">
        <v>1</v>
      </c>
    </row>
    <row r="49" spans="1:25" ht="15" customHeight="1" x14ac:dyDescent="0.25">
      <c r="A49" s="116">
        <v>10</v>
      </c>
      <c r="B49" s="49">
        <f>COUNTIFS(_xlfn.ANCHORARRAY($W$5),tbl_Gains[[#This Row],[Decile]])</f>
        <v>100</v>
      </c>
      <c r="C49" s="49">
        <f>SUMIFS(_xlfn.ANCHORARRAY($Y$5),_xlfn.ANCHORARRAY($W$5),tbl_Gains[[#This Row],[Decile]])</f>
        <v>19</v>
      </c>
      <c r="D49" s="51">
        <f>tbl_Gains[[#This Row],[Buyers]]/tbl_Gains[[#This Row],[Customers]]</f>
        <v>0.19</v>
      </c>
      <c r="E49" s="53">
        <f>tbl_Gains[[#This Row],[Purchase Rate]]/Baseline_Rate</f>
        <v>0.39501039501039503</v>
      </c>
      <c r="F49" s="49">
        <f>SUMIFS(_xlfn.ANCHORARRAY($Y$5),_xlfn.ANCHORARRAY($W$5),"&lt;="&amp;tbl_Gains[[#This Row],[Decile]])</f>
        <v>481</v>
      </c>
      <c r="G49" s="51">
        <f>tbl_Gains[[#This Row],[Cumulative Buyers]]/Total_Buyers</f>
        <v>1</v>
      </c>
      <c r="H49" s="117" t="str">
        <f>TEXT(_xlfn.MINIFS(_xlfn.ANCHORARRAY($U$5),_xlfn.ANCHORARRAY($W$5),tbl_Gains[[#This Row],[Decile]]),"0.0")&amp;" – "&amp;TEXT(_xlfn.MAXIFS(_xlfn.ANCHORARRAY($U$5),_xlfn.ANCHORARRAY($W$5),tbl_Gains[[#This Row],[Decile]]),"0.0")</f>
        <v>0.0 – 28.3</v>
      </c>
      <c r="I49" s="3"/>
      <c r="J49" s="3"/>
      <c r="K49" s="20">
        <v>29380</v>
      </c>
      <c r="L49" s="20" t="str">
        <v>0-1 Cars</v>
      </c>
      <c r="M49" s="20" t="str">
        <v>41-50</v>
      </c>
      <c r="N49" s="20" t="str">
        <v>0-1 Miles</v>
      </c>
      <c r="O49" s="20">
        <v>3</v>
      </c>
      <c r="P49" s="20" t="str">
        <v>High School</v>
      </c>
      <c r="Q49" s="20" t="str">
        <v>Europe</v>
      </c>
      <c r="R49" s="20" t="str">
        <v>Married</v>
      </c>
      <c r="S49" s="20" t="str">
        <v>$10k-30k</v>
      </c>
      <c r="T49" s="89">
        <v>0.50093221279866573</v>
      </c>
      <c r="U49" s="91">
        <v>68.232369727198531</v>
      </c>
      <c r="V49" s="49">
        <v>367</v>
      </c>
      <c r="W49" s="20">
        <v>4</v>
      </c>
      <c r="X49" s="20" t="str">
        <v>Warm</v>
      </c>
      <c r="Y49" s="20">
        <v>1</v>
      </c>
    </row>
    <row r="50" spans="1:25" ht="15" customHeight="1" x14ac:dyDescent="0.25">
      <c r="A50" s="3"/>
      <c r="B50" s="3"/>
      <c r="C50" s="3"/>
      <c r="D50" s="3"/>
      <c r="E50" s="3"/>
      <c r="F50" s="3"/>
      <c r="G50" s="3"/>
      <c r="H50" s="3"/>
      <c r="I50" s="3"/>
      <c r="J50" s="3"/>
      <c r="K50" s="20">
        <v>23986</v>
      </c>
      <c r="L50" s="20" t="str">
        <v>0-1 Cars</v>
      </c>
      <c r="M50" s="20" t="str">
        <v>61+</v>
      </c>
      <c r="N50" s="20" t="str">
        <v>0-1 Miles</v>
      </c>
      <c r="O50" s="20">
        <v>1</v>
      </c>
      <c r="P50" s="20" t="str">
        <v>Bachelors</v>
      </c>
      <c r="Q50" s="20" t="str">
        <v>Europe</v>
      </c>
      <c r="R50" s="20" t="str">
        <v>Married</v>
      </c>
      <c r="S50" s="20" t="str">
        <v>$10k-30k</v>
      </c>
      <c r="T50" s="89">
        <v>0.49214213026608866</v>
      </c>
      <c r="U50" s="91">
        <v>63.970467219957726</v>
      </c>
      <c r="V50" s="49">
        <v>446</v>
      </c>
      <c r="W50" s="20">
        <v>5</v>
      </c>
      <c r="X50" s="20" t="str">
        <v>Warm</v>
      </c>
      <c r="Y50" s="20">
        <v>1</v>
      </c>
    </row>
    <row r="51" spans="1:25" ht="15" customHeight="1" x14ac:dyDescent="0.25">
      <c r="A51" s="3"/>
      <c r="B51" s="3"/>
      <c r="C51" s="3"/>
      <c r="D51" s="3"/>
      <c r="E51" s="3"/>
      <c r="F51" s="3"/>
      <c r="G51" s="3"/>
      <c r="H51" s="3"/>
      <c r="I51" s="3"/>
      <c r="J51" s="3"/>
      <c r="K51" s="20">
        <v>24466</v>
      </c>
      <c r="L51" s="20" t="str">
        <v>0-1 Cars</v>
      </c>
      <c r="M51" s="20" t="str">
        <v>41-50</v>
      </c>
      <c r="N51" s="20" t="str">
        <v>5-10 Miles</v>
      </c>
      <c r="O51" s="20">
        <v>1</v>
      </c>
      <c r="P51" s="20" t="str">
        <v>Partial College</v>
      </c>
      <c r="Q51" s="20" t="str">
        <v>Pacific</v>
      </c>
      <c r="R51" s="20" t="str">
        <v>Married</v>
      </c>
      <c r="S51" s="20" t="str">
        <v>$40k-60k</v>
      </c>
      <c r="T51" s="89">
        <v>0.50371149496934486</v>
      </c>
      <c r="U51" s="91">
        <v>69.579914486607564</v>
      </c>
      <c r="V51" s="49">
        <v>344</v>
      </c>
      <c r="W51" s="20">
        <v>4</v>
      </c>
      <c r="X51" s="20" t="str">
        <v>Warm</v>
      </c>
      <c r="Y51" s="20">
        <v>1</v>
      </c>
    </row>
    <row r="52" spans="1:25" ht="15" customHeight="1" x14ac:dyDescent="0.25">
      <c r="A52" s="44" t="s">
        <v>401</v>
      </c>
      <c r="B52" s="3"/>
      <c r="C52" s="3"/>
      <c r="D52" s="3"/>
      <c r="E52" s="3"/>
      <c r="F52" s="3"/>
      <c r="G52" s="3"/>
      <c r="H52" s="3"/>
      <c r="I52" s="3"/>
      <c r="J52" s="3"/>
      <c r="K52" s="20">
        <v>29097</v>
      </c>
      <c r="L52" s="20" t="str">
        <v>2+ Cars</v>
      </c>
      <c r="M52" s="20" t="str">
        <v>51-60</v>
      </c>
      <c r="N52" s="20" t="str">
        <v>5-10 Miles</v>
      </c>
      <c r="O52" s="20">
        <v>2</v>
      </c>
      <c r="P52" s="20" t="str">
        <v>Partial College</v>
      </c>
      <c r="Q52" s="20" t="str">
        <v>Pacific</v>
      </c>
      <c r="R52" s="20" t="str">
        <v>Single</v>
      </c>
      <c r="S52" s="20" t="str">
        <v>$40k-60k</v>
      </c>
      <c r="T52" s="89">
        <v>0.45750440581810342</v>
      </c>
      <c r="U52" s="91">
        <v>47.17624439862724</v>
      </c>
      <c r="V52" s="49">
        <v>670</v>
      </c>
      <c r="W52" s="20">
        <v>7</v>
      </c>
      <c r="X52" s="20" t="str">
        <v>Cold</v>
      </c>
      <c r="Y52" s="20">
        <v>1</v>
      </c>
    </row>
    <row r="53" spans="1:25" ht="30" customHeight="1" x14ac:dyDescent="0.25">
      <c r="A53" s="16" t="s">
        <v>208</v>
      </c>
      <c r="B53" s="16" t="s">
        <v>177</v>
      </c>
      <c r="C53" s="16" t="s">
        <v>171</v>
      </c>
      <c r="D53" s="16" t="s">
        <v>172</v>
      </c>
      <c r="E53" s="16" t="s">
        <v>173</v>
      </c>
      <c r="F53" s="16" t="s">
        <v>174</v>
      </c>
      <c r="G53" s="3"/>
      <c r="H53" s="3"/>
      <c r="I53" s="3"/>
      <c r="J53" s="3"/>
      <c r="K53" s="20">
        <v>19487</v>
      </c>
      <c r="L53" s="20" t="str">
        <v>2+ Cars</v>
      </c>
      <c r="M53" s="20" t="str">
        <v>41-50</v>
      </c>
      <c r="N53" s="20" t="str">
        <v>0-1 Miles</v>
      </c>
      <c r="O53" s="20">
        <v>2</v>
      </c>
      <c r="P53" s="20" t="str">
        <v>Partial College</v>
      </c>
      <c r="Q53" s="20" t="str">
        <v>Europe</v>
      </c>
      <c r="R53" s="20" t="str">
        <v>Married</v>
      </c>
      <c r="S53" s="20" t="str">
        <v>$10k-30k</v>
      </c>
      <c r="T53" s="89">
        <v>0.45195762117609833</v>
      </c>
      <c r="U53" s="91">
        <v>44.486866308572438</v>
      </c>
      <c r="V53" s="49">
        <v>719</v>
      </c>
      <c r="W53" s="20">
        <v>8</v>
      </c>
      <c r="X53" s="20" t="str">
        <v>Cold</v>
      </c>
      <c r="Y53" s="20">
        <v>0</v>
      </c>
    </row>
    <row r="54" spans="1:25" ht="15" customHeight="1" x14ac:dyDescent="0.25">
      <c r="A54" s="118" t="str">
        <f>tbl_SegmentRates[[#This Row],[Factor]]&amp;"|"&amp;tbl_SegmentRates[[#This Row],[Segment]]</f>
        <v>Car Ownership|0-1 Cars</v>
      </c>
      <c r="B54" s="3" t="s">
        <v>119</v>
      </c>
      <c r="C54" s="109" t="s">
        <v>209</v>
      </c>
      <c r="D54" s="49">
        <f>COUNTIFS(INDEX(tbl_Clean[],0,MATCH(tbl_SegmentRates[[#This Row],[Factor]],tbl_Clean[#Headers],0)),tbl_SegmentRates[[#This Row],[Segment]])</f>
        <v>514</v>
      </c>
      <c r="E54" s="49">
        <f>COUNTIFS(INDEX(tbl_Clean[],0,MATCH(tbl_SegmentRates[[#This Row],[Factor]],tbl_Clean[#Headers],0)),tbl_SegmentRates[[#This Row],[Segment]],tbl_Clean[Purchased Flag],1)</f>
        <v>303</v>
      </c>
      <c r="F54" s="51">
        <f>tbl_SegmentRates[[#This Row],[Buyers]]/tbl_SegmentRates[[#This Row],[Customers]]</f>
        <v>0.58949416342412453</v>
      </c>
      <c r="G54" s="3"/>
      <c r="H54" s="3"/>
      <c r="I54" s="3"/>
      <c r="J54" s="3"/>
      <c r="K54" s="20">
        <v>14939</v>
      </c>
      <c r="L54" s="20" t="str">
        <v>0-1 Cars</v>
      </c>
      <c r="M54" s="20" t="str">
        <v>31-40</v>
      </c>
      <c r="N54" s="20" t="str">
        <v>0-1 Miles</v>
      </c>
      <c r="O54" s="20">
        <v>0</v>
      </c>
      <c r="P54" s="20" t="str">
        <v>Bachelors</v>
      </c>
      <c r="Q54" s="20" t="str">
        <v>Europe</v>
      </c>
      <c r="R54" s="20" t="str">
        <v>Single</v>
      </c>
      <c r="S54" s="20" t="str">
        <v>$40k-60k</v>
      </c>
      <c r="T54" s="89">
        <v>0.55269573417036788</v>
      </c>
      <c r="U54" s="91">
        <v>93.330095567662468</v>
      </c>
      <c r="V54" s="49">
        <v>19</v>
      </c>
      <c r="W54" s="20">
        <v>1</v>
      </c>
      <c r="X54" s="20" t="str">
        <v>Hot</v>
      </c>
      <c r="Y54" s="20">
        <v>1</v>
      </c>
    </row>
    <row r="55" spans="1:25" ht="15" customHeight="1" x14ac:dyDescent="0.25">
      <c r="A55" s="118" t="str">
        <f>tbl_SegmentRates[[#This Row],[Factor]]&amp;"|"&amp;tbl_SegmentRates[[#This Row],[Segment]]</f>
        <v>Car Ownership|2+ Cars</v>
      </c>
      <c r="B55" s="3" t="s">
        <v>119</v>
      </c>
      <c r="C55" s="109" t="s">
        <v>210</v>
      </c>
      <c r="D55" s="49">
        <f>COUNTIFS(INDEX(tbl_Clean[],0,MATCH(tbl_SegmentRates[[#This Row],[Factor]],tbl_Clean[#Headers],0)),tbl_SegmentRates[[#This Row],[Segment]])</f>
        <v>486</v>
      </c>
      <c r="E55" s="49">
        <f>COUNTIFS(INDEX(tbl_Clean[],0,MATCH(tbl_SegmentRates[[#This Row],[Factor]],tbl_Clean[#Headers],0)),tbl_SegmentRates[[#This Row],[Segment]],tbl_Clean[Purchased Flag],1)</f>
        <v>178</v>
      </c>
      <c r="F55" s="51">
        <f>tbl_SegmentRates[[#This Row],[Buyers]]/tbl_SegmentRates[[#This Row],[Customers]]</f>
        <v>0.36625514403292181</v>
      </c>
      <c r="G55" s="3"/>
      <c r="H55" s="3"/>
      <c r="I55" s="3"/>
      <c r="J55" s="3"/>
      <c r="K55" s="20">
        <v>13826</v>
      </c>
      <c r="L55" s="20" t="str">
        <v>0-1 Cars</v>
      </c>
      <c r="M55" s="20" t="str">
        <v>25-30</v>
      </c>
      <c r="N55" s="20" t="str">
        <v>0-1 Miles</v>
      </c>
      <c r="O55" s="20">
        <v>0</v>
      </c>
      <c r="P55" s="20" t="str">
        <v>Partial College</v>
      </c>
      <c r="Q55" s="20" t="str">
        <v>Europe</v>
      </c>
      <c r="R55" s="20" t="str">
        <v>Single</v>
      </c>
      <c r="S55" s="20" t="str">
        <v>$10k-30k</v>
      </c>
      <c r="T55" s="89">
        <v>0.4882237652508587</v>
      </c>
      <c r="U55" s="91">
        <v>62.07063412728742</v>
      </c>
      <c r="V55" s="49">
        <v>458</v>
      </c>
      <c r="W55" s="20">
        <v>5</v>
      </c>
      <c r="X55" s="20" t="str">
        <v>Warm</v>
      </c>
      <c r="Y55" s="20">
        <v>0</v>
      </c>
    </row>
    <row r="56" spans="1:25" ht="15" customHeight="1" x14ac:dyDescent="0.25">
      <c r="A56" s="118" t="str">
        <f>tbl_SegmentRates[[#This Row],[Factor]]&amp;"|"&amp;tbl_SegmentRates[[#This Row],[Segment]]</f>
        <v>Age Band|25-30</v>
      </c>
      <c r="B56" s="3" t="s">
        <v>115</v>
      </c>
      <c r="C56" s="109" t="s">
        <v>211</v>
      </c>
      <c r="D56" s="49">
        <f>COUNTIFS(INDEX(tbl_Clean[],0,MATCH(tbl_SegmentRates[[#This Row],[Factor]],tbl_Clean[#Headers],0)),tbl_SegmentRates[[#This Row],[Segment]])</f>
        <v>110</v>
      </c>
      <c r="E56" s="49">
        <f>COUNTIFS(INDEX(tbl_Clean[],0,MATCH(tbl_SegmentRates[[#This Row],[Factor]],tbl_Clean[#Headers],0)),tbl_SegmentRates[[#This Row],[Segment]],tbl_Clean[Purchased Flag],1)</f>
        <v>39</v>
      </c>
      <c r="F56" s="51">
        <f>tbl_SegmentRates[[#This Row],[Buyers]]/tbl_SegmentRates[[#This Row],[Customers]]</f>
        <v>0.35454545454545455</v>
      </c>
      <c r="G56" s="3"/>
      <c r="H56" s="3"/>
      <c r="I56" s="3"/>
      <c r="J56" s="3"/>
      <c r="K56" s="20">
        <v>20619</v>
      </c>
      <c r="L56" s="20" t="str">
        <v>2+ Cars</v>
      </c>
      <c r="M56" s="20" t="str">
        <v>31-40</v>
      </c>
      <c r="N56" s="20" t="str">
        <v>10+ Miles</v>
      </c>
      <c r="O56" s="20">
        <v>0</v>
      </c>
      <c r="P56" s="20" t="str">
        <v>Bachelors</v>
      </c>
      <c r="Q56" s="20" t="str">
        <v>Pacific</v>
      </c>
      <c r="R56" s="20" t="str">
        <v>Single</v>
      </c>
      <c r="S56" s="20" t="str">
        <v>$70k-90k</v>
      </c>
      <c r="T56" s="89">
        <v>0.48374381756216484</v>
      </c>
      <c r="U56" s="91">
        <v>59.898515695407994</v>
      </c>
      <c r="V56" s="49">
        <v>486</v>
      </c>
      <c r="W56" s="20">
        <v>5</v>
      </c>
      <c r="X56" s="20" t="str">
        <v>Warm</v>
      </c>
      <c r="Y56" s="20">
        <v>0</v>
      </c>
    </row>
    <row r="57" spans="1:25" ht="15" customHeight="1" x14ac:dyDescent="0.25">
      <c r="A57" s="118" t="str">
        <f>tbl_SegmentRates[[#This Row],[Factor]]&amp;"|"&amp;tbl_SegmentRates[[#This Row],[Segment]]</f>
        <v>Age Band|31-40</v>
      </c>
      <c r="B57" s="3" t="s">
        <v>115</v>
      </c>
      <c r="C57" s="109" t="s">
        <v>212</v>
      </c>
      <c r="D57" s="49">
        <f>COUNTIFS(INDEX(tbl_Clean[],0,MATCH(tbl_SegmentRates[[#This Row],[Factor]],tbl_Clean[#Headers],0)),tbl_SegmentRates[[#This Row],[Segment]])</f>
        <v>316</v>
      </c>
      <c r="E57" s="49">
        <f>COUNTIFS(INDEX(tbl_Clean[],0,MATCH(tbl_SegmentRates[[#This Row],[Factor]],tbl_Clean[#Headers],0)),tbl_SegmentRates[[#This Row],[Segment]],tbl_Clean[Purchased Flag],1)</f>
        <v>193</v>
      </c>
      <c r="F57" s="51">
        <f>tbl_SegmentRates[[#This Row],[Buyers]]/tbl_SegmentRates[[#This Row],[Customers]]</f>
        <v>0.61075949367088611</v>
      </c>
      <c r="G57" s="3"/>
      <c r="H57" s="3"/>
      <c r="I57" s="3"/>
      <c r="J57" s="3"/>
      <c r="K57" s="20">
        <v>12558</v>
      </c>
      <c r="L57" s="20" t="str">
        <v>0-1 Cars</v>
      </c>
      <c r="M57" s="20" t="str">
        <v>61+</v>
      </c>
      <c r="N57" s="20" t="str">
        <v>0-1 Miles</v>
      </c>
      <c r="O57" s="20">
        <v>1</v>
      </c>
      <c r="P57" s="20" t="str">
        <v>Bachelors</v>
      </c>
      <c r="Q57" s="20" t="str">
        <v>Europe</v>
      </c>
      <c r="R57" s="20" t="str">
        <v>Married</v>
      </c>
      <c r="S57" s="20" t="str">
        <v>$10k-30k</v>
      </c>
      <c r="T57" s="89">
        <v>0.49214213026608866</v>
      </c>
      <c r="U57" s="91">
        <v>63.970467219957726</v>
      </c>
      <c r="V57" s="49">
        <v>441</v>
      </c>
      <c r="W57" s="20">
        <v>5</v>
      </c>
      <c r="X57" s="20" t="str">
        <v>Warm</v>
      </c>
      <c r="Y57" s="20">
        <v>0</v>
      </c>
    </row>
    <row r="58" spans="1:25" ht="15" customHeight="1" x14ac:dyDescent="0.25">
      <c r="A58" s="118" t="str">
        <f>tbl_SegmentRates[[#This Row],[Factor]]&amp;"|"&amp;tbl_SegmentRates[[#This Row],[Segment]]</f>
        <v>Age Band|41-50</v>
      </c>
      <c r="B58" s="3" t="s">
        <v>115</v>
      </c>
      <c r="C58" s="109" t="s">
        <v>213</v>
      </c>
      <c r="D58" s="49">
        <f>COUNTIFS(INDEX(tbl_Clean[],0,MATCH(tbl_SegmentRates[[#This Row],[Factor]],tbl_Clean[#Headers],0)),tbl_SegmentRates[[#This Row],[Segment]])</f>
        <v>298</v>
      </c>
      <c r="E58" s="49">
        <f>COUNTIFS(INDEX(tbl_Clean[],0,MATCH(tbl_SegmentRates[[#This Row],[Factor]],tbl_Clean[#Headers],0)),tbl_SegmentRates[[#This Row],[Segment]],tbl_Clean[Purchased Flag],1)</f>
        <v>139</v>
      </c>
      <c r="F58" s="51">
        <f>tbl_SegmentRates[[#This Row],[Buyers]]/tbl_SegmentRates[[#This Row],[Customers]]</f>
        <v>0.46644295302013422</v>
      </c>
      <c r="G58" s="3"/>
      <c r="H58" s="3"/>
      <c r="I58" s="3"/>
      <c r="J58" s="3"/>
      <c r="K58" s="20">
        <v>24871</v>
      </c>
      <c r="L58" s="20" t="str">
        <v>2+ Cars</v>
      </c>
      <c r="M58" s="20" t="str">
        <v>51-60</v>
      </c>
      <c r="N58" s="20" t="str">
        <v>5-10 Miles</v>
      </c>
      <c r="O58" s="20">
        <v>4</v>
      </c>
      <c r="P58" s="20" t="str">
        <v>High School</v>
      </c>
      <c r="Q58" s="20" t="str">
        <v>Europe</v>
      </c>
      <c r="R58" s="20" t="str">
        <v>Single</v>
      </c>
      <c r="S58" s="20" t="str">
        <v>$70k-90k</v>
      </c>
      <c r="T58" s="89">
        <v>0.43997332485033114</v>
      </c>
      <c r="U58" s="91">
        <v>38.676237981817749</v>
      </c>
      <c r="V58" s="49">
        <v>790</v>
      </c>
      <c r="W58" s="20">
        <v>8</v>
      </c>
      <c r="X58" s="20" t="str">
        <v>Cold</v>
      </c>
      <c r="Y58" s="20">
        <v>0</v>
      </c>
    </row>
    <row r="59" spans="1:25" ht="15" customHeight="1" x14ac:dyDescent="0.25">
      <c r="A59" s="118" t="str">
        <f>tbl_SegmentRates[[#This Row],[Factor]]&amp;"|"&amp;tbl_SegmentRates[[#This Row],[Segment]]</f>
        <v>Age Band|51-60</v>
      </c>
      <c r="B59" s="3" t="s">
        <v>115</v>
      </c>
      <c r="C59" s="109" t="s">
        <v>214</v>
      </c>
      <c r="D59" s="49">
        <f>COUNTIFS(INDEX(tbl_Clean[],0,MATCH(tbl_SegmentRates[[#This Row],[Factor]],tbl_Clean[#Headers],0)),tbl_SegmentRates[[#This Row],[Segment]])</f>
        <v>176</v>
      </c>
      <c r="E59" s="49">
        <f>COUNTIFS(INDEX(tbl_Clean[],0,MATCH(tbl_SegmentRates[[#This Row],[Factor]],tbl_Clean[#Headers],0)),tbl_SegmentRates[[#This Row],[Segment]],tbl_Clean[Purchased Flag],1)</f>
        <v>80</v>
      </c>
      <c r="F59" s="51">
        <f>tbl_SegmentRates[[#This Row],[Buyers]]/tbl_SegmentRates[[#This Row],[Customers]]</f>
        <v>0.45454545454545453</v>
      </c>
      <c r="G59" s="3"/>
      <c r="H59" s="3"/>
      <c r="I59" s="3"/>
      <c r="J59" s="3"/>
      <c r="K59" s="20">
        <v>17319</v>
      </c>
      <c r="L59" s="20" t="str">
        <v>0-1 Cars</v>
      </c>
      <c r="M59" s="20" t="str">
        <v>41-50</v>
      </c>
      <c r="N59" s="20" t="str">
        <v>5-10 Miles</v>
      </c>
      <c r="O59" s="20">
        <v>0</v>
      </c>
      <c r="P59" s="20" t="str">
        <v>Bachelors</v>
      </c>
      <c r="Q59" s="20" t="str">
        <v>Pacific</v>
      </c>
      <c r="R59" s="20" t="str">
        <v>Single</v>
      </c>
      <c r="S59" s="20" t="str">
        <v>$70k-90k</v>
      </c>
      <c r="T59" s="89">
        <v>0.51364222394441361</v>
      </c>
      <c r="U59" s="91">
        <v>74.394863443084063</v>
      </c>
      <c r="V59" s="49">
        <v>289</v>
      </c>
      <c r="W59" s="20">
        <v>3</v>
      </c>
      <c r="X59" s="20" t="str">
        <v>Hot</v>
      </c>
      <c r="Y59" s="20">
        <v>0</v>
      </c>
    </row>
    <row r="60" spans="1:25" ht="15" customHeight="1" x14ac:dyDescent="0.25">
      <c r="A60" s="118" t="str">
        <f>tbl_SegmentRates[[#This Row],[Factor]]&amp;"|"&amp;tbl_SegmentRates[[#This Row],[Segment]]</f>
        <v>Age Band|61+</v>
      </c>
      <c r="B60" s="3" t="s">
        <v>115</v>
      </c>
      <c r="C60" s="109" t="s">
        <v>215</v>
      </c>
      <c r="D60" s="49">
        <f>COUNTIFS(INDEX(tbl_Clean[],0,MATCH(tbl_SegmentRates[[#This Row],[Factor]],tbl_Clean[#Headers],0)),tbl_SegmentRates[[#This Row],[Segment]])</f>
        <v>100</v>
      </c>
      <c r="E60" s="49">
        <f>COUNTIFS(INDEX(tbl_Clean[],0,MATCH(tbl_SegmentRates[[#This Row],[Factor]],tbl_Clean[#Headers],0)),tbl_SegmentRates[[#This Row],[Segment]],tbl_Clean[Purchased Flag],1)</f>
        <v>30</v>
      </c>
      <c r="F60" s="51">
        <f>tbl_SegmentRates[[#This Row],[Buyers]]/tbl_SegmentRates[[#This Row],[Customers]]</f>
        <v>0.3</v>
      </c>
      <c r="G60" s="3"/>
      <c r="H60" s="3"/>
      <c r="I60" s="3"/>
      <c r="J60" s="3"/>
      <c r="K60" s="20">
        <v>28906</v>
      </c>
      <c r="L60" s="20" t="str">
        <v>2+ Cars</v>
      </c>
      <c r="M60" s="20" t="str">
        <v>51-60</v>
      </c>
      <c r="N60" s="20" t="str">
        <v>10+ Miles</v>
      </c>
      <c r="O60" s="20">
        <v>4</v>
      </c>
      <c r="P60" s="20" t="str">
        <v>High School</v>
      </c>
      <c r="Q60" s="20" t="str">
        <v>Europe</v>
      </c>
      <c r="R60" s="20" t="str">
        <v>Married</v>
      </c>
      <c r="S60" s="20" t="str">
        <v>$70k-90k</v>
      </c>
      <c r="T60" s="89">
        <v>0.41607995854490004</v>
      </c>
      <c r="U60" s="91">
        <v>27.091455087443155</v>
      </c>
      <c r="V60" s="49">
        <v>917</v>
      </c>
      <c r="W60" s="20">
        <v>10</v>
      </c>
      <c r="X60" s="20" t="str">
        <v>Cold</v>
      </c>
      <c r="Y60" s="20">
        <v>0</v>
      </c>
    </row>
    <row r="61" spans="1:25" ht="15" customHeight="1" x14ac:dyDescent="0.25">
      <c r="A61" s="118" t="str">
        <f>tbl_SegmentRates[[#This Row],[Factor]]&amp;"|"&amp;tbl_SegmentRates[[#This Row],[Segment]]</f>
        <v>Commute Distance|0-1 Miles</v>
      </c>
      <c r="B61" s="3" t="s">
        <v>9</v>
      </c>
      <c r="C61" s="109" t="s">
        <v>18</v>
      </c>
      <c r="D61" s="49">
        <f>COUNTIFS(INDEX(tbl_Clean[],0,MATCH(tbl_SegmentRates[[#This Row],[Factor]],tbl_Clean[#Headers],0)),tbl_SegmentRates[[#This Row],[Segment]])</f>
        <v>366</v>
      </c>
      <c r="E61" s="49">
        <f>COUNTIFS(INDEX(tbl_Clean[],0,MATCH(tbl_SegmentRates[[#This Row],[Factor]],tbl_Clean[#Headers],0)),tbl_SegmentRates[[#This Row],[Segment]],tbl_Clean[Purchased Flag],1)</f>
        <v>200</v>
      </c>
      <c r="F61" s="51">
        <f>tbl_SegmentRates[[#This Row],[Buyers]]/tbl_SegmentRates[[#This Row],[Customers]]</f>
        <v>0.54644808743169404</v>
      </c>
      <c r="G61" s="3"/>
      <c r="H61" s="3"/>
      <c r="I61" s="3"/>
      <c r="J61" s="3"/>
      <c r="K61" s="20">
        <v>12808</v>
      </c>
      <c r="L61" s="20" t="str">
        <v>0-1 Cars</v>
      </c>
      <c r="M61" s="20" t="str">
        <v>31-40</v>
      </c>
      <c r="N61" s="20" t="str">
        <v>0-1 Miles</v>
      </c>
      <c r="O61" s="20">
        <v>0</v>
      </c>
      <c r="P61" s="20" t="str">
        <v>Bachelors</v>
      </c>
      <c r="Q61" s="20" t="str">
        <v>Europe</v>
      </c>
      <c r="R61" s="20" t="str">
        <v>Married</v>
      </c>
      <c r="S61" s="20" t="str">
        <v>$40k-60k</v>
      </c>
      <c r="T61" s="89">
        <v>0.54301769146254275</v>
      </c>
      <c r="U61" s="91">
        <v>88.637662438758653</v>
      </c>
      <c r="V61" s="49">
        <v>82</v>
      </c>
      <c r="W61" s="20">
        <v>1</v>
      </c>
      <c r="X61" s="20" t="str">
        <v>Hot</v>
      </c>
      <c r="Y61" s="20">
        <v>1</v>
      </c>
    </row>
    <row r="62" spans="1:25" ht="15" customHeight="1" x14ac:dyDescent="0.25">
      <c r="A62" s="118" t="str">
        <f>tbl_SegmentRates[[#This Row],[Factor]]&amp;"|"&amp;tbl_SegmentRates[[#This Row],[Segment]]</f>
        <v>Commute Distance|1-2 Miles</v>
      </c>
      <c r="B62" s="3" t="s">
        <v>9</v>
      </c>
      <c r="C62" s="109" t="s">
        <v>29</v>
      </c>
      <c r="D62" s="49">
        <f>COUNTIFS(INDEX(tbl_Clean[],0,MATCH(tbl_SegmentRates[[#This Row],[Factor]],tbl_Clean[#Headers],0)),tbl_SegmentRates[[#This Row],[Segment]])</f>
        <v>169</v>
      </c>
      <c r="E62" s="49">
        <f>COUNTIFS(INDEX(tbl_Clean[],0,MATCH(tbl_SegmentRates[[#This Row],[Factor]],tbl_Clean[#Headers],0)),tbl_SegmentRates[[#This Row],[Segment]],tbl_Clean[Purchased Flag],1)</f>
        <v>77</v>
      </c>
      <c r="F62" s="51">
        <f>tbl_SegmentRates[[#This Row],[Buyers]]/tbl_SegmentRates[[#This Row],[Customers]]</f>
        <v>0.45562130177514792</v>
      </c>
      <c r="G62" s="3"/>
      <c r="H62" s="3"/>
      <c r="I62" s="3"/>
      <c r="J62" s="3"/>
      <c r="K62" s="20">
        <v>20567</v>
      </c>
      <c r="L62" s="20" t="str">
        <v>2+ Cars</v>
      </c>
      <c r="M62" s="20" t="str">
        <v>61+</v>
      </c>
      <c r="N62" s="20" t="str">
        <v>5-10 Miles</v>
      </c>
      <c r="O62" s="20">
        <v>4</v>
      </c>
      <c r="P62" s="20" t="str">
        <v>Partial College</v>
      </c>
      <c r="Q62" s="20" t="str">
        <v>Europe</v>
      </c>
      <c r="R62" s="20" t="str">
        <v>Married</v>
      </c>
      <c r="S62" s="20" t="str">
        <v>$100k+</v>
      </c>
      <c r="T62" s="89">
        <v>0.40573316821072264</v>
      </c>
      <c r="U62" s="91">
        <v>22.074777314089278</v>
      </c>
      <c r="V62" s="49">
        <v>955</v>
      </c>
      <c r="W62" s="20">
        <v>10</v>
      </c>
      <c r="X62" s="20" t="str">
        <v>Cold</v>
      </c>
      <c r="Y62" s="20">
        <v>1</v>
      </c>
    </row>
    <row r="63" spans="1:25" ht="15" customHeight="1" x14ac:dyDescent="0.25">
      <c r="A63" s="118" t="str">
        <f>tbl_SegmentRates[[#This Row],[Factor]]&amp;"|"&amp;tbl_SegmentRates[[#This Row],[Segment]]</f>
        <v>Commute Distance|2-5 Miles</v>
      </c>
      <c r="B63" s="3" t="s">
        <v>9</v>
      </c>
      <c r="C63" s="109" t="s">
        <v>24</v>
      </c>
      <c r="D63" s="49">
        <f>COUNTIFS(INDEX(tbl_Clean[],0,MATCH(tbl_SegmentRates[[#This Row],[Factor]],tbl_Clean[#Headers],0)),tbl_SegmentRates[[#This Row],[Segment]])</f>
        <v>162</v>
      </c>
      <c r="E63" s="49">
        <f>COUNTIFS(INDEX(tbl_Clean[],0,MATCH(tbl_SegmentRates[[#This Row],[Factor]],tbl_Clean[#Headers],0)),tbl_SegmentRates[[#This Row],[Segment]],tbl_Clean[Purchased Flag],1)</f>
        <v>95</v>
      </c>
      <c r="F63" s="51">
        <f>tbl_SegmentRates[[#This Row],[Buyers]]/tbl_SegmentRates[[#This Row],[Customers]]</f>
        <v>0.5864197530864198</v>
      </c>
      <c r="G63" s="3"/>
      <c r="H63" s="3"/>
      <c r="I63" s="3"/>
      <c r="J63" s="3"/>
      <c r="K63" s="20">
        <v>25502</v>
      </c>
      <c r="L63" s="20" t="str">
        <v>0-1 Cars</v>
      </c>
      <c r="M63" s="20" t="str">
        <v>41-50</v>
      </c>
      <c r="N63" s="20" t="str">
        <v>0-1 Miles</v>
      </c>
      <c r="O63" s="20">
        <v>1</v>
      </c>
      <c r="P63" s="20" t="str">
        <v>Bachelors</v>
      </c>
      <c r="Q63" s="20" t="str">
        <v>Europe</v>
      </c>
      <c r="R63" s="20" t="str">
        <v>Married</v>
      </c>
      <c r="S63" s="20" t="str">
        <v>$40k-60k</v>
      </c>
      <c r="T63" s="89">
        <v>0.52952886380755659</v>
      </c>
      <c r="U63" s="91">
        <v>82.097556792484326</v>
      </c>
      <c r="V63" s="49">
        <v>201</v>
      </c>
      <c r="W63" s="20">
        <v>3</v>
      </c>
      <c r="X63" s="20" t="str">
        <v>Hot</v>
      </c>
      <c r="Y63" s="20">
        <v>1</v>
      </c>
    </row>
    <row r="64" spans="1:25" ht="15" customHeight="1" x14ac:dyDescent="0.25">
      <c r="A64" s="118" t="str">
        <f>tbl_SegmentRates[[#This Row],[Factor]]&amp;"|"&amp;tbl_SegmentRates[[#This Row],[Segment]]</f>
        <v>Commute Distance|5-10 Miles</v>
      </c>
      <c r="B64" s="3" t="s">
        <v>9</v>
      </c>
      <c r="C64" s="109" t="s">
        <v>26</v>
      </c>
      <c r="D64" s="49">
        <f>COUNTIFS(INDEX(tbl_Clean[],0,MATCH(tbl_SegmentRates[[#This Row],[Factor]],tbl_Clean[#Headers],0)),tbl_SegmentRates[[#This Row],[Segment]])</f>
        <v>192</v>
      </c>
      <c r="E64" s="49">
        <f>COUNTIFS(INDEX(tbl_Clean[],0,MATCH(tbl_SegmentRates[[#This Row],[Factor]],tbl_Clean[#Headers],0)),tbl_SegmentRates[[#This Row],[Segment]],tbl_Clean[Purchased Flag],1)</f>
        <v>76</v>
      </c>
      <c r="F64" s="51">
        <f>tbl_SegmentRates[[#This Row],[Buyers]]/tbl_SegmentRates[[#This Row],[Customers]]</f>
        <v>0.39583333333333331</v>
      </c>
      <c r="G64" s="3"/>
      <c r="H64" s="3"/>
      <c r="I64" s="3"/>
      <c r="J64" s="3"/>
      <c r="K64" s="20">
        <v>15580</v>
      </c>
      <c r="L64" s="20" t="str">
        <v>0-1 Cars</v>
      </c>
      <c r="M64" s="20" t="str">
        <v>31-40</v>
      </c>
      <c r="N64" s="20" t="str">
        <v>2-5 Miles</v>
      </c>
      <c r="O64" s="20">
        <v>2</v>
      </c>
      <c r="P64" s="20" t="str">
        <v>Bachelors</v>
      </c>
      <c r="Q64" s="20" t="str">
        <v>Pacific</v>
      </c>
      <c r="R64" s="20" t="str">
        <v>Married</v>
      </c>
      <c r="S64" s="20" t="str">
        <v>$40k-60k</v>
      </c>
      <c r="T64" s="89">
        <v>0.55172316093555351</v>
      </c>
      <c r="U64" s="91">
        <v>92.85854000574723</v>
      </c>
      <c r="V64" s="49">
        <v>30</v>
      </c>
      <c r="W64" s="20">
        <v>1</v>
      </c>
      <c r="X64" s="20" t="str">
        <v>Hot</v>
      </c>
      <c r="Y64" s="20">
        <v>1</v>
      </c>
    </row>
    <row r="65" spans="1:25" ht="15" customHeight="1" x14ac:dyDescent="0.25">
      <c r="A65" s="118" t="str">
        <f>tbl_SegmentRates[[#This Row],[Factor]]&amp;"|"&amp;tbl_SegmentRates[[#This Row],[Segment]]</f>
        <v>Commute Distance|10+ Miles</v>
      </c>
      <c r="B65" s="3" t="s">
        <v>9</v>
      </c>
      <c r="C65" s="109" t="s">
        <v>33</v>
      </c>
      <c r="D65" s="49">
        <f>COUNTIFS(INDEX(tbl_Clean[],0,MATCH(tbl_SegmentRates[[#This Row],[Factor]],tbl_Clean[#Headers],0)),tbl_SegmentRates[[#This Row],[Segment]])</f>
        <v>111</v>
      </c>
      <c r="E65" s="49">
        <f>COUNTIFS(INDEX(tbl_Clean[],0,MATCH(tbl_SegmentRates[[#This Row],[Factor]],tbl_Clean[#Headers],0)),tbl_SegmentRates[[#This Row],[Segment]],tbl_Clean[Purchased Flag],1)</f>
        <v>33</v>
      </c>
      <c r="F65" s="51">
        <f>tbl_SegmentRates[[#This Row],[Buyers]]/tbl_SegmentRates[[#This Row],[Customers]]</f>
        <v>0.29729729729729731</v>
      </c>
      <c r="G65" s="3"/>
      <c r="H65" s="3"/>
      <c r="I65" s="3"/>
      <c r="J65" s="3"/>
      <c r="K65" s="20">
        <v>24185</v>
      </c>
      <c r="L65" s="20" t="str">
        <v>0-1 Cars</v>
      </c>
      <c r="M65" s="20" t="str">
        <v>41-50</v>
      </c>
      <c r="N65" s="20" t="str">
        <v>1-2 Miles</v>
      </c>
      <c r="O65" s="20">
        <v>1</v>
      </c>
      <c r="P65" s="20" t="str">
        <v>High School</v>
      </c>
      <c r="Q65" s="20" t="str">
        <v>Europe</v>
      </c>
      <c r="R65" s="20" t="str">
        <v>Single</v>
      </c>
      <c r="S65" s="20" t="str">
        <v>$10k-30k</v>
      </c>
      <c r="T65" s="89">
        <v>0.50156534237311323</v>
      </c>
      <c r="U65" s="91">
        <v>68.539344833603479</v>
      </c>
      <c r="V65" s="49">
        <v>364</v>
      </c>
      <c r="W65" s="20">
        <v>4</v>
      </c>
      <c r="X65" s="20" t="str">
        <v>Warm</v>
      </c>
      <c r="Y65" s="20">
        <v>0</v>
      </c>
    </row>
    <row r="66" spans="1:25" ht="15" customHeight="1" x14ac:dyDescent="0.25">
      <c r="A66" s="118" t="str">
        <f>tbl_SegmentRates[[#This Row],[Factor]]&amp;"|"&amp;tbl_SegmentRates[[#This Row],[Segment]]</f>
        <v>Children|0</v>
      </c>
      <c r="B66" s="3" t="s">
        <v>4</v>
      </c>
      <c r="C66" s="109" t="s">
        <v>216</v>
      </c>
      <c r="D66" s="49">
        <f>COUNTIFS(INDEX(tbl_Clean[],0,MATCH(tbl_SegmentRates[[#This Row],[Factor]],tbl_Clean[#Headers],0)),tbl_SegmentRates[[#This Row],[Segment]])</f>
        <v>281</v>
      </c>
      <c r="E66" s="49">
        <f>COUNTIFS(INDEX(tbl_Clean[],0,MATCH(tbl_SegmentRates[[#This Row],[Factor]],tbl_Clean[#Headers],0)),tbl_SegmentRates[[#This Row],[Segment]],tbl_Clean[Purchased Flag],1)</f>
        <v>142</v>
      </c>
      <c r="F66" s="51">
        <f>tbl_SegmentRates[[#This Row],[Buyers]]/tbl_SegmentRates[[#This Row],[Customers]]</f>
        <v>0.50533807829181498</v>
      </c>
      <c r="G66" s="3"/>
      <c r="H66" s="3"/>
      <c r="I66" s="3"/>
      <c r="J66" s="3"/>
      <c r="K66" s="20">
        <v>19291</v>
      </c>
      <c r="L66" s="20" t="str">
        <v>0-1 Cars</v>
      </c>
      <c r="M66" s="20" t="str">
        <v>31-40</v>
      </c>
      <c r="N66" s="20" t="str">
        <v>0-1 Miles</v>
      </c>
      <c r="O66" s="20">
        <v>2</v>
      </c>
      <c r="P66" s="20" t="str">
        <v>High School</v>
      </c>
      <c r="Q66" s="20" t="str">
        <v>Europe</v>
      </c>
      <c r="R66" s="20" t="str">
        <v>Single</v>
      </c>
      <c r="S66" s="20" t="str">
        <v>$10k-30k</v>
      </c>
      <c r="T66" s="89">
        <v>0.52242580388292881</v>
      </c>
      <c r="U66" s="91">
        <v>78.653613144667673</v>
      </c>
      <c r="V66" s="49">
        <v>235</v>
      </c>
      <c r="W66" s="20">
        <v>3</v>
      </c>
      <c r="X66" s="20" t="str">
        <v>Hot</v>
      </c>
      <c r="Y66" s="20">
        <v>0</v>
      </c>
    </row>
    <row r="67" spans="1:25" ht="15" customHeight="1" x14ac:dyDescent="0.25">
      <c r="A67" s="118" t="str">
        <f>tbl_SegmentRates[[#This Row],[Factor]]&amp;"|"&amp;tbl_SegmentRates[[#This Row],[Segment]]</f>
        <v>Children|1</v>
      </c>
      <c r="B67" s="3" t="s">
        <v>4</v>
      </c>
      <c r="C67" s="109" t="s">
        <v>217</v>
      </c>
      <c r="D67" s="49">
        <f>COUNTIFS(INDEX(tbl_Clean[],0,MATCH(tbl_SegmentRates[[#This Row],[Factor]],tbl_Clean[#Headers],0)),tbl_SegmentRates[[#This Row],[Segment]])</f>
        <v>169</v>
      </c>
      <c r="E67" s="49">
        <f>COUNTIFS(INDEX(tbl_Clean[],0,MATCH(tbl_SegmentRates[[#This Row],[Factor]],tbl_Clean[#Headers],0)),tbl_SegmentRates[[#This Row],[Segment]],tbl_Clean[Purchased Flag],1)</f>
        <v>97</v>
      </c>
      <c r="F67" s="51">
        <f>tbl_SegmentRates[[#This Row],[Buyers]]/tbl_SegmentRates[[#This Row],[Customers]]</f>
        <v>0.57396449704142016</v>
      </c>
      <c r="G67" s="3"/>
      <c r="H67" s="3"/>
      <c r="I67" s="3"/>
      <c r="J67" s="3"/>
      <c r="K67" s="20">
        <v>16713</v>
      </c>
      <c r="L67" s="20" t="str">
        <v>0-1 Cars</v>
      </c>
      <c r="M67" s="20" t="str">
        <v>51-60</v>
      </c>
      <c r="N67" s="20" t="str">
        <v>0-1 Miles</v>
      </c>
      <c r="O67" s="20">
        <v>2</v>
      </c>
      <c r="P67" s="20" t="str">
        <v>Bachelors</v>
      </c>
      <c r="Q67" s="20" t="str">
        <v>Pacific</v>
      </c>
      <c r="R67" s="20" t="str">
        <v>Married</v>
      </c>
      <c r="S67" s="20" t="str">
        <v>$40k-60k</v>
      </c>
      <c r="T67" s="89">
        <v>0.52102764251201006</v>
      </c>
      <c r="U67" s="91">
        <v>77.97570967446002</v>
      </c>
      <c r="V67" s="49">
        <v>248</v>
      </c>
      <c r="W67" s="20">
        <v>3</v>
      </c>
      <c r="X67" s="20" t="str">
        <v>Hot</v>
      </c>
      <c r="Y67" s="20">
        <v>1</v>
      </c>
    </row>
    <row r="68" spans="1:25" ht="15" customHeight="1" x14ac:dyDescent="0.25">
      <c r="A68" s="118" t="str">
        <f>tbl_SegmentRates[[#This Row],[Factor]]&amp;"|"&amp;tbl_SegmentRates[[#This Row],[Segment]]</f>
        <v>Children|2</v>
      </c>
      <c r="B68" s="3" t="s">
        <v>4</v>
      </c>
      <c r="C68" s="109" t="s">
        <v>218</v>
      </c>
      <c r="D68" s="49">
        <f>COUNTIFS(INDEX(tbl_Clean[],0,MATCH(tbl_SegmentRates[[#This Row],[Factor]],tbl_Clean[#Headers],0)),tbl_SegmentRates[[#This Row],[Segment]])</f>
        <v>209</v>
      </c>
      <c r="E68" s="49">
        <f>COUNTIFS(INDEX(tbl_Clean[],0,MATCH(tbl_SegmentRates[[#This Row],[Factor]],tbl_Clean[#Headers],0)),tbl_SegmentRates[[#This Row],[Segment]],tbl_Clean[Purchased Flag],1)</f>
        <v>97</v>
      </c>
      <c r="F68" s="51">
        <f>tbl_SegmentRates[[#This Row],[Buyers]]/tbl_SegmentRates[[#This Row],[Customers]]</f>
        <v>0.46411483253588515</v>
      </c>
      <c r="G68" s="3"/>
      <c r="H68" s="3"/>
      <c r="I68" s="3"/>
      <c r="J68" s="3"/>
      <c r="K68" s="20">
        <v>16185</v>
      </c>
      <c r="L68" s="20" t="str">
        <v>2+ Cars</v>
      </c>
      <c r="M68" s="20" t="str">
        <v>41-50</v>
      </c>
      <c r="N68" s="20" t="str">
        <v>10+ Miles</v>
      </c>
      <c r="O68" s="20">
        <v>4</v>
      </c>
      <c r="P68" s="20" t="str">
        <v>Bachelors</v>
      </c>
      <c r="Q68" s="20" t="str">
        <v>Pacific</v>
      </c>
      <c r="R68" s="20" t="str">
        <v>Single</v>
      </c>
      <c r="S68" s="20" t="str">
        <v>$40k-60k</v>
      </c>
      <c r="T68" s="89">
        <v>0.45300525989266721</v>
      </c>
      <c r="U68" s="91">
        <v>44.994817633975792</v>
      </c>
      <c r="V68" s="49">
        <v>716</v>
      </c>
      <c r="W68" s="20">
        <v>8</v>
      </c>
      <c r="X68" s="20" t="str">
        <v>Cold</v>
      </c>
      <c r="Y68" s="20">
        <v>0</v>
      </c>
    </row>
    <row r="69" spans="1:25" ht="15" customHeight="1" x14ac:dyDescent="0.25">
      <c r="A69" s="118" t="str">
        <f>tbl_SegmentRates[[#This Row],[Factor]]&amp;"|"&amp;tbl_SegmentRates[[#This Row],[Segment]]</f>
        <v>Children|3</v>
      </c>
      <c r="B69" s="3" t="s">
        <v>4</v>
      </c>
      <c r="C69" s="109" t="s">
        <v>219</v>
      </c>
      <c r="D69" s="49">
        <f>COUNTIFS(INDEX(tbl_Clean[],0,MATCH(tbl_SegmentRates[[#This Row],[Factor]],tbl_Clean[#Headers],0)),tbl_SegmentRates[[#This Row],[Segment]])</f>
        <v>134</v>
      </c>
      <c r="E69" s="49">
        <f>COUNTIFS(INDEX(tbl_Clean[],0,MATCH(tbl_SegmentRates[[#This Row],[Factor]],tbl_Clean[#Headers],0)),tbl_SegmentRates[[#This Row],[Segment]],tbl_Clean[Purchased Flag],1)</f>
        <v>73</v>
      </c>
      <c r="F69" s="51">
        <f>tbl_SegmentRates[[#This Row],[Buyers]]/tbl_SegmentRates[[#This Row],[Customers]]</f>
        <v>0.54477611940298509</v>
      </c>
      <c r="G69" s="3"/>
      <c r="H69" s="3"/>
      <c r="I69" s="3"/>
      <c r="J69" s="3"/>
      <c r="K69" s="20">
        <v>14927</v>
      </c>
      <c r="L69" s="20" t="str">
        <v>0-1 Cars</v>
      </c>
      <c r="M69" s="20" t="str">
        <v>31-40</v>
      </c>
      <c r="N69" s="20" t="str">
        <v>0-1 Miles</v>
      </c>
      <c r="O69" s="20">
        <v>1</v>
      </c>
      <c r="P69" s="20" t="str">
        <v>Bachelors</v>
      </c>
      <c r="Q69" s="20" t="str">
        <v>Europe</v>
      </c>
      <c r="R69" s="20" t="str">
        <v>Married</v>
      </c>
      <c r="S69" s="20" t="str">
        <v>$10k-30k</v>
      </c>
      <c r="T69" s="89">
        <v>0.54173384770237354</v>
      </c>
      <c r="U69" s="91">
        <v>88.015186265174123</v>
      </c>
      <c r="V69" s="49">
        <v>99</v>
      </c>
      <c r="W69" s="20">
        <v>1</v>
      </c>
      <c r="X69" s="20" t="str">
        <v>Hot</v>
      </c>
      <c r="Y69" s="20">
        <v>1</v>
      </c>
    </row>
    <row r="70" spans="1:25" ht="15" customHeight="1" x14ac:dyDescent="0.25">
      <c r="A70" s="118" t="str">
        <f>tbl_SegmentRates[[#This Row],[Factor]]&amp;"|"&amp;tbl_SegmentRates[[#This Row],[Segment]]</f>
        <v>Children|4</v>
      </c>
      <c r="B70" s="3" t="s">
        <v>4</v>
      </c>
      <c r="C70" s="109" t="s">
        <v>220</v>
      </c>
      <c r="D70" s="49">
        <f>COUNTIFS(INDEX(tbl_Clean[],0,MATCH(tbl_SegmentRates[[#This Row],[Factor]],tbl_Clean[#Headers],0)),tbl_SegmentRates[[#This Row],[Segment]])</f>
        <v>126</v>
      </c>
      <c r="E70" s="49">
        <f>COUNTIFS(INDEX(tbl_Clean[],0,MATCH(tbl_SegmentRates[[#This Row],[Factor]],tbl_Clean[#Headers],0)),tbl_SegmentRates[[#This Row],[Segment]],tbl_Clean[Purchased Flag],1)</f>
        <v>54</v>
      </c>
      <c r="F70" s="51">
        <f>tbl_SegmentRates[[#This Row],[Buyers]]/tbl_SegmentRates[[#This Row],[Customers]]</f>
        <v>0.42857142857142855</v>
      </c>
      <c r="G70" s="3"/>
      <c r="H70" s="3"/>
      <c r="I70" s="3"/>
      <c r="J70" s="3"/>
      <c r="K70" s="20">
        <v>29337</v>
      </c>
      <c r="L70" s="20" t="str">
        <v>2+ Cars</v>
      </c>
      <c r="M70" s="20" t="str">
        <v>61+</v>
      </c>
      <c r="N70" s="20" t="str">
        <v>5-10 Miles</v>
      </c>
      <c r="O70" s="20">
        <v>2</v>
      </c>
      <c r="P70" s="20" t="str">
        <v>Partial College</v>
      </c>
      <c r="Q70" s="20" t="str">
        <v>Pacific</v>
      </c>
      <c r="R70" s="20" t="str">
        <v>Single</v>
      </c>
      <c r="S70" s="20" t="str">
        <v>$10k-30k</v>
      </c>
      <c r="T70" s="89">
        <v>0.42201630255043748</v>
      </c>
      <c r="U70" s="91">
        <v>29.969712408381699</v>
      </c>
      <c r="V70" s="49">
        <v>879</v>
      </c>
      <c r="W70" s="20">
        <v>9</v>
      </c>
      <c r="X70" s="20" t="str">
        <v>Cold</v>
      </c>
      <c r="Y70" s="20">
        <v>0</v>
      </c>
    </row>
    <row r="71" spans="1:25" ht="15" customHeight="1" x14ac:dyDescent="0.25">
      <c r="A71" s="118" t="str">
        <f>tbl_SegmentRates[[#This Row],[Factor]]&amp;"|"&amp;tbl_SegmentRates[[#This Row],[Segment]]</f>
        <v>Children|5</v>
      </c>
      <c r="B71" s="3" t="s">
        <v>4</v>
      </c>
      <c r="C71" s="109" t="s">
        <v>221</v>
      </c>
      <c r="D71" s="49">
        <f>COUNTIFS(INDEX(tbl_Clean[],0,MATCH(tbl_SegmentRates[[#This Row],[Factor]],tbl_Clean[#Headers],0)),tbl_SegmentRates[[#This Row],[Segment]])</f>
        <v>81</v>
      </c>
      <c r="E71" s="49">
        <f>COUNTIFS(INDEX(tbl_Clean[],0,MATCH(tbl_SegmentRates[[#This Row],[Factor]],tbl_Clean[#Headers],0)),tbl_SegmentRates[[#This Row],[Segment]],tbl_Clean[Purchased Flag],1)</f>
        <v>18</v>
      </c>
      <c r="F71" s="51">
        <f>tbl_SegmentRates[[#This Row],[Buyers]]/tbl_SegmentRates[[#This Row],[Customers]]</f>
        <v>0.22222222222222221</v>
      </c>
      <c r="G71" s="3"/>
      <c r="H71" s="3"/>
      <c r="I71" s="3"/>
      <c r="J71" s="3"/>
      <c r="K71" s="20">
        <v>29355</v>
      </c>
      <c r="L71" s="20" t="str">
        <v>0-1 Cars</v>
      </c>
      <c r="M71" s="20" t="str">
        <v>31-40</v>
      </c>
      <c r="N71" s="20" t="str">
        <v>0-1 Miles</v>
      </c>
      <c r="O71" s="20">
        <v>0</v>
      </c>
      <c r="P71" s="20" t="str">
        <v>Graduate Degree</v>
      </c>
      <c r="Q71" s="20" t="str">
        <v>Europe</v>
      </c>
      <c r="R71" s="20" t="str">
        <v>Married</v>
      </c>
      <c r="S71" s="20" t="str">
        <v>$40k-60k</v>
      </c>
      <c r="T71" s="89">
        <v>0.54152735906721317</v>
      </c>
      <c r="U71" s="91">
        <v>87.915069522396678</v>
      </c>
      <c r="V71" s="49">
        <v>106</v>
      </c>
      <c r="W71" s="20">
        <v>2</v>
      </c>
      <c r="X71" s="20" t="str">
        <v>Hot</v>
      </c>
      <c r="Y71" s="20">
        <v>1</v>
      </c>
    </row>
    <row r="72" spans="1:25" ht="15" customHeight="1" x14ac:dyDescent="0.25">
      <c r="A72" s="118" t="str">
        <f>tbl_SegmentRates[[#This Row],[Factor]]&amp;"|"&amp;tbl_SegmentRates[[#This Row],[Segment]]</f>
        <v>Education|Partial High School</v>
      </c>
      <c r="B72" s="3" t="s">
        <v>5</v>
      </c>
      <c r="C72" s="109" t="s">
        <v>32</v>
      </c>
      <c r="D72" s="49">
        <f>COUNTIFS(INDEX(tbl_Clean[],0,MATCH(tbl_SegmentRates[[#This Row],[Factor]],tbl_Clean[#Headers],0)),tbl_SegmentRates[[#This Row],[Segment]])</f>
        <v>76</v>
      </c>
      <c r="E72" s="49">
        <f>COUNTIFS(INDEX(tbl_Clean[],0,MATCH(tbl_SegmentRates[[#This Row],[Factor]],tbl_Clean[#Headers],0)),tbl_SegmentRates[[#This Row],[Segment]],tbl_Clean[Purchased Flag],1)</f>
        <v>20</v>
      </c>
      <c r="F72" s="51">
        <f>tbl_SegmentRates[[#This Row],[Buyers]]/tbl_SegmentRates[[#This Row],[Customers]]</f>
        <v>0.26315789473684209</v>
      </c>
      <c r="G72" s="3"/>
      <c r="H72" s="3"/>
      <c r="I72" s="3"/>
      <c r="J72" s="3"/>
      <c r="K72" s="20">
        <v>25303</v>
      </c>
      <c r="L72" s="20" t="str">
        <v>0-1 Cars</v>
      </c>
      <c r="M72" s="20" t="str">
        <v>31-40</v>
      </c>
      <c r="N72" s="20" t="str">
        <v>2-5 Miles</v>
      </c>
      <c r="O72" s="20">
        <v>0</v>
      </c>
      <c r="P72" s="20" t="str">
        <v>High School</v>
      </c>
      <c r="Q72" s="20" t="str">
        <v>Europe</v>
      </c>
      <c r="R72" s="20" t="str">
        <v>Single</v>
      </c>
      <c r="S72" s="20" t="str">
        <v>$10k-30k</v>
      </c>
      <c r="T72" s="89">
        <v>0.53392383828606993</v>
      </c>
      <c r="U72" s="91">
        <v>84.228475663816454</v>
      </c>
      <c r="V72" s="49">
        <v>166</v>
      </c>
      <c r="W72" s="20">
        <v>2</v>
      </c>
      <c r="X72" s="20" t="str">
        <v>Hot</v>
      </c>
      <c r="Y72" s="20">
        <v>1</v>
      </c>
    </row>
    <row r="73" spans="1:25" ht="15" customHeight="1" x14ac:dyDescent="0.25">
      <c r="A73" s="118" t="str">
        <f>tbl_SegmentRates[[#This Row],[Factor]]&amp;"|"&amp;tbl_SegmentRates[[#This Row],[Segment]]</f>
        <v>Education|High School</v>
      </c>
      <c r="B73" s="3" t="s">
        <v>5</v>
      </c>
      <c r="C73" s="109" t="s">
        <v>30</v>
      </c>
      <c r="D73" s="49">
        <f>COUNTIFS(INDEX(tbl_Clean[],0,MATCH(tbl_SegmentRates[[#This Row],[Factor]],tbl_Clean[#Headers],0)),tbl_SegmentRates[[#This Row],[Segment]])</f>
        <v>179</v>
      </c>
      <c r="E73" s="49">
        <f>COUNTIFS(INDEX(tbl_Clean[],0,MATCH(tbl_SegmentRates[[#This Row],[Factor]],tbl_Clean[#Headers],0)),tbl_SegmentRates[[#This Row],[Segment]],tbl_Clean[Purchased Flag],1)</f>
        <v>79</v>
      </c>
      <c r="F73" s="51">
        <f>tbl_SegmentRates[[#This Row],[Buyers]]/tbl_SegmentRates[[#This Row],[Customers]]</f>
        <v>0.44134078212290501</v>
      </c>
      <c r="G73" s="3"/>
      <c r="H73" s="3"/>
      <c r="I73" s="3"/>
      <c r="J73" s="3"/>
      <c r="K73" s="20">
        <v>14813</v>
      </c>
      <c r="L73" s="20" t="str">
        <v>0-1 Cars</v>
      </c>
      <c r="M73" s="20" t="str">
        <v>41-50</v>
      </c>
      <c r="N73" s="20" t="str">
        <v>0-1 Miles</v>
      </c>
      <c r="O73" s="20">
        <v>4</v>
      </c>
      <c r="P73" s="20" t="str">
        <v>High School</v>
      </c>
      <c r="Q73" s="20" t="str">
        <v>Europe</v>
      </c>
      <c r="R73" s="20" t="str">
        <v>Single</v>
      </c>
      <c r="S73" s="20" t="str">
        <v>$10k-30k</v>
      </c>
      <c r="T73" s="89">
        <v>0.49445362634028567</v>
      </c>
      <c r="U73" s="91">
        <v>65.091204241207208</v>
      </c>
      <c r="V73" s="49">
        <v>417</v>
      </c>
      <c r="W73" s="20">
        <v>5</v>
      </c>
      <c r="X73" s="20" t="str">
        <v>Warm</v>
      </c>
      <c r="Y73" s="20">
        <v>1</v>
      </c>
    </row>
    <row r="74" spans="1:25" ht="15" customHeight="1" x14ac:dyDescent="0.25">
      <c r="A74" s="118" t="str">
        <f>tbl_SegmentRates[[#This Row],[Factor]]&amp;"|"&amp;tbl_SegmentRates[[#This Row],[Segment]]</f>
        <v>Education|Partial College</v>
      </c>
      <c r="B74" s="3" t="s">
        <v>5</v>
      </c>
      <c r="C74" s="109" t="s">
        <v>21</v>
      </c>
      <c r="D74" s="49">
        <f>COUNTIFS(INDEX(tbl_Clean[],0,MATCH(tbl_SegmentRates[[#This Row],[Factor]],tbl_Clean[#Headers],0)),tbl_SegmentRates[[#This Row],[Segment]])</f>
        <v>265</v>
      </c>
      <c r="E74" s="49">
        <f>COUNTIFS(INDEX(tbl_Clean[],0,MATCH(tbl_SegmentRates[[#This Row],[Factor]],tbl_Clean[#Headers],0)),tbl_SegmentRates[[#This Row],[Segment]],tbl_Clean[Purchased Flag],1)</f>
        <v>119</v>
      </c>
      <c r="F74" s="51">
        <f>tbl_SegmentRates[[#This Row],[Buyers]]/tbl_SegmentRates[[#This Row],[Customers]]</f>
        <v>0.44905660377358492</v>
      </c>
      <c r="G74" s="3"/>
      <c r="H74" s="3"/>
      <c r="I74" s="3"/>
      <c r="J74" s="3"/>
      <c r="K74" s="20">
        <v>16438</v>
      </c>
      <c r="L74" s="20" t="str">
        <v>2+ Cars</v>
      </c>
      <c r="M74" s="20" t="str">
        <v>25-30</v>
      </c>
      <c r="N74" s="20" t="str">
        <v>0-1 Miles</v>
      </c>
      <c r="O74" s="20">
        <v>0</v>
      </c>
      <c r="P74" s="20" t="str">
        <v>Partial High School</v>
      </c>
      <c r="Q74" s="20" t="str">
        <v>Europe</v>
      </c>
      <c r="R74" s="20" t="str">
        <v>Married</v>
      </c>
      <c r="S74" s="20" t="str">
        <v>$10k-30k</v>
      </c>
      <c r="T74" s="89">
        <v>0.41685517577630776</v>
      </c>
      <c r="U74" s="91">
        <v>27.467321895285767</v>
      </c>
      <c r="V74" s="49">
        <v>911</v>
      </c>
      <c r="W74" s="20">
        <v>10</v>
      </c>
      <c r="X74" s="20" t="str">
        <v>Cold</v>
      </c>
      <c r="Y74" s="20">
        <v>0</v>
      </c>
    </row>
    <row r="75" spans="1:25" ht="15" customHeight="1" x14ac:dyDescent="0.25">
      <c r="A75" s="118" t="str">
        <f>tbl_SegmentRates[[#This Row],[Factor]]&amp;"|"&amp;tbl_SegmentRates[[#This Row],[Segment]]</f>
        <v>Education|Bachelors</v>
      </c>
      <c r="B75" s="3" t="s">
        <v>5</v>
      </c>
      <c r="C75" s="109" t="s">
        <v>15</v>
      </c>
      <c r="D75" s="49">
        <f>COUNTIFS(INDEX(tbl_Clean[],0,MATCH(tbl_SegmentRates[[#This Row],[Factor]],tbl_Clean[#Headers],0)),tbl_SegmentRates[[#This Row],[Segment]])</f>
        <v>306</v>
      </c>
      <c r="E75" s="49">
        <f>COUNTIFS(INDEX(tbl_Clean[],0,MATCH(tbl_SegmentRates[[#This Row],[Factor]],tbl_Clean[#Headers],0)),tbl_SegmentRates[[#This Row],[Segment]],tbl_Clean[Purchased Flag],1)</f>
        <v>169</v>
      </c>
      <c r="F75" s="51">
        <f>tbl_SegmentRates[[#This Row],[Buyers]]/tbl_SegmentRates[[#This Row],[Customers]]</f>
        <v>0.55228758169934644</v>
      </c>
      <c r="G75" s="3"/>
      <c r="H75" s="3"/>
      <c r="I75" s="3"/>
      <c r="J75" s="3"/>
      <c r="K75" s="20">
        <v>14238</v>
      </c>
      <c r="L75" s="20" t="str">
        <v>2+ Cars</v>
      </c>
      <c r="M75" s="20" t="str">
        <v>31-40</v>
      </c>
      <c r="N75" s="20" t="str">
        <v>10+ Miles</v>
      </c>
      <c r="O75" s="20">
        <v>0</v>
      </c>
      <c r="P75" s="20" t="str">
        <v>Partial High School</v>
      </c>
      <c r="Q75" s="20" t="str">
        <v>Pacific</v>
      </c>
      <c r="R75" s="20" t="str">
        <v>Married</v>
      </c>
      <c r="S75" s="20" t="str">
        <v>$100k+</v>
      </c>
      <c r="T75" s="89">
        <v>0.43747624964223869</v>
      </c>
      <c r="U75" s="91">
        <v>37.465522263200029</v>
      </c>
      <c r="V75" s="49">
        <v>796</v>
      </c>
      <c r="W75" s="20">
        <v>8</v>
      </c>
      <c r="X75" s="20" t="str">
        <v>Cold</v>
      </c>
      <c r="Y75" s="20">
        <v>1</v>
      </c>
    </row>
    <row r="76" spans="1:25" ht="15" customHeight="1" x14ac:dyDescent="0.25">
      <c r="A76" s="118" t="str">
        <f>tbl_SegmentRates[[#This Row],[Factor]]&amp;"|"&amp;tbl_SegmentRates[[#This Row],[Segment]]</f>
        <v>Education|Graduate Degree</v>
      </c>
      <c r="B76" s="3" t="s">
        <v>5</v>
      </c>
      <c r="C76" s="109" t="s">
        <v>34</v>
      </c>
      <c r="D76" s="49">
        <f>COUNTIFS(INDEX(tbl_Clean[],0,MATCH(tbl_SegmentRates[[#This Row],[Factor]],tbl_Clean[#Headers],0)),tbl_SegmentRates[[#This Row],[Segment]])</f>
        <v>174</v>
      </c>
      <c r="E76" s="49">
        <f>COUNTIFS(INDEX(tbl_Clean[],0,MATCH(tbl_SegmentRates[[#This Row],[Factor]],tbl_Clean[#Headers],0)),tbl_SegmentRates[[#This Row],[Segment]],tbl_Clean[Purchased Flag],1)</f>
        <v>94</v>
      </c>
      <c r="F76" s="51">
        <f>tbl_SegmentRates[[#This Row],[Buyers]]/tbl_SegmentRates[[#This Row],[Customers]]</f>
        <v>0.54022988505747127</v>
      </c>
      <c r="G76" s="3"/>
      <c r="H76" s="3"/>
      <c r="I76" s="3"/>
      <c r="J76" s="3"/>
      <c r="K76" s="20">
        <v>16200</v>
      </c>
      <c r="L76" s="20" t="str">
        <v>2+ Cars</v>
      </c>
      <c r="M76" s="20" t="str">
        <v>31-40</v>
      </c>
      <c r="N76" s="20" t="str">
        <v>0-1 Miles</v>
      </c>
      <c r="O76" s="20">
        <v>0</v>
      </c>
      <c r="P76" s="20" t="str">
        <v>Partial High School</v>
      </c>
      <c r="Q76" s="20" t="str">
        <v>Europe</v>
      </c>
      <c r="R76" s="20" t="str">
        <v>Single</v>
      </c>
      <c r="S76" s="20" t="str">
        <v>$10k-30k</v>
      </c>
      <c r="T76" s="89">
        <v>0.46742044635744834</v>
      </c>
      <c r="U76" s="91">
        <v>51.984071615255822</v>
      </c>
      <c r="V76" s="49">
        <v>596</v>
      </c>
      <c r="W76" s="20">
        <v>6</v>
      </c>
      <c r="X76" s="20" t="str">
        <v>Warm</v>
      </c>
      <c r="Y76" s="20">
        <v>0</v>
      </c>
    </row>
    <row r="77" spans="1:25" ht="15" customHeight="1" x14ac:dyDescent="0.25">
      <c r="A77" s="118" t="str">
        <f>tbl_SegmentRates[[#This Row],[Factor]]&amp;"|"&amp;tbl_SegmentRates[[#This Row],[Segment]]</f>
        <v>Region|Pacific</v>
      </c>
      <c r="B77" s="3" t="s">
        <v>10</v>
      </c>
      <c r="C77" s="109" t="s">
        <v>27</v>
      </c>
      <c r="D77" s="49">
        <f>COUNTIFS(INDEX(tbl_Clean[],0,MATCH(tbl_SegmentRates[[#This Row],[Factor]],tbl_Clean[#Headers],0)),tbl_SegmentRates[[#This Row],[Segment]])</f>
        <v>192</v>
      </c>
      <c r="E77" s="49">
        <f>COUNTIFS(INDEX(tbl_Clean[],0,MATCH(tbl_SegmentRates[[#This Row],[Factor]],tbl_Clean[#Headers],0)),tbl_SegmentRates[[#This Row],[Segment]],tbl_Clean[Purchased Flag],1)</f>
        <v>113</v>
      </c>
      <c r="F77" s="51">
        <f>tbl_SegmentRates[[#This Row],[Buyers]]/tbl_SegmentRates[[#This Row],[Customers]]</f>
        <v>0.58854166666666663</v>
      </c>
      <c r="G77" s="3"/>
      <c r="H77" s="3"/>
      <c r="I77" s="3"/>
      <c r="J77" s="3"/>
      <c r="K77" s="20">
        <v>24857</v>
      </c>
      <c r="L77" s="20" t="str">
        <v>2+ Cars</v>
      </c>
      <c r="M77" s="20" t="str">
        <v>51-60</v>
      </c>
      <c r="N77" s="20" t="str">
        <v>0-1 Miles</v>
      </c>
      <c r="O77" s="20">
        <v>3</v>
      </c>
      <c r="P77" s="20" t="str">
        <v>High School</v>
      </c>
      <c r="Q77" s="20" t="str">
        <v>Europe</v>
      </c>
      <c r="R77" s="20" t="str">
        <v>Married</v>
      </c>
      <c r="S77" s="20" t="str">
        <v>$100k+</v>
      </c>
      <c r="T77" s="89">
        <v>0.46732731322764332</v>
      </c>
      <c r="U77" s="91">
        <v>51.938915688909034</v>
      </c>
      <c r="V77" s="49">
        <v>601</v>
      </c>
      <c r="W77" s="20">
        <v>7</v>
      </c>
      <c r="X77" s="20" t="str">
        <v>Cold</v>
      </c>
      <c r="Y77" s="20">
        <v>0</v>
      </c>
    </row>
    <row r="78" spans="1:25" ht="15" customHeight="1" x14ac:dyDescent="0.25">
      <c r="A78" s="118" t="str">
        <f>tbl_SegmentRates[[#This Row],[Factor]]&amp;"|"&amp;tbl_SegmentRates[[#This Row],[Segment]]</f>
        <v>Region|Europe</v>
      </c>
      <c r="B78" s="3" t="s">
        <v>10</v>
      </c>
      <c r="C78" s="109" t="s">
        <v>19</v>
      </c>
      <c r="D78" s="49">
        <f>COUNTIFS(INDEX(tbl_Clean[],0,MATCH(tbl_SegmentRates[[#This Row],[Factor]],tbl_Clean[#Headers],0)),tbl_SegmentRates[[#This Row],[Segment]])</f>
        <v>300</v>
      </c>
      <c r="E78" s="49">
        <f>COUNTIFS(INDEX(tbl_Clean[],0,MATCH(tbl_SegmentRates[[#This Row],[Factor]],tbl_Clean[#Headers],0)),tbl_SegmentRates[[#This Row],[Segment]],tbl_Clean[Purchased Flag],1)</f>
        <v>148</v>
      </c>
      <c r="F78" s="51">
        <f>tbl_SegmentRates[[#This Row],[Buyers]]/tbl_SegmentRates[[#This Row],[Customers]]</f>
        <v>0.49333333333333335</v>
      </c>
      <c r="G78" s="3"/>
      <c r="H78" s="3"/>
      <c r="I78" s="3"/>
      <c r="J78" s="3"/>
      <c r="K78" s="20">
        <v>26956</v>
      </c>
      <c r="L78" s="20" t="str">
        <v>0-1 Cars</v>
      </c>
      <c r="M78" s="20" t="str">
        <v>31-40</v>
      </c>
      <c r="N78" s="20" t="str">
        <v>2-5 Miles</v>
      </c>
      <c r="O78" s="20">
        <v>0</v>
      </c>
      <c r="P78" s="20" t="str">
        <v>Partial College</v>
      </c>
      <c r="Q78" s="20" t="str">
        <v>Europe</v>
      </c>
      <c r="R78" s="20" t="str">
        <v>Single</v>
      </c>
      <c r="S78" s="20" t="str">
        <v>$10k-30k</v>
      </c>
      <c r="T78" s="89">
        <v>0.53487751453984622</v>
      </c>
      <c r="U78" s="91">
        <v>84.69086895785</v>
      </c>
      <c r="V78" s="49">
        <v>155</v>
      </c>
      <c r="W78" s="20">
        <v>2</v>
      </c>
      <c r="X78" s="20" t="str">
        <v>Hot</v>
      </c>
      <c r="Y78" s="20">
        <v>1</v>
      </c>
    </row>
    <row r="79" spans="1:25" ht="15" customHeight="1" x14ac:dyDescent="0.25">
      <c r="A79" s="118" t="str">
        <f>tbl_SegmentRates[[#This Row],[Factor]]&amp;"|"&amp;tbl_SegmentRates[[#This Row],[Segment]]</f>
        <v>Region|North America</v>
      </c>
      <c r="B79" s="3" t="s">
        <v>10</v>
      </c>
      <c r="C79" s="109" t="s">
        <v>35</v>
      </c>
      <c r="D79" s="49">
        <f>COUNTIFS(INDEX(tbl_Clean[],0,MATCH(tbl_SegmentRates[[#This Row],[Factor]],tbl_Clean[#Headers],0)),tbl_SegmentRates[[#This Row],[Segment]])</f>
        <v>508</v>
      </c>
      <c r="E79" s="49">
        <f>COUNTIFS(INDEX(tbl_Clean[],0,MATCH(tbl_SegmentRates[[#This Row],[Factor]],tbl_Clean[#Headers],0)),tbl_SegmentRates[[#This Row],[Segment]],tbl_Clean[Purchased Flag],1)</f>
        <v>220</v>
      </c>
      <c r="F79" s="51">
        <f>tbl_SegmentRates[[#This Row],[Buyers]]/tbl_SegmentRates[[#This Row],[Customers]]</f>
        <v>0.43307086614173229</v>
      </c>
      <c r="G79" s="3"/>
      <c r="H79" s="3"/>
      <c r="I79" s="3"/>
      <c r="J79" s="3"/>
      <c r="K79" s="20">
        <v>14517</v>
      </c>
      <c r="L79" s="20" t="str">
        <v>2+ Cars</v>
      </c>
      <c r="M79" s="20" t="str">
        <v>61+</v>
      </c>
      <c r="N79" s="20" t="str">
        <v>1-2 Miles</v>
      </c>
      <c r="O79" s="20">
        <v>3</v>
      </c>
      <c r="P79" s="20" t="str">
        <v>High School</v>
      </c>
      <c r="Q79" s="20" t="str">
        <v>Pacific</v>
      </c>
      <c r="R79" s="20" t="str">
        <v>Married</v>
      </c>
      <c r="S79" s="20" t="str">
        <v>$10k-30k</v>
      </c>
      <c r="T79" s="89">
        <v>0.43122472678024737</v>
      </c>
      <c r="U79" s="91">
        <v>34.434449362479185</v>
      </c>
      <c r="V79" s="49">
        <v>832</v>
      </c>
      <c r="W79" s="20">
        <v>9</v>
      </c>
      <c r="X79" s="20" t="str">
        <v>Cold</v>
      </c>
      <c r="Y79" s="20">
        <v>0</v>
      </c>
    </row>
    <row r="80" spans="1:25" ht="15" customHeight="1" x14ac:dyDescent="0.25">
      <c r="A80" s="118" t="str">
        <f>tbl_SegmentRates[[#This Row],[Factor]]&amp;"|"&amp;tbl_SegmentRates[[#This Row],[Segment]]</f>
        <v>Marital Status|Single</v>
      </c>
      <c r="B80" s="3" t="s">
        <v>1</v>
      </c>
      <c r="C80" s="109" t="s">
        <v>114</v>
      </c>
      <c r="D80" s="49">
        <f>COUNTIFS(INDEX(tbl_Clean[],0,MATCH(tbl_SegmentRates[[#This Row],[Factor]],tbl_Clean[#Headers],0)),tbl_SegmentRates[[#This Row],[Segment]])</f>
        <v>462</v>
      </c>
      <c r="E80" s="49">
        <f>COUNTIFS(INDEX(tbl_Clean[],0,MATCH(tbl_SegmentRates[[#This Row],[Factor]],tbl_Clean[#Headers],0)),tbl_SegmentRates[[#This Row],[Segment]],tbl_Clean[Purchased Flag],1)</f>
        <v>250</v>
      </c>
      <c r="F80" s="51">
        <f>tbl_SegmentRates[[#This Row],[Buyers]]/tbl_SegmentRates[[#This Row],[Customers]]</f>
        <v>0.54112554112554112</v>
      </c>
      <c r="G80" s="3"/>
      <c r="H80" s="3"/>
      <c r="I80" s="3"/>
      <c r="J80" s="3"/>
      <c r="K80" s="20">
        <v>12678</v>
      </c>
      <c r="L80" s="20" t="str">
        <v>2+ Cars</v>
      </c>
      <c r="M80" s="20" t="str">
        <v>31-40</v>
      </c>
      <c r="N80" s="20" t="str">
        <v>0-1 Miles</v>
      </c>
      <c r="O80" s="20">
        <v>4</v>
      </c>
      <c r="P80" s="20" t="str">
        <v>High School</v>
      </c>
      <c r="Q80" s="20" t="str">
        <v>Pacific</v>
      </c>
      <c r="R80" s="20" t="str">
        <v>Single</v>
      </c>
      <c r="S80" s="20" t="str">
        <v>$100k+</v>
      </c>
      <c r="T80" s="89">
        <v>0.49444818482194253</v>
      </c>
      <c r="U80" s="91">
        <v>65.0885659018533</v>
      </c>
      <c r="V80" s="49">
        <v>418</v>
      </c>
      <c r="W80" s="20">
        <v>5</v>
      </c>
      <c r="X80" s="20" t="str">
        <v>Warm</v>
      </c>
      <c r="Y80" s="20">
        <v>0</v>
      </c>
    </row>
    <row r="81" spans="1:25" ht="15" customHeight="1" x14ac:dyDescent="0.25">
      <c r="A81" s="118" t="str">
        <f>tbl_SegmentRates[[#This Row],[Factor]]&amp;"|"&amp;tbl_SegmentRates[[#This Row],[Segment]]</f>
        <v>Marital Status|Married</v>
      </c>
      <c r="B81" s="3" t="s">
        <v>1</v>
      </c>
      <c r="C81" s="109" t="s">
        <v>111</v>
      </c>
      <c r="D81" s="49">
        <f>COUNTIFS(INDEX(tbl_Clean[],0,MATCH(tbl_SegmentRates[[#This Row],[Factor]],tbl_Clean[#Headers],0)),tbl_SegmentRates[[#This Row],[Segment]])</f>
        <v>538</v>
      </c>
      <c r="E81" s="49">
        <f>COUNTIFS(INDEX(tbl_Clean[],0,MATCH(tbl_SegmentRates[[#This Row],[Factor]],tbl_Clean[#Headers],0)),tbl_SegmentRates[[#This Row],[Segment]],tbl_Clean[Purchased Flag],1)</f>
        <v>231</v>
      </c>
      <c r="F81" s="51">
        <f>tbl_SegmentRates[[#This Row],[Buyers]]/tbl_SegmentRates[[#This Row],[Customers]]</f>
        <v>0.42936802973977695</v>
      </c>
      <c r="G81" s="3"/>
      <c r="H81" s="3"/>
      <c r="I81" s="3"/>
      <c r="J81" s="3"/>
      <c r="K81" s="20">
        <v>16188</v>
      </c>
      <c r="L81" s="20" t="str">
        <v>2+ Cars</v>
      </c>
      <c r="M81" s="20" t="str">
        <v>25-30</v>
      </c>
      <c r="N81" s="20" t="str">
        <v>1-2 Miles</v>
      </c>
      <c r="O81" s="20">
        <v>0</v>
      </c>
      <c r="P81" s="20" t="str">
        <v>Partial High School</v>
      </c>
      <c r="Q81" s="20" t="str">
        <v>Europe</v>
      </c>
      <c r="R81" s="20" t="str">
        <v>Single</v>
      </c>
      <c r="S81" s="20" t="str">
        <v>$10k-30k</v>
      </c>
      <c r="T81" s="89">
        <v>0.41343007164183448</v>
      </c>
      <c r="U81" s="91">
        <v>25.806648079747337</v>
      </c>
      <c r="V81" s="49">
        <v>925</v>
      </c>
      <c r="W81" s="20">
        <v>10</v>
      </c>
      <c r="X81" s="20" t="str">
        <v>Cold</v>
      </c>
      <c r="Y81" s="20">
        <v>0</v>
      </c>
    </row>
    <row r="82" spans="1:25" ht="15" customHeight="1" x14ac:dyDescent="0.25">
      <c r="A82" s="118" t="str">
        <f>tbl_SegmentRates[[#This Row],[Factor]]&amp;"|"&amp;tbl_SegmentRates[[#This Row],[Segment]]</f>
        <v>Income Band|$10k-30k</v>
      </c>
      <c r="B82" s="3" t="s">
        <v>117</v>
      </c>
      <c r="C82" s="109" t="s">
        <v>222</v>
      </c>
      <c r="D82" s="49">
        <f>COUNTIFS(INDEX(tbl_Clean[],0,MATCH(tbl_SegmentRates[[#This Row],[Factor]],tbl_Clean[#Headers],0)),tbl_SegmentRates[[#This Row],[Segment]])</f>
        <v>282</v>
      </c>
      <c r="E82" s="49">
        <f>COUNTIFS(INDEX(tbl_Clean[],0,MATCH(tbl_SegmentRates[[#This Row],[Factor]],tbl_Clean[#Headers],0)),tbl_SegmentRates[[#This Row],[Segment]],tbl_Clean[Purchased Flag],1)</f>
        <v>113</v>
      </c>
      <c r="F82" s="51">
        <f>tbl_SegmentRates[[#This Row],[Buyers]]/tbl_SegmentRates[[#This Row],[Customers]]</f>
        <v>0.40070921985815605</v>
      </c>
      <c r="G82" s="3"/>
      <c r="H82" s="3"/>
      <c r="I82" s="3"/>
      <c r="J82" s="3"/>
      <c r="K82" s="20">
        <v>27969</v>
      </c>
      <c r="L82" s="20" t="str">
        <v>2+ Cars</v>
      </c>
      <c r="M82" s="20" t="str">
        <v>25-30</v>
      </c>
      <c r="N82" s="20" t="str">
        <v>10+ Miles</v>
      </c>
      <c r="O82" s="20">
        <v>0</v>
      </c>
      <c r="P82" s="20" t="str">
        <v>Bachelors</v>
      </c>
      <c r="Q82" s="20" t="str">
        <v>Pacific</v>
      </c>
      <c r="R82" s="20" t="str">
        <v>Married</v>
      </c>
      <c r="S82" s="20" t="str">
        <v>$70k-90k</v>
      </c>
      <c r="T82" s="89">
        <v>0.43317854698102426</v>
      </c>
      <c r="U82" s="91">
        <v>35.381765975437936</v>
      </c>
      <c r="V82" s="49">
        <v>816</v>
      </c>
      <c r="W82" s="20">
        <v>9</v>
      </c>
      <c r="X82" s="20" t="str">
        <v>Cold</v>
      </c>
      <c r="Y82" s="20">
        <v>1</v>
      </c>
    </row>
    <row r="83" spans="1:25" ht="15" customHeight="1" x14ac:dyDescent="0.25">
      <c r="A83" s="118" t="str">
        <f>tbl_SegmentRates[[#This Row],[Factor]]&amp;"|"&amp;tbl_SegmentRates[[#This Row],[Segment]]</f>
        <v>Income Band|$40k-60k</v>
      </c>
      <c r="B83" s="3" t="s">
        <v>117</v>
      </c>
      <c r="C83" s="109" t="s">
        <v>223</v>
      </c>
      <c r="D83" s="49">
        <f>COUNTIFS(INDEX(tbl_Clean[],0,MATCH(tbl_SegmentRates[[#This Row],[Factor]],tbl_Clean[#Headers],0)),tbl_SegmentRates[[#This Row],[Segment]])</f>
        <v>359</v>
      </c>
      <c r="E83" s="49">
        <f>COUNTIFS(INDEX(tbl_Clean[],0,MATCH(tbl_SegmentRates[[#This Row],[Factor]],tbl_Clean[#Headers],0)),tbl_SegmentRates[[#This Row],[Segment]],tbl_Clean[Purchased Flag],1)</f>
        <v>191</v>
      </c>
      <c r="F83" s="51">
        <f>tbl_SegmentRates[[#This Row],[Buyers]]/tbl_SegmentRates[[#This Row],[Customers]]</f>
        <v>0.53203342618384397</v>
      </c>
      <c r="G83" s="3"/>
      <c r="H83" s="3"/>
      <c r="I83" s="3"/>
      <c r="J83" s="3"/>
      <c r="K83" s="20">
        <v>15752</v>
      </c>
      <c r="L83" s="20" t="str">
        <v>2+ Cars</v>
      </c>
      <c r="M83" s="20" t="str">
        <v>41-50</v>
      </c>
      <c r="N83" s="20" t="str">
        <v>1-2 Miles</v>
      </c>
      <c r="O83" s="20">
        <v>2</v>
      </c>
      <c r="P83" s="20" t="str">
        <v>High School</v>
      </c>
      <c r="Q83" s="20" t="str">
        <v>Pacific</v>
      </c>
      <c r="R83" s="20" t="str">
        <v>Married</v>
      </c>
      <c r="S83" s="20" t="str">
        <v>$70k-90k</v>
      </c>
      <c r="T83" s="89">
        <v>0.45443150910346941</v>
      </c>
      <c r="U83" s="91">
        <v>45.686339592380662</v>
      </c>
      <c r="V83" s="49">
        <v>700</v>
      </c>
      <c r="W83" s="20">
        <v>7</v>
      </c>
      <c r="X83" s="20" t="str">
        <v>Cold</v>
      </c>
      <c r="Y83" s="20">
        <v>1</v>
      </c>
    </row>
    <row r="84" spans="1:25" ht="15" customHeight="1" x14ac:dyDescent="0.25">
      <c r="A84" s="118" t="str">
        <f>tbl_SegmentRates[[#This Row],[Factor]]&amp;"|"&amp;tbl_SegmentRates[[#This Row],[Segment]]</f>
        <v>Income Band|$70k-90k</v>
      </c>
      <c r="B84" s="3" t="s">
        <v>117</v>
      </c>
      <c r="C84" s="109" t="s">
        <v>224</v>
      </c>
      <c r="D84" s="49">
        <f>COUNTIFS(INDEX(tbl_Clean[],0,MATCH(tbl_SegmentRates[[#This Row],[Factor]],tbl_Clean[#Headers],0)),tbl_SegmentRates[[#This Row],[Segment]])</f>
        <v>254</v>
      </c>
      <c r="E84" s="49">
        <f>COUNTIFS(INDEX(tbl_Clean[],0,MATCH(tbl_SegmentRates[[#This Row],[Factor]],tbl_Clean[#Headers],0)),tbl_SegmentRates[[#This Row],[Segment]],tbl_Clean[Purchased Flag],1)</f>
        <v>126</v>
      </c>
      <c r="F84" s="51">
        <f>tbl_SegmentRates[[#This Row],[Buyers]]/tbl_SegmentRates[[#This Row],[Customers]]</f>
        <v>0.49606299212598426</v>
      </c>
      <c r="G84" s="3"/>
      <c r="H84" s="3"/>
      <c r="I84" s="3"/>
      <c r="J84" s="3"/>
      <c r="K84" s="20">
        <v>27745</v>
      </c>
      <c r="L84" s="20" t="str">
        <v>2+ Cars</v>
      </c>
      <c r="M84" s="20" t="str">
        <v>61+</v>
      </c>
      <c r="N84" s="20" t="str">
        <v>5-10 Miles</v>
      </c>
      <c r="O84" s="20">
        <v>2</v>
      </c>
      <c r="P84" s="20" t="str">
        <v>Bachelors</v>
      </c>
      <c r="Q84" s="20" t="str">
        <v>Pacific</v>
      </c>
      <c r="R84" s="20" t="str">
        <v>Single</v>
      </c>
      <c r="S84" s="20" t="str">
        <v>$40k-60k</v>
      </c>
      <c r="T84" s="89">
        <v>0.44560104359663127</v>
      </c>
      <c r="U84" s="91">
        <v>41.404857257690544</v>
      </c>
      <c r="V84" s="49">
        <v>750</v>
      </c>
      <c r="W84" s="20">
        <v>8</v>
      </c>
      <c r="X84" s="20" t="str">
        <v>Cold</v>
      </c>
      <c r="Y84" s="20">
        <v>1</v>
      </c>
    </row>
    <row r="85" spans="1:25" ht="15" customHeight="1" x14ac:dyDescent="0.25">
      <c r="A85" s="118" t="str">
        <f>tbl_SegmentRates[[#This Row],[Factor]]&amp;"|"&amp;tbl_SegmentRates[[#This Row],[Segment]]</f>
        <v>Income Band|$100k+</v>
      </c>
      <c r="B85" s="3" t="s">
        <v>117</v>
      </c>
      <c r="C85" s="109" t="s">
        <v>225</v>
      </c>
      <c r="D85" s="49">
        <f>COUNTIFS(INDEX(tbl_Clean[],0,MATCH(tbl_SegmentRates[[#This Row],[Factor]],tbl_Clean[#Headers],0)),tbl_SegmentRates[[#This Row],[Segment]])</f>
        <v>105</v>
      </c>
      <c r="E85" s="49">
        <f>COUNTIFS(INDEX(tbl_Clean[],0,MATCH(tbl_SegmentRates[[#This Row],[Factor]],tbl_Clean[#Headers],0)),tbl_SegmentRates[[#This Row],[Segment]],tbl_Clean[Purchased Flag],1)</f>
        <v>51</v>
      </c>
      <c r="F85" s="51">
        <f>tbl_SegmentRates[[#This Row],[Buyers]]/tbl_SegmentRates[[#This Row],[Customers]]</f>
        <v>0.48571428571428571</v>
      </c>
      <c r="G85" s="3"/>
      <c r="H85" s="3"/>
      <c r="I85" s="3"/>
      <c r="J85" s="3"/>
      <c r="K85" s="20">
        <v>20828</v>
      </c>
      <c r="L85" s="20" t="str">
        <v>0-1 Cars</v>
      </c>
      <c r="M85" s="20" t="str">
        <v>41-50</v>
      </c>
      <c r="N85" s="20" t="str">
        <v>0-1 Miles</v>
      </c>
      <c r="O85" s="20">
        <v>4</v>
      </c>
      <c r="P85" s="20" t="str">
        <v>Graduate Degree</v>
      </c>
      <c r="Q85" s="20" t="str">
        <v>Europe</v>
      </c>
      <c r="R85" s="20" t="str">
        <v>Married</v>
      </c>
      <c r="S85" s="20" t="str">
        <v>$10k-30k</v>
      </c>
      <c r="T85" s="89">
        <v>0.49699828569784849</v>
      </c>
      <c r="U85" s="91">
        <v>66.324991302463758</v>
      </c>
      <c r="V85" s="49">
        <v>398</v>
      </c>
      <c r="W85" s="20">
        <v>4</v>
      </c>
      <c r="X85" s="20" t="str">
        <v>Warm</v>
      </c>
      <c r="Y85" s="20">
        <v>1</v>
      </c>
    </row>
    <row r="86" spans="1:25" ht="15" customHeight="1" x14ac:dyDescent="0.25">
      <c r="A86" s="3"/>
      <c r="B86" s="3"/>
      <c r="C86" s="3"/>
      <c r="D86" s="3"/>
      <c r="E86" s="3"/>
      <c r="F86" s="3"/>
      <c r="G86" s="3"/>
      <c r="H86" s="3"/>
      <c r="I86" s="3"/>
      <c r="J86" s="3"/>
      <c r="K86" s="20">
        <v>19461</v>
      </c>
      <c r="L86" s="20" t="str">
        <v>2+ Cars</v>
      </c>
      <c r="M86" s="20" t="str">
        <v>31-40</v>
      </c>
      <c r="N86" s="20" t="str">
        <v>0-1 Miles</v>
      </c>
      <c r="O86" s="20">
        <v>4</v>
      </c>
      <c r="P86" s="20" t="str">
        <v>Partial High School</v>
      </c>
      <c r="Q86" s="20" t="str">
        <v>Europe</v>
      </c>
      <c r="R86" s="20" t="str">
        <v>Single</v>
      </c>
      <c r="S86" s="20" t="str">
        <v>$10k-30k</v>
      </c>
      <c r="T86" s="89">
        <v>0.45674712256140554</v>
      </c>
      <c r="U86" s="91">
        <v>46.809072941652765</v>
      </c>
      <c r="V86" s="49">
        <v>681</v>
      </c>
      <c r="W86" s="20">
        <v>7</v>
      </c>
      <c r="X86" s="20" t="str">
        <v>Cold</v>
      </c>
      <c r="Y86" s="20">
        <v>0</v>
      </c>
    </row>
    <row r="87" spans="1:25" ht="15" customHeight="1" x14ac:dyDescent="0.25">
      <c r="A87" s="43" t="s">
        <v>226</v>
      </c>
      <c r="B87" s="3" t="str">
        <f>_xlfn.LET(_xlpm.expected,ROWS(_xlfn.UNIQUE(tbl_Clean[Car Ownership]))+ROWS(_xlfn.UNIQUE(tbl_Clean[Age Band]))+ROWS(_xlfn.UNIQUE(tbl_Clean[Commute Distance]))+ROWS(_xlfn.UNIQUE(tbl_Clean[Children]))+ROWS(_xlfn.UNIQUE(tbl_Clean[Education]))+ROWS(_xlfn.UNIQUE(tbl_Clean[Region]))+ROWS(_xlfn.UNIQUE(tbl_Clean[Marital Status]))+ROWS(_xlfn.UNIQUE(tbl_Clean[Income Band])),_xlpm.listed,ROWS(tbl_SegmentRates[]),_xlpm.covered,SUM(tbl_SegmentRates[Customers])=ROWS(tbl_Weights[])*ROWS(tbl_Clean[]),IF(AND(_xlpm.expected=_xlpm.listed,_xlpm.covered),"OK: "&amp;_xlpm.listed&amp;" segments listed, every customer covered on all "&amp;ROWS(tbl_Weights[])&amp;" factors","WARNING: tbl_Clean has "&amp;_xlpm.expected&amp;" segments but this table lists "&amp;_xlpm.listed&amp;"; update tbl_SegmentRates"))</f>
        <v>OK: 32 segments listed, every customer covered on all 8 factors</v>
      </c>
      <c r="C87" s="3"/>
      <c r="D87" s="3"/>
      <c r="E87" s="3"/>
      <c r="F87" s="3"/>
      <c r="G87" s="3"/>
      <c r="H87" s="3"/>
      <c r="I87" s="3"/>
      <c r="J87" s="3"/>
      <c r="K87" s="20">
        <v>26941</v>
      </c>
      <c r="L87" s="20" t="str">
        <v>0-1 Cars</v>
      </c>
      <c r="M87" s="20" t="str">
        <v>41-50</v>
      </c>
      <c r="N87" s="20" t="str">
        <v>0-1 Miles</v>
      </c>
      <c r="O87" s="20">
        <v>0</v>
      </c>
      <c r="P87" s="20" t="str">
        <v>Bachelors</v>
      </c>
      <c r="Q87" s="20" t="str">
        <v>Europe</v>
      </c>
      <c r="R87" s="20" t="str">
        <v>Married</v>
      </c>
      <c r="S87" s="20" t="str">
        <v>$10k-30k</v>
      </c>
      <c r="T87" s="89">
        <v>0.50916194188922093</v>
      </c>
      <c r="U87" s="91">
        <v>72.222582892428804</v>
      </c>
      <c r="V87" s="49">
        <v>323</v>
      </c>
      <c r="W87" s="20">
        <v>4</v>
      </c>
      <c r="X87" s="20" t="str">
        <v>Warm</v>
      </c>
      <c r="Y87" s="20">
        <v>1</v>
      </c>
    </row>
    <row r="88" spans="1:25" ht="15" customHeight="1" x14ac:dyDescent="0.25">
      <c r="A88" s="3"/>
      <c r="B88" s="3"/>
      <c r="C88" s="3"/>
      <c r="D88" s="3"/>
      <c r="E88" s="3"/>
      <c r="F88" s="3"/>
      <c r="G88" s="3"/>
      <c r="H88" s="3"/>
      <c r="I88" s="3"/>
      <c r="J88" s="3"/>
      <c r="K88" s="20">
        <v>28412</v>
      </c>
      <c r="L88" s="20" t="str">
        <v>0-1 Cars</v>
      </c>
      <c r="M88" s="20" t="str">
        <v>25-30</v>
      </c>
      <c r="N88" s="20" t="str">
        <v>2-5 Miles</v>
      </c>
      <c r="O88" s="20">
        <v>0</v>
      </c>
      <c r="P88" s="20" t="str">
        <v>High School</v>
      </c>
      <c r="Q88" s="20" t="str">
        <v>Europe</v>
      </c>
      <c r="R88" s="20" t="str">
        <v>Single</v>
      </c>
      <c r="S88" s="20" t="str">
        <v>$10k-30k</v>
      </c>
      <c r="T88" s="89">
        <v>0.49303661041275448</v>
      </c>
      <c r="U88" s="91">
        <v>64.404159072750218</v>
      </c>
      <c r="V88" s="49">
        <v>434</v>
      </c>
      <c r="W88" s="20">
        <v>5</v>
      </c>
      <c r="X88" s="20" t="str">
        <v>Warm</v>
      </c>
      <c r="Y88" s="20">
        <v>0</v>
      </c>
    </row>
    <row r="89" spans="1:25" ht="15" customHeight="1" x14ac:dyDescent="0.25">
      <c r="A89" s="3"/>
      <c r="B89" s="3"/>
      <c r="C89" s="3"/>
      <c r="D89" s="3"/>
      <c r="E89" s="3"/>
      <c r="F89" s="3"/>
      <c r="G89" s="3"/>
      <c r="H89" s="3"/>
      <c r="I89" s="3"/>
      <c r="J89" s="3"/>
      <c r="K89" s="20">
        <v>24485</v>
      </c>
      <c r="L89" s="20" t="str">
        <v>0-1 Cars</v>
      </c>
      <c r="M89" s="20" t="str">
        <v>51-60</v>
      </c>
      <c r="N89" s="20" t="str">
        <v>5-10 Miles</v>
      </c>
      <c r="O89" s="20">
        <v>2</v>
      </c>
      <c r="P89" s="20" t="str">
        <v>Bachelors</v>
      </c>
      <c r="Q89" s="20" t="str">
        <v>Pacific</v>
      </c>
      <c r="R89" s="20" t="str">
        <v>Single</v>
      </c>
      <c r="S89" s="20" t="str">
        <v>$40k-60k</v>
      </c>
      <c r="T89" s="89">
        <v>0.50897721354375691</v>
      </c>
      <c r="U89" s="91">
        <v>72.133016702831185</v>
      </c>
      <c r="V89" s="49">
        <v>327</v>
      </c>
      <c r="W89" s="20">
        <v>4</v>
      </c>
      <c r="X89" s="20" t="str">
        <v>Warm</v>
      </c>
      <c r="Y89" s="20">
        <v>1</v>
      </c>
    </row>
    <row r="90" spans="1:25" ht="15" customHeight="1" x14ac:dyDescent="0.25">
      <c r="A90" s="44" t="str">
        <f>"Priority follow-up list (top "&amp;FollowUp_Size&amp;" non-buyers by lead score)"</f>
        <v>Priority follow-up list (top 25 non-buyers by lead score)</v>
      </c>
      <c r="B90" s="3"/>
      <c r="C90" s="3"/>
      <c r="D90" s="3"/>
      <c r="E90" s="3"/>
      <c r="F90" s="3"/>
      <c r="G90" s="3"/>
      <c r="H90" s="3"/>
      <c r="I90" s="3"/>
      <c r="J90" s="3"/>
      <c r="K90" s="20">
        <v>16514</v>
      </c>
      <c r="L90" s="20" t="str">
        <v>0-1 Cars</v>
      </c>
      <c r="M90" s="20" t="str">
        <v>25-30</v>
      </c>
      <c r="N90" s="20" t="str">
        <v>1-2 Miles</v>
      </c>
      <c r="O90" s="20">
        <v>0</v>
      </c>
      <c r="P90" s="20" t="str">
        <v>Partial College</v>
      </c>
      <c r="Q90" s="20" t="str">
        <v>Pacific</v>
      </c>
      <c r="R90" s="20" t="str">
        <v>Single</v>
      </c>
      <c r="S90" s="20" t="str">
        <v>$10k-30k</v>
      </c>
      <c r="T90" s="89">
        <v>0.48379107945336802</v>
      </c>
      <c r="U90" s="91">
        <v>59.921430789989792</v>
      </c>
      <c r="V90" s="49">
        <v>479</v>
      </c>
      <c r="W90" s="20">
        <v>5</v>
      </c>
      <c r="X90" s="20" t="str">
        <v>Warm</v>
      </c>
      <c r="Y90" s="20">
        <v>1</v>
      </c>
    </row>
    <row r="91" spans="1:25" ht="30" customHeight="1" x14ac:dyDescent="0.25">
      <c r="A91" s="16" t="s">
        <v>0</v>
      </c>
      <c r="B91" s="16" t="s">
        <v>402</v>
      </c>
      <c r="C91" s="16" t="s">
        <v>229</v>
      </c>
      <c r="D91" s="16" t="s">
        <v>115</v>
      </c>
      <c r="E91" s="16" t="s">
        <v>119</v>
      </c>
      <c r="F91" s="16" t="s">
        <v>9</v>
      </c>
      <c r="G91" s="16" t="s">
        <v>10</v>
      </c>
      <c r="H91" s="3"/>
      <c r="I91" s="3"/>
      <c r="J91" s="3"/>
      <c r="K91" s="20">
        <v>17191</v>
      </c>
      <c r="L91" s="20" t="str">
        <v>2+ Cars</v>
      </c>
      <c r="M91" s="20" t="str">
        <v>51-60</v>
      </c>
      <c r="N91" s="20" t="str">
        <v>0-1 Miles</v>
      </c>
      <c r="O91" s="20">
        <v>3</v>
      </c>
      <c r="P91" s="20" t="str">
        <v>Partial College</v>
      </c>
      <c r="Q91" s="20" t="str">
        <v>Europe</v>
      </c>
      <c r="R91" s="20" t="str">
        <v>Single</v>
      </c>
      <c r="S91" s="20" t="str">
        <v>$100k+</v>
      </c>
      <c r="T91" s="89">
        <v>0.47795903218924468</v>
      </c>
      <c r="U91" s="91">
        <v>57.093742111846403</v>
      </c>
      <c r="V91" s="49">
        <v>522</v>
      </c>
      <c r="W91" s="20">
        <v>6</v>
      </c>
      <c r="X91" s="20" t="str">
        <v>Warm</v>
      </c>
      <c r="Y91" s="20">
        <v>1</v>
      </c>
    </row>
    <row r="92" spans="1:25" ht="15" customHeight="1" x14ac:dyDescent="0.25">
      <c r="A92" s="20" cm="1">
        <f t="array" ref="A92:G116">_xlfn.LET(_xlpm.d,_xlfn.HSTACK(_xlfn.ANCHORARRAY(K5),_xlfn.ANCHORARRAY(U5),_xlfn.ANCHORARRAY(X5),_xlfn.ANCHORARRAY(M5),_xlfn.ANCHORARRAY(L5),_xlfn.ANCHORARRAY(N5),_xlfn.ANCHORARRAY(Q5),_xlfn.ANCHORARRAY(V5)),_xlpm.f,_xlfn._xlws.FILTER(_xlpm.d,_xlfn.ANCHORARRAY(Y5)=0),_xlfn.TAKE(_xlfn.DROP(_xlfn.SORTBY(_xlpm.f,_xlfn.TAKE(_xlpm.f,,-1),1),,-1),FollowUp_Size))</f>
        <v>11788</v>
      </c>
      <c r="B92" s="91">
        <v>95.931138274866697</v>
      </c>
      <c r="C92" s="20" t="str">
        <v>Hot</v>
      </c>
      <c r="D92" s="20" t="str">
        <v>31-40</v>
      </c>
      <c r="E92" s="20" t="str">
        <v>0-1 Cars</v>
      </c>
      <c r="F92" s="20" t="str">
        <v>2-5 Miles</v>
      </c>
      <c r="G92" s="20" t="str">
        <v>North America</v>
      </c>
      <c r="H92" s="3"/>
      <c r="I92" s="3"/>
      <c r="J92" s="3"/>
      <c r="K92" s="20">
        <v>19608</v>
      </c>
      <c r="L92" s="20" t="str">
        <v>2+ Cars</v>
      </c>
      <c r="M92" s="20" t="str">
        <v>31-40</v>
      </c>
      <c r="N92" s="20" t="str">
        <v>1-2 Miles</v>
      </c>
      <c r="O92" s="20">
        <v>5</v>
      </c>
      <c r="P92" s="20" t="str">
        <v>Bachelors</v>
      </c>
      <c r="Q92" s="20" t="str">
        <v>Pacific</v>
      </c>
      <c r="R92" s="20" t="str">
        <v>Married</v>
      </c>
      <c r="S92" s="20" t="str">
        <v>$70k-90k</v>
      </c>
      <c r="T92" s="89">
        <v>0.45754314229546306</v>
      </c>
      <c r="U92" s="91">
        <v>47.195025916248824</v>
      </c>
      <c r="V92" s="49">
        <v>668</v>
      </c>
      <c r="W92" s="20">
        <v>7</v>
      </c>
      <c r="X92" s="20" t="str">
        <v>Cold</v>
      </c>
      <c r="Y92" s="20">
        <v>0</v>
      </c>
    </row>
    <row r="93" spans="1:25" ht="15" customHeight="1" x14ac:dyDescent="0.25">
      <c r="A93" s="20">
        <v>28858</v>
      </c>
      <c r="B93" s="91">
        <v>94.686082269285293</v>
      </c>
      <c r="C93" s="20" t="str">
        <v>Hot</v>
      </c>
      <c r="D93" s="20" t="str">
        <v>31-40</v>
      </c>
      <c r="E93" s="20" t="str">
        <v>0-1 Cars</v>
      </c>
      <c r="F93" s="20" t="str">
        <v>2-5 Miles</v>
      </c>
      <c r="G93" s="20" t="str">
        <v>North America</v>
      </c>
      <c r="H93" s="3"/>
      <c r="I93" s="3"/>
      <c r="J93" s="3"/>
      <c r="K93" s="20">
        <v>24119</v>
      </c>
      <c r="L93" s="20" t="str">
        <v>0-1 Cars</v>
      </c>
      <c r="M93" s="20" t="str">
        <v>25-30</v>
      </c>
      <c r="N93" s="20" t="str">
        <v>2-5 Miles</v>
      </c>
      <c r="O93" s="20">
        <v>0</v>
      </c>
      <c r="P93" s="20" t="str">
        <v>Partial College</v>
      </c>
      <c r="Q93" s="20" t="str">
        <v>Europe</v>
      </c>
      <c r="R93" s="20" t="str">
        <v>Single</v>
      </c>
      <c r="S93" s="20" t="str">
        <v>$10k-30k</v>
      </c>
      <c r="T93" s="89">
        <v>0.49399028666653072</v>
      </c>
      <c r="U93" s="91">
        <v>64.86655236678375</v>
      </c>
      <c r="V93" s="49">
        <v>425</v>
      </c>
      <c r="W93" s="20">
        <v>5</v>
      </c>
      <c r="X93" s="20" t="str">
        <v>Warm</v>
      </c>
      <c r="Y93" s="20">
        <v>0</v>
      </c>
    </row>
    <row r="94" spans="1:25" ht="15" customHeight="1" x14ac:dyDescent="0.25">
      <c r="A94" s="20">
        <v>27756</v>
      </c>
      <c r="B94" s="91">
        <v>93.327819151469612</v>
      </c>
      <c r="C94" s="20" t="str">
        <v>Hot</v>
      </c>
      <c r="D94" s="20" t="str">
        <v>31-40</v>
      </c>
      <c r="E94" s="20" t="str">
        <v>0-1 Cars</v>
      </c>
      <c r="F94" s="20" t="str">
        <v>0-1 Miles</v>
      </c>
      <c r="G94" s="20" t="str">
        <v>North America</v>
      </c>
      <c r="H94" s="3"/>
      <c r="I94" s="3"/>
      <c r="J94" s="3"/>
      <c r="K94" s="20">
        <v>25458</v>
      </c>
      <c r="L94" s="20" t="str">
        <v>0-1 Cars</v>
      </c>
      <c r="M94" s="20" t="str">
        <v>31-40</v>
      </c>
      <c r="N94" s="20" t="str">
        <v>1-2 Miles</v>
      </c>
      <c r="O94" s="20">
        <v>1</v>
      </c>
      <c r="P94" s="20" t="str">
        <v>High School</v>
      </c>
      <c r="Q94" s="20" t="str">
        <v>Europe</v>
      </c>
      <c r="R94" s="20" t="str">
        <v>Married</v>
      </c>
      <c r="S94" s="20" t="str">
        <v>$10k-30k</v>
      </c>
      <c r="T94" s="89">
        <v>0.51491766639935743</v>
      </c>
      <c r="U94" s="91">
        <v>75.013266214209452</v>
      </c>
      <c r="V94" s="49">
        <v>283</v>
      </c>
      <c r="W94" s="20">
        <v>3</v>
      </c>
      <c r="X94" s="20" t="str">
        <v>Hot</v>
      </c>
      <c r="Y94" s="20">
        <v>1</v>
      </c>
    </row>
    <row r="95" spans="1:25" ht="15" customHeight="1" x14ac:dyDescent="0.25">
      <c r="A95" s="20">
        <v>12993</v>
      </c>
      <c r="B95" s="91">
        <v>92.85854000574723</v>
      </c>
      <c r="C95" s="20" t="str">
        <v>Hot</v>
      </c>
      <c r="D95" s="20" t="str">
        <v>31-40</v>
      </c>
      <c r="E95" s="20" t="str">
        <v>0-1 Cars</v>
      </c>
      <c r="F95" s="20" t="str">
        <v>2-5 Miles</v>
      </c>
      <c r="G95" s="20" t="str">
        <v>Pacific</v>
      </c>
      <c r="H95" s="3"/>
      <c r="I95" s="3"/>
      <c r="J95" s="3"/>
      <c r="K95" s="20">
        <v>26886</v>
      </c>
      <c r="L95" s="20" t="str">
        <v>0-1 Cars</v>
      </c>
      <c r="M95" s="20" t="str">
        <v>25-30</v>
      </c>
      <c r="N95" s="20" t="str">
        <v>0-1 Miles</v>
      </c>
      <c r="O95" s="20">
        <v>0</v>
      </c>
      <c r="P95" s="20" t="str">
        <v>Partial College</v>
      </c>
      <c r="Q95" s="20" t="str">
        <v>Europe</v>
      </c>
      <c r="R95" s="20" t="str">
        <v>Single</v>
      </c>
      <c r="S95" s="20" t="str">
        <v>$10k-30k</v>
      </c>
      <c r="T95" s="89">
        <v>0.4882237652508587</v>
      </c>
      <c r="U95" s="91">
        <v>62.07063412728742</v>
      </c>
      <c r="V95" s="49">
        <v>461</v>
      </c>
      <c r="W95" s="20">
        <v>5</v>
      </c>
      <c r="X95" s="20" t="str">
        <v>Warm</v>
      </c>
      <c r="Y95" s="20">
        <v>1</v>
      </c>
    </row>
    <row r="96" spans="1:25" ht="15" customHeight="1" x14ac:dyDescent="0.25">
      <c r="A96" s="20">
        <v>11801</v>
      </c>
      <c r="B96" s="91">
        <v>92.676360267643531</v>
      </c>
      <c r="C96" s="20" t="str">
        <v>Hot</v>
      </c>
      <c r="D96" s="20" t="str">
        <v>31-40</v>
      </c>
      <c r="E96" s="20" t="str">
        <v>0-1 Cars</v>
      </c>
      <c r="F96" s="20" t="str">
        <v>2-5 Miles</v>
      </c>
      <c r="G96" s="20" t="str">
        <v>North America</v>
      </c>
      <c r="H96" s="3"/>
      <c r="I96" s="3"/>
      <c r="J96" s="3"/>
      <c r="K96" s="20">
        <v>28436</v>
      </c>
      <c r="L96" s="20" t="str">
        <v>0-1 Cars</v>
      </c>
      <c r="M96" s="20" t="str">
        <v>25-30</v>
      </c>
      <c r="N96" s="20" t="str">
        <v>0-1 Miles</v>
      </c>
      <c r="O96" s="20">
        <v>0</v>
      </c>
      <c r="P96" s="20" t="str">
        <v>Partial College</v>
      </c>
      <c r="Q96" s="20" t="str">
        <v>Europe</v>
      </c>
      <c r="R96" s="20" t="str">
        <v>Single</v>
      </c>
      <c r="S96" s="20" t="str">
        <v>$10k-30k</v>
      </c>
      <c r="T96" s="89">
        <v>0.4882237652508587</v>
      </c>
      <c r="U96" s="91">
        <v>62.07063412728742</v>
      </c>
      <c r="V96" s="49">
        <v>462</v>
      </c>
      <c r="W96" s="20">
        <v>5</v>
      </c>
      <c r="X96" s="20" t="str">
        <v>Warm</v>
      </c>
      <c r="Y96" s="20">
        <v>1</v>
      </c>
    </row>
    <row r="97" spans="1:25" ht="15" customHeight="1" x14ac:dyDescent="0.25">
      <c r="A97" s="20">
        <v>12472</v>
      </c>
      <c r="B97" s="91">
        <v>90.811104504670524</v>
      </c>
      <c r="C97" s="20" t="str">
        <v>Hot</v>
      </c>
      <c r="D97" s="20" t="str">
        <v>31-40</v>
      </c>
      <c r="E97" s="20" t="str">
        <v>0-1 Cars</v>
      </c>
      <c r="F97" s="20" t="str">
        <v>2-5 Miles</v>
      </c>
      <c r="G97" s="20" t="str">
        <v>Europe</v>
      </c>
      <c r="H97" s="3"/>
      <c r="I97" s="3"/>
      <c r="J97" s="3"/>
      <c r="K97" s="20">
        <v>19562</v>
      </c>
      <c r="L97" s="20" t="str">
        <v>0-1 Cars</v>
      </c>
      <c r="M97" s="20" t="str">
        <v>31-40</v>
      </c>
      <c r="N97" s="20" t="str">
        <v>2-5 Miles</v>
      </c>
      <c r="O97" s="20">
        <v>2</v>
      </c>
      <c r="P97" s="20" t="str">
        <v>Bachelors</v>
      </c>
      <c r="Q97" s="20" t="str">
        <v>Pacific</v>
      </c>
      <c r="R97" s="20" t="str">
        <v>Single</v>
      </c>
      <c r="S97" s="20" t="str">
        <v>$40k-60k</v>
      </c>
      <c r="T97" s="89">
        <v>0.56140120364337864</v>
      </c>
      <c r="U97" s="91">
        <v>97.550973134651059</v>
      </c>
      <c r="V97" s="49">
        <v>5</v>
      </c>
      <c r="W97" s="20">
        <v>1</v>
      </c>
      <c r="X97" s="20" t="str">
        <v>Hot</v>
      </c>
      <c r="Y97" s="20">
        <v>1</v>
      </c>
    </row>
    <row r="98" spans="1:25" ht="15" customHeight="1" x14ac:dyDescent="0.25">
      <c r="A98" s="20">
        <v>11644</v>
      </c>
      <c r="B98" s="91">
        <v>90.68619317002144</v>
      </c>
      <c r="C98" s="20" t="str">
        <v>Hot</v>
      </c>
      <c r="D98" s="20" t="str">
        <v>31-40</v>
      </c>
      <c r="E98" s="20" t="str">
        <v>0-1 Cars</v>
      </c>
      <c r="F98" s="20" t="str">
        <v>2-5 Miles</v>
      </c>
      <c r="G98" s="20" t="str">
        <v>North America</v>
      </c>
      <c r="H98" s="3"/>
      <c r="I98" s="3"/>
      <c r="J98" s="3"/>
      <c r="K98" s="20">
        <v>15608</v>
      </c>
      <c r="L98" s="20" t="str">
        <v>0-1 Cars</v>
      </c>
      <c r="M98" s="20" t="str">
        <v>31-40</v>
      </c>
      <c r="N98" s="20" t="str">
        <v>2-5 Miles</v>
      </c>
      <c r="O98" s="20">
        <v>0</v>
      </c>
      <c r="P98" s="20" t="str">
        <v>Partial College</v>
      </c>
      <c r="Q98" s="20" t="str">
        <v>Europe</v>
      </c>
      <c r="R98" s="20" t="str">
        <v>Single</v>
      </c>
      <c r="S98" s="20" t="str">
        <v>$10k-30k</v>
      </c>
      <c r="T98" s="89">
        <v>0.53487751453984622</v>
      </c>
      <c r="U98" s="91">
        <v>84.69086895785</v>
      </c>
      <c r="V98" s="49">
        <v>151</v>
      </c>
      <c r="W98" s="20">
        <v>2</v>
      </c>
      <c r="X98" s="20" t="str">
        <v>Hot</v>
      </c>
      <c r="Y98" s="20">
        <v>0</v>
      </c>
    </row>
    <row r="99" spans="1:25" ht="15" customHeight="1" x14ac:dyDescent="0.25">
      <c r="A99" s="20">
        <v>11641</v>
      </c>
      <c r="B99" s="91">
        <v>90.603034944509176</v>
      </c>
      <c r="C99" s="20" t="str">
        <v>Hot</v>
      </c>
      <c r="D99" s="20" t="str">
        <v>31-40</v>
      </c>
      <c r="E99" s="20" t="str">
        <v>0-1 Cars</v>
      </c>
      <c r="F99" s="20" t="str">
        <v>0-1 Miles</v>
      </c>
      <c r="G99" s="20" t="str">
        <v>North America</v>
      </c>
      <c r="H99" s="3"/>
      <c r="I99" s="3"/>
      <c r="J99" s="3"/>
      <c r="K99" s="20">
        <v>16487</v>
      </c>
      <c r="L99" s="20" t="str">
        <v>2+ Cars</v>
      </c>
      <c r="M99" s="20" t="str">
        <v>51-60</v>
      </c>
      <c r="N99" s="20" t="str">
        <v>5-10 Miles</v>
      </c>
      <c r="O99" s="20">
        <v>3</v>
      </c>
      <c r="P99" s="20" t="str">
        <v>High School</v>
      </c>
      <c r="Q99" s="20" t="str">
        <v>Pacific</v>
      </c>
      <c r="R99" s="20" t="str">
        <v>Single</v>
      </c>
      <c r="S99" s="20" t="str">
        <v>$10k-30k</v>
      </c>
      <c r="T99" s="89">
        <v>0.45694016508270613</v>
      </c>
      <c r="U99" s="91">
        <v>46.902670288718163</v>
      </c>
      <c r="V99" s="49">
        <v>678</v>
      </c>
      <c r="W99" s="20">
        <v>7</v>
      </c>
      <c r="X99" s="20" t="str">
        <v>Cold</v>
      </c>
      <c r="Y99" s="20">
        <v>0</v>
      </c>
    </row>
    <row r="100" spans="1:25" ht="15" customHeight="1" x14ac:dyDescent="0.25">
      <c r="A100" s="20">
        <v>15468</v>
      </c>
      <c r="B100" s="91">
        <v>90.603034944509176</v>
      </c>
      <c r="C100" s="20" t="str">
        <v>Hot</v>
      </c>
      <c r="D100" s="20" t="str">
        <v>31-40</v>
      </c>
      <c r="E100" s="20" t="str">
        <v>0-1 Cars</v>
      </c>
      <c r="F100" s="20" t="str">
        <v>0-1 Miles</v>
      </c>
      <c r="G100" s="20" t="str">
        <v>North America</v>
      </c>
      <c r="H100" s="3"/>
      <c r="I100" s="3"/>
      <c r="J100" s="3"/>
      <c r="K100" s="20">
        <v>17197</v>
      </c>
      <c r="L100" s="20" t="str">
        <v>2+ Cars</v>
      </c>
      <c r="M100" s="20" t="str">
        <v>61+</v>
      </c>
      <c r="N100" s="20" t="str">
        <v>10+ Miles</v>
      </c>
      <c r="O100" s="20">
        <v>5</v>
      </c>
      <c r="P100" s="20" t="str">
        <v>Partial College</v>
      </c>
      <c r="Q100" s="20" t="str">
        <v>Europe</v>
      </c>
      <c r="R100" s="20" t="str">
        <v>Single</v>
      </c>
      <c r="S100" s="20" t="str">
        <v>$70k-90k</v>
      </c>
      <c r="T100" s="89">
        <v>0.37335899988386845</v>
      </c>
      <c r="U100" s="91">
        <v>6.3780476587416546</v>
      </c>
      <c r="V100" s="49">
        <v>996</v>
      </c>
      <c r="W100" s="20">
        <v>10</v>
      </c>
      <c r="X100" s="20" t="str">
        <v>Cold</v>
      </c>
      <c r="Y100" s="20">
        <v>0</v>
      </c>
    </row>
    <row r="101" spans="1:25" ht="15" customHeight="1" x14ac:dyDescent="0.25">
      <c r="A101" s="20">
        <v>16217</v>
      </c>
      <c r="B101" s="91">
        <v>89.946626293815541</v>
      </c>
      <c r="C101" s="20" t="str">
        <v>Hot</v>
      </c>
      <c r="D101" s="20" t="str">
        <v>31-40</v>
      </c>
      <c r="E101" s="20" t="str">
        <v>0-1 Cars</v>
      </c>
      <c r="F101" s="20" t="str">
        <v>0-1 Miles</v>
      </c>
      <c r="G101" s="20" t="str">
        <v>North America</v>
      </c>
      <c r="H101" s="3"/>
      <c r="I101" s="3"/>
      <c r="J101" s="3"/>
      <c r="K101" s="20">
        <v>12507</v>
      </c>
      <c r="L101" s="20" t="str">
        <v>0-1 Cars</v>
      </c>
      <c r="M101" s="20" t="str">
        <v>41-50</v>
      </c>
      <c r="N101" s="20" t="str">
        <v>0-1 Miles</v>
      </c>
      <c r="O101" s="20">
        <v>1</v>
      </c>
      <c r="P101" s="20" t="str">
        <v>Partial College</v>
      </c>
      <c r="Q101" s="20" t="str">
        <v>Europe</v>
      </c>
      <c r="R101" s="20" t="str">
        <v>Married</v>
      </c>
      <c r="S101" s="20" t="str">
        <v>$10k-30k</v>
      </c>
      <c r="T101" s="89">
        <v>0.50594412276136291</v>
      </c>
      <c r="U101" s="91">
        <v>70.662411943175528</v>
      </c>
      <c r="V101" s="49">
        <v>336</v>
      </c>
      <c r="W101" s="20">
        <v>4</v>
      </c>
      <c r="X101" s="20" t="str">
        <v>Warm</v>
      </c>
      <c r="Y101" s="20">
        <v>0</v>
      </c>
    </row>
    <row r="102" spans="1:25" ht="15" customHeight="1" x14ac:dyDescent="0.25">
      <c r="A102" s="20">
        <v>21693</v>
      </c>
      <c r="B102" s="91">
        <v>89.946626293815541</v>
      </c>
      <c r="C102" s="20" t="str">
        <v>Hot</v>
      </c>
      <c r="D102" s="20" t="str">
        <v>31-40</v>
      </c>
      <c r="E102" s="20" t="str">
        <v>0-1 Cars</v>
      </c>
      <c r="F102" s="20" t="str">
        <v>0-1 Miles</v>
      </c>
      <c r="G102" s="20" t="str">
        <v>North America</v>
      </c>
      <c r="H102" s="3"/>
      <c r="I102" s="3"/>
      <c r="J102" s="3"/>
      <c r="K102" s="20">
        <v>23940</v>
      </c>
      <c r="L102" s="20" t="str">
        <v>0-1 Cars</v>
      </c>
      <c r="M102" s="20" t="str">
        <v>41-50</v>
      </c>
      <c r="N102" s="20" t="str">
        <v>0-1 Miles</v>
      </c>
      <c r="O102" s="20">
        <v>1</v>
      </c>
      <c r="P102" s="20" t="str">
        <v>Bachelors</v>
      </c>
      <c r="Q102" s="20" t="str">
        <v>Europe</v>
      </c>
      <c r="R102" s="20" t="str">
        <v>Married</v>
      </c>
      <c r="S102" s="20" t="str">
        <v>$40k-60k</v>
      </c>
      <c r="T102" s="89">
        <v>0.52952886380755659</v>
      </c>
      <c r="U102" s="91">
        <v>82.097556792484326</v>
      </c>
      <c r="V102" s="49">
        <v>200</v>
      </c>
      <c r="W102" s="20">
        <v>2</v>
      </c>
      <c r="X102" s="20" t="str">
        <v>Hot</v>
      </c>
      <c r="Y102" s="20">
        <v>1</v>
      </c>
    </row>
    <row r="103" spans="1:25" ht="15" customHeight="1" x14ac:dyDescent="0.25">
      <c r="A103" s="20">
        <v>11783</v>
      </c>
      <c r="B103" s="91">
        <v>89.880442028147186</v>
      </c>
      <c r="C103" s="20" t="str">
        <v>Hot</v>
      </c>
      <c r="D103" s="20" t="str">
        <v>31-40</v>
      </c>
      <c r="E103" s="20" t="str">
        <v>0-1 Cars</v>
      </c>
      <c r="F103" s="20" t="str">
        <v>0-1 Miles</v>
      </c>
      <c r="G103" s="20" t="str">
        <v>North America</v>
      </c>
      <c r="H103" s="3"/>
      <c r="I103" s="3"/>
      <c r="J103" s="3"/>
      <c r="K103" s="20">
        <v>19441</v>
      </c>
      <c r="L103" s="20" t="str">
        <v>0-1 Cars</v>
      </c>
      <c r="M103" s="20" t="str">
        <v>25-30</v>
      </c>
      <c r="N103" s="20" t="str">
        <v>0-1 Miles</v>
      </c>
      <c r="O103" s="20">
        <v>0</v>
      </c>
      <c r="P103" s="20" t="str">
        <v>Graduate Degree</v>
      </c>
      <c r="Q103" s="20" t="str">
        <v>Europe</v>
      </c>
      <c r="R103" s="20" t="str">
        <v>Married</v>
      </c>
      <c r="S103" s="20" t="str">
        <v>$40k-60k</v>
      </c>
      <c r="T103" s="89">
        <v>0.50064013119389772</v>
      </c>
      <c r="U103" s="91">
        <v>68.090752931330428</v>
      </c>
      <c r="V103" s="49">
        <v>370</v>
      </c>
      <c r="W103" s="20">
        <v>4</v>
      </c>
      <c r="X103" s="20" t="str">
        <v>Warm</v>
      </c>
      <c r="Y103" s="20">
        <v>1</v>
      </c>
    </row>
    <row r="104" spans="1:25" ht="15" customHeight="1" x14ac:dyDescent="0.25">
      <c r="A104" s="20">
        <v>14569</v>
      </c>
      <c r="B104" s="91">
        <v>89.880442028147186</v>
      </c>
      <c r="C104" s="20" t="str">
        <v>Hot</v>
      </c>
      <c r="D104" s="20" t="str">
        <v>31-40</v>
      </c>
      <c r="E104" s="20" t="str">
        <v>0-1 Cars</v>
      </c>
      <c r="F104" s="20" t="str">
        <v>0-1 Miles</v>
      </c>
      <c r="G104" s="20" t="str">
        <v>North America</v>
      </c>
      <c r="H104" s="3"/>
      <c r="I104" s="3"/>
      <c r="J104" s="3"/>
      <c r="K104" s="20">
        <v>26852</v>
      </c>
      <c r="L104" s="20" t="str">
        <v>2+ Cars</v>
      </c>
      <c r="M104" s="20" t="str">
        <v>41-50</v>
      </c>
      <c r="N104" s="20" t="str">
        <v>0-1 Miles</v>
      </c>
      <c r="O104" s="20">
        <v>3</v>
      </c>
      <c r="P104" s="20" t="str">
        <v>High School</v>
      </c>
      <c r="Q104" s="20" t="str">
        <v>Europe</v>
      </c>
      <c r="R104" s="20" t="str">
        <v>Married</v>
      </c>
      <c r="S104" s="20" t="str">
        <v>$10k-30k</v>
      </c>
      <c r="T104" s="89">
        <v>0.46221876327995354</v>
      </c>
      <c r="U104" s="91">
        <v>49.462017235483394</v>
      </c>
      <c r="V104" s="49">
        <v>626</v>
      </c>
      <c r="W104" s="20">
        <v>7</v>
      </c>
      <c r="X104" s="20" t="str">
        <v>Cold</v>
      </c>
      <c r="Y104" s="20">
        <v>0</v>
      </c>
    </row>
    <row r="105" spans="1:25" ht="15" customHeight="1" x14ac:dyDescent="0.25">
      <c r="A105" s="20">
        <v>16773</v>
      </c>
      <c r="B105" s="91">
        <v>89.880442028147186</v>
      </c>
      <c r="C105" s="20" t="str">
        <v>Hot</v>
      </c>
      <c r="D105" s="20" t="str">
        <v>31-40</v>
      </c>
      <c r="E105" s="20" t="str">
        <v>0-1 Cars</v>
      </c>
      <c r="F105" s="20" t="str">
        <v>0-1 Miles</v>
      </c>
      <c r="G105" s="20" t="str">
        <v>North America</v>
      </c>
      <c r="H105" s="3"/>
      <c r="I105" s="3"/>
      <c r="J105" s="3"/>
      <c r="K105" s="20">
        <v>12274</v>
      </c>
      <c r="L105" s="20" t="str">
        <v>0-1 Cars</v>
      </c>
      <c r="M105" s="20" t="str">
        <v>31-40</v>
      </c>
      <c r="N105" s="20" t="str">
        <v>0-1 Miles</v>
      </c>
      <c r="O105" s="20">
        <v>2</v>
      </c>
      <c r="P105" s="20" t="str">
        <v>High School</v>
      </c>
      <c r="Q105" s="20" t="str">
        <v>Europe</v>
      </c>
      <c r="R105" s="20" t="str">
        <v>Single</v>
      </c>
      <c r="S105" s="20" t="str">
        <v>$10k-30k</v>
      </c>
      <c r="T105" s="89">
        <v>0.52242580388292881</v>
      </c>
      <c r="U105" s="91">
        <v>78.653613144667673</v>
      </c>
      <c r="V105" s="49">
        <v>233</v>
      </c>
      <c r="W105" s="20">
        <v>3</v>
      </c>
      <c r="X105" s="20" t="str">
        <v>Hot</v>
      </c>
      <c r="Y105" s="20">
        <v>0</v>
      </c>
    </row>
    <row r="106" spans="1:25" ht="15" customHeight="1" x14ac:dyDescent="0.25">
      <c r="A106" s="20">
        <v>28815</v>
      </c>
      <c r="B106" s="91">
        <v>89.880442028147186</v>
      </c>
      <c r="C106" s="20" t="str">
        <v>Hot</v>
      </c>
      <c r="D106" s="20" t="str">
        <v>31-40</v>
      </c>
      <c r="E106" s="20" t="str">
        <v>0-1 Cars</v>
      </c>
      <c r="F106" s="20" t="str">
        <v>0-1 Miles</v>
      </c>
      <c r="G106" s="20" t="str">
        <v>North America</v>
      </c>
      <c r="H106" s="3"/>
      <c r="I106" s="3"/>
      <c r="J106" s="3"/>
      <c r="K106" s="20">
        <v>20236</v>
      </c>
      <c r="L106" s="20" t="str">
        <v>2+ Cars</v>
      </c>
      <c r="M106" s="20" t="str">
        <v>41-50</v>
      </c>
      <c r="N106" s="20" t="str">
        <v>0-1 Miles</v>
      </c>
      <c r="O106" s="20">
        <v>3</v>
      </c>
      <c r="P106" s="20" t="str">
        <v>Bachelors</v>
      </c>
      <c r="Q106" s="20" t="str">
        <v>Pacific</v>
      </c>
      <c r="R106" s="20" t="str">
        <v>Single</v>
      </c>
      <c r="S106" s="20" t="str">
        <v>$40k-60k</v>
      </c>
      <c r="T106" s="89">
        <v>0.50510568433255654</v>
      </c>
      <c r="U106" s="91">
        <v>70.2558921148743</v>
      </c>
      <c r="V106" s="49">
        <v>340</v>
      </c>
      <c r="W106" s="20">
        <v>4</v>
      </c>
      <c r="X106" s="20" t="str">
        <v>Warm</v>
      </c>
      <c r="Y106" s="20">
        <v>1</v>
      </c>
    </row>
    <row r="107" spans="1:25" ht="15" customHeight="1" x14ac:dyDescent="0.25">
      <c r="A107" s="20">
        <v>11807</v>
      </c>
      <c r="B107" s="91">
        <v>89.271056224019446</v>
      </c>
      <c r="C107" s="20" t="str">
        <v>Hot</v>
      </c>
      <c r="D107" s="20" t="str">
        <v>31-40</v>
      </c>
      <c r="E107" s="20" t="str">
        <v>0-1 Cars</v>
      </c>
      <c r="F107" s="20" t="str">
        <v>2-5 Miles</v>
      </c>
      <c r="G107" s="20" t="str">
        <v>North America</v>
      </c>
      <c r="H107" s="3"/>
      <c r="I107" s="3"/>
      <c r="J107" s="3"/>
      <c r="K107" s="20">
        <v>24149</v>
      </c>
      <c r="L107" s="20" t="str">
        <v>0-1 Cars</v>
      </c>
      <c r="M107" s="20" t="str">
        <v>41-50</v>
      </c>
      <c r="N107" s="20" t="str">
        <v>1-2 Miles</v>
      </c>
      <c r="O107" s="20">
        <v>2</v>
      </c>
      <c r="P107" s="20" t="str">
        <v>Partial College</v>
      </c>
      <c r="Q107" s="20" t="str">
        <v>Europe</v>
      </c>
      <c r="R107" s="20" t="str">
        <v>Married</v>
      </c>
      <c r="S107" s="20" t="str">
        <v>$10k-30k</v>
      </c>
      <c r="T107" s="89">
        <v>0.47756792385251196</v>
      </c>
      <c r="U107" s="91">
        <v>56.90411185584523</v>
      </c>
      <c r="V107" s="49">
        <v>528</v>
      </c>
      <c r="W107" s="20">
        <v>6</v>
      </c>
      <c r="X107" s="20" t="str">
        <v>Warm</v>
      </c>
      <c r="Y107" s="20">
        <v>0</v>
      </c>
    </row>
    <row r="108" spans="1:25" ht="15" customHeight="1" x14ac:dyDescent="0.25">
      <c r="A108" s="20">
        <v>11669</v>
      </c>
      <c r="B108" s="91">
        <v>89.248538048340777</v>
      </c>
      <c r="C108" s="20" t="str">
        <v>Hot</v>
      </c>
      <c r="D108" s="20" t="str">
        <v>31-40</v>
      </c>
      <c r="E108" s="20" t="str">
        <v>0-1 Cars</v>
      </c>
      <c r="F108" s="20" t="str">
        <v>2-5 Miles</v>
      </c>
      <c r="G108" s="20" t="str">
        <v>North America</v>
      </c>
      <c r="H108" s="3"/>
      <c r="I108" s="3"/>
      <c r="J108" s="3"/>
      <c r="K108" s="20">
        <v>26139</v>
      </c>
      <c r="L108" s="20" t="str">
        <v>0-1 Cars</v>
      </c>
      <c r="M108" s="20" t="str">
        <v>41-50</v>
      </c>
      <c r="N108" s="20" t="str">
        <v>5-10 Miles</v>
      </c>
      <c r="O108" s="20">
        <v>1</v>
      </c>
      <c r="P108" s="20" t="str">
        <v>Partial College</v>
      </c>
      <c r="Q108" s="20" t="str">
        <v>Pacific</v>
      </c>
      <c r="R108" s="20" t="str">
        <v>Single</v>
      </c>
      <c r="S108" s="20" t="str">
        <v>$40k-60k</v>
      </c>
      <c r="T108" s="89">
        <v>0.51338953767716999</v>
      </c>
      <c r="U108" s="91">
        <v>74.272347615511379</v>
      </c>
      <c r="V108" s="49">
        <v>294</v>
      </c>
      <c r="W108" s="20">
        <v>3</v>
      </c>
      <c r="X108" s="20" t="str">
        <v>Hot</v>
      </c>
      <c r="Y108" s="20">
        <v>0</v>
      </c>
    </row>
    <row r="109" spans="1:25" ht="15" customHeight="1" x14ac:dyDescent="0.25">
      <c r="A109" s="20">
        <v>12821</v>
      </c>
      <c r="B109" s="91">
        <v>88.637662438758653</v>
      </c>
      <c r="C109" s="20" t="str">
        <v>Hot</v>
      </c>
      <c r="D109" s="20" t="str">
        <v>31-40</v>
      </c>
      <c r="E109" s="20" t="str">
        <v>0-1 Cars</v>
      </c>
      <c r="F109" s="20" t="str">
        <v>0-1 Miles</v>
      </c>
      <c r="G109" s="20" t="str">
        <v>Europe</v>
      </c>
      <c r="H109" s="3"/>
      <c r="I109" s="3"/>
      <c r="J109" s="3"/>
      <c r="K109" s="20">
        <v>18491</v>
      </c>
      <c r="L109" s="20" t="str">
        <v>2+ Cars</v>
      </c>
      <c r="M109" s="20" t="str">
        <v>41-50</v>
      </c>
      <c r="N109" s="20" t="str">
        <v>5-10 Miles</v>
      </c>
      <c r="O109" s="20">
        <v>2</v>
      </c>
      <c r="P109" s="20" t="str">
        <v>High School</v>
      </c>
      <c r="Q109" s="20" t="str">
        <v>Pacific</v>
      </c>
      <c r="R109" s="20" t="str">
        <v>Single</v>
      </c>
      <c r="S109" s="20" t="str">
        <v>$70k-90k</v>
      </c>
      <c r="T109" s="89">
        <v>0.45548422697751473</v>
      </c>
      <c r="U109" s="91">
        <v>46.196753565194129</v>
      </c>
      <c r="V109" s="49">
        <v>688</v>
      </c>
      <c r="W109" s="20">
        <v>7</v>
      </c>
      <c r="X109" s="20" t="str">
        <v>Cold</v>
      </c>
      <c r="Y109" s="20">
        <v>1</v>
      </c>
    </row>
    <row r="110" spans="1:25" ht="15" customHeight="1" x14ac:dyDescent="0.25">
      <c r="A110" s="20">
        <v>27198</v>
      </c>
      <c r="B110" s="91">
        <v>88.508971172134892</v>
      </c>
      <c r="C110" s="20" t="str">
        <v>Hot</v>
      </c>
      <c r="D110" s="20" t="str">
        <v>31-40</v>
      </c>
      <c r="E110" s="20" t="str">
        <v>0-1 Cars</v>
      </c>
      <c r="F110" s="20" t="str">
        <v>0-1 Miles</v>
      </c>
      <c r="G110" s="20" t="str">
        <v>North America</v>
      </c>
      <c r="H110" s="3"/>
      <c r="I110" s="3"/>
      <c r="J110" s="3"/>
      <c r="K110" s="20">
        <v>22707</v>
      </c>
      <c r="L110" s="20" t="str">
        <v>0-1 Cars</v>
      </c>
      <c r="M110" s="20" t="str">
        <v>25-30</v>
      </c>
      <c r="N110" s="20" t="str">
        <v>2-5 Miles</v>
      </c>
      <c r="O110" s="20">
        <v>0</v>
      </c>
      <c r="P110" s="20" t="str">
        <v>Partial College</v>
      </c>
      <c r="Q110" s="20" t="str">
        <v>Europe</v>
      </c>
      <c r="R110" s="20" t="str">
        <v>Single</v>
      </c>
      <c r="S110" s="20" t="str">
        <v>$10k-30k</v>
      </c>
      <c r="T110" s="89">
        <v>0.49399028666653072</v>
      </c>
      <c r="U110" s="91">
        <v>64.86655236678375</v>
      </c>
      <c r="V110" s="49">
        <v>424</v>
      </c>
      <c r="W110" s="20">
        <v>5</v>
      </c>
      <c r="X110" s="20" t="str">
        <v>Warm</v>
      </c>
      <c r="Y110" s="20">
        <v>0</v>
      </c>
    </row>
    <row r="111" spans="1:25" ht="15" customHeight="1" x14ac:dyDescent="0.25">
      <c r="A111" s="20">
        <v>15292</v>
      </c>
      <c r="B111" s="91">
        <v>88.219768212608713</v>
      </c>
      <c r="C111" s="20" t="str">
        <v>Hot</v>
      </c>
      <c r="D111" s="20" t="str">
        <v>31-40</v>
      </c>
      <c r="E111" s="20" t="str">
        <v>0-1 Cars</v>
      </c>
      <c r="F111" s="20" t="str">
        <v>1-2 Miles</v>
      </c>
      <c r="G111" s="20" t="str">
        <v>North America</v>
      </c>
      <c r="H111" s="3"/>
      <c r="I111" s="3"/>
      <c r="J111" s="3"/>
      <c r="K111" s="20">
        <v>20430</v>
      </c>
      <c r="L111" s="20" t="str">
        <v>2+ Cars</v>
      </c>
      <c r="M111" s="20" t="str">
        <v>51-60</v>
      </c>
      <c r="N111" s="20" t="str">
        <v>5-10 Miles</v>
      </c>
      <c r="O111" s="20">
        <v>2</v>
      </c>
      <c r="P111" s="20" t="str">
        <v>Partial College</v>
      </c>
      <c r="Q111" s="20" t="str">
        <v>Pacific</v>
      </c>
      <c r="R111" s="20" t="str">
        <v>Married</v>
      </c>
      <c r="S111" s="20" t="str">
        <v>$70k-90k</v>
      </c>
      <c r="T111" s="89">
        <v>0.44486123024966379</v>
      </c>
      <c r="U111" s="91">
        <v>41.046156148042769</v>
      </c>
      <c r="V111" s="49">
        <v>760</v>
      </c>
      <c r="W111" s="20">
        <v>8</v>
      </c>
      <c r="X111" s="20" t="str">
        <v>Cold</v>
      </c>
      <c r="Y111" s="20">
        <v>1</v>
      </c>
    </row>
    <row r="112" spans="1:25" ht="15" customHeight="1" x14ac:dyDescent="0.25">
      <c r="A112" s="20">
        <v>17702</v>
      </c>
      <c r="B112" s="91">
        <v>87.292593348812147</v>
      </c>
      <c r="C112" s="20" t="str">
        <v>Hot</v>
      </c>
      <c r="D112" s="20" t="str">
        <v>31-40</v>
      </c>
      <c r="E112" s="20" t="str">
        <v>0-1 Cars</v>
      </c>
      <c r="F112" s="20" t="str">
        <v>0-1 Miles</v>
      </c>
      <c r="G112" s="20" t="str">
        <v>Europe</v>
      </c>
      <c r="H112" s="3"/>
      <c r="I112" s="3"/>
      <c r="J112" s="3"/>
      <c r="K112" s="20">
        <v>27494</v>
      </c>
      <c r="L112" s="20" t="str">
        <v>2+ Cars</v>
      </c>
      <c r="M112" s="20" t="str">
        <v>51-60</v>
      </c>
      <c r="N112" s="20" t="str">
        <v>1-2 Miles</v>
      </c>
      <c r="O112" s="20">
        <v>2</v>
      </c>
      <c r="P112" s="20" t="str">
        <v>Partial College</v>
      </c>
      <c r="Q112" s="20" t="str">
        <v>Pacific</v>
      </c>
      <c r="R112" s="20" t="str">
        <v>Single</v>
      </c>
      <c r="S112" s="20" t="str">
        <v>$40k-60k</v>
      </c>
      <c r="T112" s="89">
        <v>0.46612973065188318</v>
      </c>
      <c r="U112" s="91">
        <v>51.358263554717574</v>
      </c>
      <c r="V112" s="49">
        <v>605</v>
      </c>
      <c r="W112" s="20">
        <v>7</v>
      </c>
      <c r="X112" s="20" t="str">
        <v>Cold</v>
      </c>
      <c r="Y112" s="20">
        <v>1</v>
      </c>
    </row>
    <row r="113" spans="1:25" ht="15" customHeight="1" x14ac:dyDescent="0.25">
      <c r="A113" s="20">
        <v>17703</v>
      </c>
      <c r="B113" s="91">
        <v>87.292593348812147</v>
      </c>
      <c r="C113" s="20" t="str">
        <v>Hot</v>
      </c>
      <c r="D113" s="20" t="str">
        <v>31-40</v>
      </c>
      <c r="E113" s="20" t="str">
        <v>0-1 Cars</v>
      </c>
      <c r="F113" s="20" t="str">
        <v>0-1 Miles</v>
      </c>
      <c r="G113" s="20" t="str">
        <v>Europe</v>
      </c>
      <c r="H113" s="3"/>
      <c r="I113" s="3"/>
      <c r="J113" s="3"/>
      <c r="K113" s="20">
        <v>26829</v>
      </c>
      <c r="L113" s="20" t="str">
        <v>0-1 Cars</v>
      </c>
      <c r="M113" s="20" t="str">
        <v>31-40</v>
      </c>
      <c r="N113" s="20" t="str">
        <v>0-1 Miles</v>
      </c>
      <c r="O113" s="20">
        <v>0</v>
      </c>
      <c r="P113" s="20" t="str">
        <v>Bachelors</v>
      </c>
      <c r="Q113" s="20" t="str">
        <v>Europe</v>
      </c>
      <c r="R113" s="20" t="str">
        <v>Married</v>
      </c>
      <c r="S113" s="20" t="str">
        <v>$40k-60k</v>
      </c>
      <c r="T113" s="89">
        <v>0.54301769146254275</v>
      </c>
      <c r="U113" s="91">
        <v>88.637662438758653</v>
      </c>
      <c r="V113" s="49">
        <v>90</v>
      </c>
      <c r="W113" s="20">
        <v>1</v>
      </c>
      <c r="X113" s="20" t="str">
        <v>Hot</v>
      </c>
      <c r="Y113" s="20">
        <v>1</v>
      </c>
    </row>
    <row r="114" spans="1:25" ht="15" customHeight="1" x14ac:dyDescent="0.25">
      <c r="A114" s="20">
        <v>11823</v>
      </c>
      <c r="B114" s="91">
        <v>86.612456282727408</v>
      </c>
      <c r="C114" s="20" t="str">
        <v>Hot</v>
      </c>
      <c r="D114" s="20" t="str">
        <v>31-40</v>
      </c>
      <c r="E114" s="20" t="str">
        <v>0-1 Cars</v>
      </c>
      <c r="F114" s="20" t="str">
        <v>2-5 Miles</v>
      </c>
      <c r="G114" s="20" t="str">
        <v>North America</v>
      </c>
      <c r="H114" s="3"/>
      <c r="I114" s="3"/>
      <c r="J114" s="3"/>
      <c r="K114" s="20">
        <v>28395</v>
      </c>
      <c r="L114" s="20" t="str">
        <v>0-1 Cars</v>
      </c>
      <c r="M114" s="20" t="str">
        <v>31-40</v>
      </c>
      <c r="N114" s="20" t="str">
        <v>0-1 Miles</v>
      </c>
      <c r="O114" s="20">
        <v>0</v>
      </c>
      <c r="P114" s="20" t="str">
        <v>Bachelors</v>
      </c>
      <c r="Q114" s="20" t="str">
        <v>Europe</v>
      </c>
      <c r="R114" s="20" t="str">
        <v>Single</v>
      </c>
      <c r="S114" s="20" t="str">
        <v>$40k-60k</v>
      </c>
      <c r="T114" s="89">
        <v>0.55269573417036788</v>
      </c>
      <c r="U114" s="91">
        <v>93.330095567662468</v>
      </c>
      <c r="V114" s="49">
        <v>23</v>
      </c>
      <c r="W114" s="20">
        <v>1</v>
      </c>
      <c r="X114" s="20" t="str">
        <v>Hot</v>
      </c>
      <c r="Y114" s="20">
        <v>1</v>
      </c>
    </row>
    <row r="115" spans="1:25" ht="15" customHeight="1" x14ac:dyDescent="0.25">
      <c r="A115" s="20">
        <v>12629</v>
      </c>
      <c r="B115" s="91">
        <v>86.521199581589144</v>
      </c>
      <c r="C115" s="20" t="str">
        <v>Hot</v>
      </c>
      <c r="D115" s="20" t="str">
        <v>31-40</v>
      </c>
      <c r="E115" s="20" t="str">
        <v>0-1 Cars</v>
      </c>
      <c r="F115" s="20" t="str">
        <v>0-1 Miles</v>
      </c>
      <c r="G115" s="20" t="str">
        <v>Europe</v>
      </c>
      <c r="H115" s="3"/>
      <c r="I115" s="3"/>
      <c r="J115" s="3"/>
      <c r="K115" s="20">
        <v>21006</v>
      </c>
      <c r="L115" s="20" t="str">
        <v>0-1 Cars</v>
      </c>
      <c r="M115" s="20" t="str">
        <v>41-50</v>
      </c>
      <c r="N115" s="20" t="str">
        <v>0-1 Miles</v>
      </c>
      <c r="O115" s="20">
        <v>1</v>
      </c>
      <c r="P115" s="20" t="str">
        <v>Partial College</v>
      </c>
      <c r="Q115" s="20" t="str">
        <v>Europe</v>
      </c>
      <c r="R115" s="20" t="str">
        <v>Single</v>
      </c>
      <c r="S115" s="20" t="str">
        <v>$10k-30k</v>
      </c>
      <c r="T115" s="89">
        <v>0.51562216546918804</v>
      </c>
      <c r="U115" s="91">
        <v>75.354845072079357</v>
      </c>
      <c r="V115" s="49">
        <v>281</v>
      </c>
      <c r="W115" s="20">
        <v>3</v>
      </c>
      <c r="X115" s="20" t="str">
        <v>Hot</v>
      </c>
      <c r="Y115" s="20">
        <v>1</v>
      </c>
    </row>
    <row r="116" spans="1:25" ht="15" customHeight="1" x14ac:dyDescent="0.25">
      <c r="A116" s="20">
        <v>14785</v>
      </c>
      <c r="B116" s="91">
        <v>86.354512449635706</v>
      </c>
      <c r="C116" s="20" t="str">
        <v>Hot</v>
      </c>
      <c r="D116" s="20" t="str">
        <v>31-40</v>
      </c>
      <c r="E116" s="20" t="str">
        <v>0-1 Cars</v>
      </c>
      <c r="F116" s="20" t="str">
        <v>1-2 Miles</v>
      </c>
      <c r="G116" s="20" t="str">
        <v>Europe</v>
      </c>
      <c r="H116" s="3"/>
      <c r="I116" s="3"/>
      <c r="J116" s="3"/>
      <c r="K116" s="20">
        <v>14682</v>
      </c>
      <c r="L116" s="20" t="str">
        <v>0-1 Cars</v>
      </c>
      <c r="M116" s="20" t="str">
        <v>31-40</v>
      </c>
      <c r="N116" s="20" t="str">
        <v>5-10 Miles</v>
      </c>
      <c r="O116" s="20">
        <v>0</v>
      </c>
      <c r="P116" s="20" t="str">
        <v>Bachelors</v>
      </c>
      <c r="Q116" s="20" t="str">
        <v>Pacific</v>
      </c>
      <c r="R116" s="20" t="str">
        <v>Single</v>
      </c>
      <c r="S116" s="20" t="str">
        <v>$70k-90k</v>
      </c>
      <c r="T116" s="89">
        <v>0.53667259067848294</v>
      </c>
      <c r="U116" s="91">
        <v>85.561217952593864</v>
      </c>
      <c r="V116" s="49">
        <v>130</v>
      </c>
      <c r="W116" s="20">
        <v>2</v>
      </c>
      <c r="X116" s="20" t="str">
        <v>Hot</v>
      </c>
      <c r="Y116" s="20">
        <v>0</v>
      </c>
    </row>
    <row r="117" spans="1:25" ht="15" customHeight="1" x14ac:dyDescent="0.25">
      <c r="A117" s="3"/>
      <c r="B117" s="3"/>
      <c r="C117" s="3"/>
      <c r="D117" s="3"/>
      <c r="E117" s="3"/>
      <c r="F117" s="3"/>
      <c r="G117" s="3"/>
      <c r="H117" s="3"/>
      <c r="I117" s="3"/>
      <c r="J117" s="3"/>
      <c r="K117" s="20">
        <v>17650</v>
      </c>
      <c r="L117" s="20" t="str">
        <v>2+ Cars</v>
      </c>
      <c r="M117" s="20" t="str">
        <v>31-40</v>
      </c>
      <c r="N117" s="20" t="str">
        <v>1-2 Miles</v>
      </c>
      <c r="O117" s="20">
        <v>2</v>
      </c>
      <c r="P117" s="20" t="str">
        <v>Partial College</v>
      </c>
      <c r="Q117" s="20" t="str">
        <v>Europe</v>
      </c>
      <c r="R117" s="20" t="str">
        <v>Single</v>
      </c>
      <c r="S117" s="20" t="str">
        <v>$40k-60k</v>
      </c>
      <c r="T117" s="89">
        <v>0.48238826661494677</v>
      </c>
      <c r="U117" s="91">
        <v>59.241272039363778</v>
      </c>
      <c r="V117" s="49">
        <v>496</v>
      </c>
      <c r="W117" s="20">
        <v>5</v>
      </c>
      <c r="X117" s="20" t="str">
        <v>Warm</v>
      </c>
      <c r="Y117" s="20">
        <v>0</v>
      </c>
    </row>
    <row r="118" spans="1:25" ht="15" customHeight="1" x14ac:dyDescent="0.25">
      <c r="A118" s="3"/>
      <c r="B118" s="3"/>
      <c r="C118" s="3"/>
      <c r="D118" s="3"/>
      <c r="E118" s="3"/>
      <c r="F118" s="3"/>
      <c r="G118" s="3"/>
      <c r="H118" s="3"/>
      <c r="I118" s="3"/>
      <c r="J118" s="3"/>
      <c r="K118" s="20">
        <v>29191</v>
      </c>
      <c r="L118" s="20" t="str">
        <v>0-1 Cars</v>
      </c>
      <c r="M118" s="20" t="str">
        <v>31-40</v>
      </c>
      <c r="N118" s="20" t="str">
        <v>0-1 Miles</v>
      </c>
      <c r="O118" s="20">
        <v>1</v>
      </c>
      <c r="P118" s="20" t="str">
        <v>Graduate Degree</v>
      </c>
      <c r="Q118" s="20" t="str">
        <v>Pacific</v>
      </c>
      <c r="R118" s="20" t="str">
        <v>Single</v>
      </c>
      <c r="S118" s="20" t="str">
        <v>$100k+</v>
      </c>
      <c r="T118" s="89">
        <v>0.56559919928116875</v>
      </c>
      <c r="U118" s="91">
        <v>99.586386120567383</v>
      </c>
      <c r="V118" s="49">
        <v>2</v>
      </c>
      <c r="W118" s="20">
        <v>1</v>
      </c>
      <c r="X118" s="20" t="str">
        <v>Hot</v>
      </c>
      <c r="Y118" s="20">
        <v>1</v>
      </c>
    </row>
    <row r="119" spans="1:25" ht="15" customHeight="1" x14ac:dyDescent="0.25">
      <c r="A119" s="3"/>
      <c r="B119" s="3"/>
      <c r="C119" s="3"/>
      <c r="D119" s="3"/>
      <c r="E119" s="3"/>
      <c r="F119" s="3"/>
      <c r="G119" s="3"/>
      <c r="H119" s="3"/>
      <c r="I119" s="3"/>
      <c r="J119" s="3"/>
      <c r="K119" s="20">
        <v>15030</v>
      </c>
      <c r="L119" s="20" t="str">
        <v>0-1 Cars</v>
      </c>
      <c r="M119" s="20" t="str">
        <v>25-30</v>
      </c>
      <c r="N119" s="20" t="str">
        <v>0-1 Miles</v>
      </c>
      <c r="O119" s="20">
        <v>0</v>
      </c>
      <c r="P119" s="20" t="str">
        <v>Bachelors</v>
      </c>
      <c r="Q119" s="20" t="str">
        <v>Pacific</v>
      </c>
      <c r="R119" s="20" t="str">
        <v>Married</v>
      </c>
      <c r="S119" s="20" t="str">
        <v>$10k-30k</v>
      </c>
      <c r="T119" s="89">
        <v>0.49997554179478271</v>
      </c>
      <c r="U119" s="91">
        <v>67.76852441801708</v>
      </c>
      <c r="V119" s="49">
        <v>374</v>
      </c>
      <c r="W119" s="20">
        <v>4</v>
      </c>
      <c r="X119" s="20" t="str">
        <v>Warm</v>
      </c>
      <c r="Y119" s="20">
        <v>1</v>
      </c>
    </row>
    <row r="120" spans="1:25" ht="15" customHeight="1" x14ac:dyDescent="0.25">
      <c r="A120" s="3"/>
      <c r="B120" s="3"/>
      <c r="C120" s="3"/>
      <c r="D120" s="3"/>
      <c r="E120" s="3"/>
      <c r="F120" s="3"/>
      <c r="G120" s="3"/>
      <c r="H120" s="3"/>
      <c r="I120" s="3"/>
      <c r="J120" s="3"/>
      <c r="K120" s="20">
        <v>24140</v>
      </c>
      <c r="L120" s="20" t="str">
        <v>0-1 Cars</v>
      </c>
      <c r="M120" s="20" t="str">
        <v>25-30</v>
      </c>
      <c r="N120" s="20" t="str">
        <v>0-1 Miles</v>
      </c>
      <c r="O120" s="20">
        <v>0</v>
      </c>
      <c r="P120" s="20" t="str">
        <v>Graduate Degree</v>
      </c>
      <c r="Q120" s="20" t="str">
        <v>Europe</v>
      </c>
      <c r="R120" s="20" t="str">
        <v>Single</v>
      </c>
      <c r="S120" s="20" t="str">
        <v>$10k-30k</v>
      </c>
      <c r="T120" s="89">
        <v>0.49949279106247041</v>
      </c>
      <c r="U120" s="91">
        <v>67.534461023414252</v>
      </c>
      <c r="V120" s="49">
        <v>378</v>
      </c>
      <c r="W120" s="20">
        <v>4</v>
      </c>
      <c r="X120" s="20" t="str">
        <v>Warm</v>
      </c>
      <c r="Y120" s="20">
        <v>1</v>
      </c>
    </row>
    <row r="121" spans="1:25" ht="15" customHeight="1" x14ac:dyDescent="0.25">
      <c r="A121" s="3"/>
      <c r="B121" s="3"/>
      <c r="C121" s="3"/>
      <c r="D121" s="3"/>
      <c r="E121" s="3"/>
      <c r="F121" s="3"/>
      <c r="G121" s="3"/>
      <c r="H121" s="3"/>
      <c r="I121" s="3"/>
      <c r="J121" s="3"/>
      <c r="K121" s="20">
        <v>22496</v>
      </c>
      <c r="L121" s="20" t="str">
        <v>2+ Cars</v>
      </c>
      <c r="M121" s="20" t="str">
        <v>41-50</v>
      </c>
      <c r="N121" s="20" t="str">
        <v>0-1 Miles</v>
      </c>
      <c r="O121" s="20">
        <v>1</v>
      </c>
      <c r="P121" s="20" t="str">
        <v>Bachelors</v>
      </c>
      <c r="Q121" s="20" t="str">
        <v>Europe</v>
      </c>
      <c r="R121" s="20" t="str">
        <v>Married</v>
      </c>
      <c r="S121" s="20" t="str">
        <v>$10k-30k</v>
      </c>
      <c r="T121" s="89">
        <v>0.47999003144959201</v>
      </c>
      <c r="U121" s="91">
        <v>58.078479263949198</v>
      </c>
      <c r="V121" s="49">
        <v>516</v>
      </c>
      <c r="W121" s="20">
        <v>6</v>
      </c>
      <c r="X121" s="20" t="str">
        <v>Warm</v>
      </c>
      <c r="Y121" s="20">
        <v>0</v>
      </c>
    </row>
    <row r="122" spans="1:25" ht="15" customHeight="1" x14ac:dyDescent="0.25">
      <c r="A122" s="3"/>
      <c r="B122" s="3"/>
      <c r="C122" s="3"/>
      <c r="D122" s="3"/>
      <c r="E122" s="3"/>
      <c r="F122" s="3"/>
      <c r="G122" s="3"/>
      <c r="H122" s="3"/>
      <c r="I122" s="3"/>
      <c r="J122" s="3"/>
      <c r="K122" s="20">
        <v>24065</v>
      </c>
      <c r="L122" s="20" t="str">
        <v>0-1 Cars</v>
      </c>
      <c r="M122" s="20" t="str">
        <v>31-40</v>
      </c>
      <c r="N122" s="20" t="str">
        <v>0-1 Miles</v>
      </c>
      <c r="O122" s="20">
        <v>0</v>
      </c>
      <c r="P122" s="20" t="str">
        <v>High School</v>
      </c>
      <c r="Q122" s="20" t="str">
        <v>Europe</v>
      </c>
      <c r="R122" s="20" t="str">
        <v>Single</v>
      </c>
      <c r="S122" s="20" t="str">
        <v>$10k-30k</v>
      </c>
      <c r="T122" s="89">
        <v>0.52815731687039791</v>
      </c>
      <c r="U122" s="91">
        <v>81.432557424320109</v>
      </c>
      <c r="V122" s="49">
        <v>209</v>
      </c>
      <c r="W122" s="20">
        <v>3</v>
      </c>
      <c r="X122" s="20" t="str">
        <v>Hot</v>
      </c>
      <c r="Y122" s="20">
        <v>1</v>
      </c>
    </row>
    <row r="123" spans="1:25" ht="15" customHeight="1" x14ac:dyDescent="0.25">
      <c r="A123" s="3"/>
      <c r="B123" s="3"/>
      <c r="C123" s="3"/>
      <c r="D123" s="3"/>
      <c r="E123" s="3"/>
      <c r="F123" s="3"/>
      <c r="G123" s="3"/>
      <c r="H123" s="3"/>
      <c r="I123" s="3"/>
      <c r="J123" s="3"/>
      <c r="K123" s="20">
        <v>19914</v>
      </c>
      <c r="L123" s="20" t="str">
        <v>2+ Cars</v>
      </c>
      <c r="M123" s="20" t="str">
        <v>61+</v>
      </c>
      <c r="N123" s="20" t="str">
        <v>2-5 Miles</v>
      </c>
      <c r="O123" s="20">
        <v>5</v>
      </c>
      <c r="P123" s="20" t="str">
        <v>Bachelors</v>
      </c>
      <c r="Q123" s="20" t="str">
        <v>Europe</v>
      </c>
      <c r="R123" s="20" t="str">
        <v>Married</v>
      </c>
      <c r="S123" s="20" t="str">
        <v>$70k-90k</v>
      </c>
      <c r="T123" s="89">
        <v>0.41815063207234093</v>
      </c>
      <c r="U123" s="91">
        <v>28.095428447826404</v>
      </c>
      <c r="V123" s="49">
        <v>906</v>
      </c>
      <c r="W123" s="20">
        <v>10</v>
      </c>
      <c r="X123" s="20" t="str">
        <v>Cold</v>
      </c>
      <c r="Y123" s="20">
        <v>0</v>
      </c>
    </row>
    <row r="124" spans="1:25" ht="15" customHeight="1" x14ac:dyDescent="0.25">
      <c r="A124" s="3"/>
      <c r="B124" s="3"/>
      <c r="C124" s="3"/>
      <c r="D124" s="3"/>
      <c r="E124" s="3"/>
      <c r="F124" s="3"/>
      <c r="G124" s="3"/>
      <c r="H124" s="3"/>
      <c r="I124" s="3"/>
      <c r="J124" s="3"/>
      <c r="K124" s="20">
        <v>12871</v>
      </c>
      <c r="L124" s="20" t="str">
        <v>0-1 Cars</v>
      </c>
      <c r="M124" s="20" t="str">
        <v>25-30</v>
      </c>
      <c r="N124" s="20" t="str">
        <v>2-5 Miles</v>
      </c>
      <c r="O124" s="20">
        <v>0</v>
      </c>
      <c r="P124" s="20" t="str">
        <v>Partial College</v>
      </c>
      <c r="Q124" s="20" t="str">
        <v>Europe</v>
      </c>
      <c r="R124" s="20" t="str">
        <v>Single</v>
      </c>
      <c r="S124" s="20" t="str">
        <v>$10k-30k</v>
      </c>
      <c r="T124" s="89">
        <v>0.49399028666653072</v>
      </c>
      <c r="U124" s="91">
        <v>64.86655236678375</v>
      </c>
      <c r="V124" s="49">
        <v>420</v>
      </c>
      <c r="W124" s="20">
        <v>5</v>
      </c>
      <c r="X124" s="20" t="str">
        <v>Warm</v>
      </c>
      <c r="Y124" s="20">
        <v>0</v>
      </c>
    </row>
    <row r="125" spans="1:25" ht="15" customHeight="1" x14ac:dyDescent="0.25">
      <c r="A125" s="3"/>
      <c r="B125" s="3"/>
      <c r="C125" s="3"/>
      <c r="D125" s="3"/>
      <c r="E125" s="3"/>
      <c r="F125" s="3"/>
      <c r="G125" s="3"/>
      <c r="H125" s="3"/>
      <c r="I125" s="3"/>
      <c r="J125" s="3"/>
      <c r="K125" s="20">
        <v>22988</v>
      </c>
      <c r="L125" s="20" t="str">
        <v>2+ Cars</v>
      </c>
      <c r="M125" s="20" t="str">
        <v>61+</v>
      </c>
      <c r="N125" s="20" t="str">
        <v>5-10 Miles</v>
      </c>
      <c r="O125" s="20">
        <v>2</v>
      </c>
      <c r="P125" s="20" t="str">
        <v>Bachelors</v>
      </c>
      <c r="Q125" s="20" t="str">
        <v>Pacific</v>
      </c>
      <c r="R125" s="20" t="str">
        <v>Married</v>
      </c>
      <c r="S125" s="20" t="str">
        <v>$40k-60k</v>
      </c>
      <c r="T125" s="89">
        <v>0.43592300088880614</v>
      </c>
      <c r="U125" s="91">
        <v>36.712424128786722</v>
      </c>
      <c r="V125" s="49">
        <v>801</v>
      </c>
      <c r="W125" s="20">
        <v>9</v>
      </c>
      <c r="X125" s="20" t="str">
        <v>Cold</v>
      </c>
      <c r="Y125" s="20">
        <v>1</v>
      </c>
    </row>
    <row r="126" spans="1:25" ht="15" customHeight="1" x14ac:dyDescent="0.25">
      <c r="A126" s="3"/>
      <c r="B126" s="3"/>
      <c r="C126" s="3"/>
      <c r="D126" s="3"/>
      <c r="E126" s="3"/>
      <c r="F126" s="3"/>
      <c r="G126" s="3"/>
      <c r="H126" s="3"/>
      <c r="I126" s="3"/>
      <c r="J126" s="3"/>
      <c r="K126" s="20">
        <v>15922</v>
      </c>
      <c r="L126" s="20" t="str">
        <v>2+ Cars</v>
      </c>
      <c r="M126" s="20" t="str">
        <v>41-50</v>
      </c>
      <c r="N126" s="20" t="str">
        <v>0-1 Miles</v>
      </c>
      <c r="O126" s="20">
        <v>2</v>
      </c>
      <c r="P126" s="20" t="str">
        <v>High School</v>
      </c>
      <c r="Q126" s="20" t="str">
        <v>Europe</v>
      </c>
      <c r="R126" s="20" t="str">
        <v>Married</v>
      </c>
      <c r="S126" s="20" t="str">
        <v>$100k+</v>
      </c>
      <c r="T126" s="89">
        <v>0.45801112514381392</v>
      </c>
      <c r="U126" s="91">
        <v>47.421929050245623</v>
      </c>
      <c r="V126" s="49">
        <v>660</v>
      </c>
      <c r="W126" s="20">
        <v>7</v>
      </c>
      <c r="X126" s="20" t="str">
        <v>Cold</v>
      </c>
      <c r="Y126" s="20">
        <v>0</v>
      </c>
    </row>
    <row r="127" spans="1:25" ht="15" customHeight="1" x14ac:dyDescent="0.25">
      <c r="A127" s="3"/>
      <c r="B127" s="3"/>
      <c r="C127" s="3"/>
      <c r="D127" s="3"/>
      <c r="E127" s="3"/>
      <c r="F127" s="3"/>
      <c r="G127" s="3"/>
      <c r="H127" s="3"/>
      <c r="I127" s="3"/>
      <c r="J127" s="3"/>
      <c r="K127" s="20">
        <v>12344</v>
      </c>
      <c r="L127" s="20" t="str">
        <v>2+ Cars</v>
      </c>
      <c r="M127" s="20" t="str">
        <v>31-40</v>
      </c>
      <c r="N127" s="20" t="str">
        <v>10+ Miles</v>
      </c>
      <c r="O127" s="20">
        <v>0</v>
      </c>
      <c r="P127" s="20" t="str">
        <v>Bachelors</v>
      </c>
      <c r="Q127" s="20" t="str">
        <v>Pacific</v>
      </c>
      <c r="R127" s="20" t="str">
        <v>Single</v>
      </c>
      <c r="S127" s="20" t="str">
        <v>$70k-90k</v>
      </c>
      <c r="T127" s="89">
        <v>0.48374381756216484</v>
      </c>
      <c r="U127" s="91">
        <v>59.898515695407994</v>
      </c>
      <c r="V127" s="49">
        <v>483</v>
      </c>
      <c r="W127" s="20">
        <v>5</v>
      </c>
      <c r="X127" s="20" t="str">
        <v>Warm</v>
      </c>
      <c r="Y127" s="20">
        <v>0</v>
      </c>
    </row>
    <row r="128" spans="1:25" ht="15" customHeight="1" x14ac:dyDescent="0.25">
      <c r="A128" s="3"/>
      <c r="B128" s="3"/>
      <c r="C128" s="3"/>
      <c r="D128" s="3"/>
      <c r="E128" s="3"/>
      <c r="F128" s="3"/>
      <c r="G128" s="3"/>
      <c r="H128" s="3"/>
      <c r="I128" s="3"/>
      <c r="J128" s="3"/>
      <c r="K128" s="20">
        <v>23627</v>
      </c>
      <c r="L128" s="20" t="str">
        <v>2+ Cars</v>
      </c>
      <c r="M128" s="20" t="str">
        <v>51-60</v>
      </c>
      <c r="N128" s="20" t="str">
        <v>5-10 Miles</v>
      </c>
      <c r="O128" s="20">
        <v>3</v>
      </c>
      <c r="P128" s="20" t="str">
        <v>Partial College</v>
      </c>
      <c r="Q128" s="20" t="str">
        <v>Europe</v>
      </c>
      <c r="R128" s="20" t="str">
        <v>Single</v>
      </c>
      <c r="S128" s="20" t="str">
        <v>$100k+</v>
      </c>
      <c r="T128" s="89">
        <v>0.45623056051316641</v>
      </c>
      <c r="U128" s="91">
        <v>46.558616011313767</v>
      </c>
      <c r="V128" s="49">
        <v>683</v>
      </c>
      <c r="W128" s="20">
        <v>7</v>
      </c>
      <c r="X128" s="20" t="str">
        <v>Cold</v>
      </c>
      <c r="Y128" s="20">
        <v>0</v>
      </c>
    </row>
    <row r="129" spans="1:25" ht="15" customHeight="1" x14ac:dyDescent="0.25">
      <c r="A129" s="3"/>
      <c r="B129" s="3"/>
      <c r="C129" s="3"/>
      <c r="D129" s="3"/>
      <c r="E129" s="3"/>
      <c r="F129" s="3"/>
      <c r="G129" s="3"/>
      <c r="H129" s="3"/>
      <c r="I129" s="3"/>
      <c r="J129" s="3"/>
      <c r="K129" s="20">
        <v>27775</v>
      </c>
      <c r="L129" s="20" t="str">
        <v>0-1 Cars</v>
      </c>
      <c r="M129" s="20" t="str">
        <v>31-40</v>
      </c>
      <c r="N129" s="20" t="str">
        <v>0-1 Miles</v>
      </c>
      <c r="O129" s="20">
        <v>0</v>
      </c>
      <c r="P129" s="20" t="str">
        <v>Bachelors</v>
      </c>
      <c r="Q129" s="20" t="str">
        <v>Europe</v>
      </c>
      <c r="R129" s="20" t="str">
        <v>Single</v>
      </c>
      <c r="S129" s="20" t="str">
        <v>$40k-60k</v>
      </c>
      <c r="T129" s="89">
        <v>0.55269573417036788</v>
      </c>
      <c r="U129" s="91">
        <v>93.330095567662468</v>
      </c>
      <c r="V129" s="49">
        <v>22</v>
      </c>
      <c r="W129" s="20">
        <v>1</v>
      </c>
      <c r="X129" s="20" t="str">
        <v>Hot</v>
      </c>
      <c r="Y129" s="20">
        <v>1</v>
      </c>
    </row>
    <row r="130" spans="1:25" ht="15" customHeight="1" x14ac:dyDescent="0.25">
      <c r="A130" s="3"/>
      <c r="B130" s="3"/>
      <c r="C130" s="3"/>
      <c r="D130" s="3"/>
      <c r="E130" s="3"/>
      <c r="F130" s="3"/>
      <c r="G130" s="3"/>
      <c r="H130" s="3"/>
      <c r="I130" s="3"/>
      <c r="J130" s="3"/>
      <c r="K130" s="20">
        <v>29301</v>
      </c>
      <c r="L130" s="20" t="str">
        <v>2+ Cars</v>
      </c>
      <c r="M130" s="20" t="str">
        <v>31-40</v>
      </c>
      <c r="N130" s="20" t="str">
        <v>1-2 Miles</v>
      </c>
      <c r="O130" s="20">
        <v>5</v>
      </c>
      <c r="P130" s="20" t="str">
        <v>Bachelors</v>
      </c>
      <c r="Q130" s="20" t="str">
        <v>Pacific</v>
      </c>
      <c r="R130" s="20" t="str">
        <v>Married</v>
      </c>
      <c r="S130" s="20" t="str">
        <v>$70k-90k</v>
      </c>
      <c r="T130" s="89">
        <v>0.45754314229546306</v>
      </c>
      <c r="U130" s="91">
        <v>47.195025916248824</v>
      </c>
      <c r="V130" s="49">
        <v>669</v>
      </c>
      <c r="W130" s="20">
        <v>7</v>
      </c>
      <c r="X130" s="20" t="str">
        <v>Cold</v>
      </c>
      <c r="Y130" s="20">
        <v>0</v>
      </c>
    </row>
    <row r="131" spans="1:25" ht="15" customHeight="1" x14ac:dyDescent="0.25">
      <c r="A131" s="3"/>
      <c r="B131" s="3"/>
      <c r="C131" s="3"/>
      <c r="D131" s="3"/>
      <c r="E131" s="3"/>
      <c r="F131" s="3"/>
      <c r="G131" s="3"/>
      <c r="H131" s="3"/>
      <c r="I131" s="3"/>
      <c r="J131" s="3"/>
      <c r="K131" s="20">
        <v>12716</v>
      </c>
      <c r="L131" s="20" t="str">
        <v>0-1 Cars</v>
      </c>
      <c r="M131" s="20" t="str">
        <v>31-40</v>
      </c>
      <c r="N131" s="20" t="str">
        <v>2-5 Miles</v>
      </c>
      <c r="O131" s="20">
        <v>0</v>
      </c>
      <c r="P131" s="20" t="str">
        <v>Partial College</v>
      </c>
      <c r="Q131" s="20" t="str">
        <v>Europe</v>
      </c>
      <c r="R131" s="20" t="str">
        <v>Single</v>
      </c>
      <c r="S131" s="20" t="str">
        <v>$10k-30k</v>
      </c>
      <c r="T131" s="89">
        <v>0.53487751453984622</v>
      </c>
      <c r="U131" s="91">
        <v>84.69086895785</v>
      </c>
      <c r="V131" s="49">
        <v>149</v>
      </c>
      <c r="W131" s="20">
        <v>2</v>
      </c>
      <c r="X131" s="20" t="str">
        <v>Hot</v>
      </c>
      <c r="Y131" s="20">
        <v>0</v>
      </c>
    </row>
    <row r="132" spans="1:25" ht="15" customHeight="1" x14ac:dyDescent="0.25">
      <c r="A132" s="3"/>
      <c r="B132" s="3"/>
      <c r="C132" s="3"/>
      <c r="D132" s="3"/>
      <c r="E132" s="3"/>
      <c r="F132" s="3"/>
      <c r="G132" s="3"/>
      <c r="H132" s="3"/>
      <c r="I132" s="3"/>
      <c r="J132" s="3"/>
      <c r="K132" s="20">
        <v>12472</v>
      </c>
      <c r="L132" s="20" t="str">
        <v>0-1 Cars</v>
      </c>
      <c r="M132" s="20" t="str">
        <v>31-40</v>
      </c>
      <c r="N132" s="20" t="str">
        <v>2-5 Miles</v>
      </c>
      <c r="O132" s="20">
        <v>1</v>
      </c>
      <c r="P132" s="20" t="str">
        <v>Bachelors</v>
      </c>
      <c r="Q132" s="20" t="str">
        <v>Europe</v>
      </c>
      <c r="R132" s="20" t="str">
        <v>Married</v>
      </c>
      <c r="S132" s="20" t="str">
        <v>$10k-30k</v>
      </c>
      <c r="T132" s="89">
        <v>0.54750036911804567</v>
      </c>
      <c r="U132" s="91">
        <v>90.811104504670524</v>
      </c>
      <c r="V132" s="49">
        <v>55</v>
      </c>
      <c r="W132" s="20">
        <v>1</v>
      </c>
      <c r="X132" s="20" t="str">
        <v>Hot</v>
      </c>
      <c r="Y132" s="20">
        <v>0</v>
      </c>
    </row>
    <row r="133" spans="1:25" ht="15" customHeight="1" x14ac:dyDescent="0.25">
      <c r="A133" s="3"/>
      <c r="B133" s="3"/>
      <c r="C133" s="3"/>
      <c r="D133" s="3"/>
      <c r="E133" s="3"/>
      <c r="F133" s="3"/>
      <c r="G133" s="3"/>
      <c r="H133" s="3"/>
      <c r="I133" s="3"/>
      <c r="J133" s="3"/>
      <c r="K133" s="20">
        <v>20970</v>
      </c>
      <c r="L133" s="20" t="str">
        <v>0-1 Cars</v>
      </c>
      <c r="M133" s="20" t="str">
        <v>51-60</v>
      </c>
      <c r="N133" s="20" t="str">
        <v>0-1 Miles</v>
      </c>
      <c r="O133" s="20">
        <v>2</v>
      </c>
      <c r="P133" s="20" t="str">
        <v>Partial College</v>
      </c>
      <c r="Q133" s="20" t="str">
        <v>Europe</v>
      </c>
      <c r="R133" s="20" t="str">
        <v>Single</v>
      </c>
      <c r="S133" s="20" t="str">
        <v>$10k-30k</v>
      </c>
      <c r="T133" s="89">
        <v>0.49845048312883361</v>
      </c>
      <c r="U133" s="91">
        <v>67.029094346910327</v>
      </c>
      <c r="V133" s="49">
        <v>387</v>
      </c>
      <c r="W133" s="20">
        <v>4</v>
      </c>
      <c r="X133" s="20" t="str">
        <v>Warm</v>
      </c>
      <c r="Y133" s="20">
        <v>1</v>
      </c>
    </row>
    <row r="134" spans="1:25" ht="15" customHeight="1" x14ac:dyDescent="0.25">
      <c r="A134" s="3"/>
      <c r="B134" s="3"/>
      <c r="C134" s="3"/>
      <c r="D134" s="3"/>
      <c r="E134" s="3"/>
      <c r="F134" s="3"/>
      <c r="G134" s="3"/>
      <c r="H134" s="3"/>
      <c r="I134" s="3"/>
      <c r="J134" s="3"/>
      <c r="K134" s="20">
        <v>26818</v>
      </c>
      <c r="L134" s="20" t="str">
        <v>0-1 Cars</v>
      </c>
      <c r="M134" s="20" t="str">
        <v>31-40</v>
      </c>
      <c r="N134" s="20" t="str">
        <v>0-1 Miles</v>
      </c>
      <c r="O134" s="20">
        <v>3</v>
      </c>
      <c r="P134" s="20" t="str">
        <v>High School</v>
      </c>
      <c r="Q134" s="20" t="str">
        <v>Europe</v>
      </c>
      <c r="R134" s="20" t="str">
        <v>Single</v>
      </c>
      <c r="S134" s="20" t="str">
        <v>$10k-30k</v>
      </c>
      <c r="T134" s="89">
        <v>0.5336406222405603</v>
      </c>
      <c r="U134" s="91">
        <v>84.091157365612204</v>
      </c>
      <c r="V134" s="49">
        <v>170</v>
      </c>
      <c r="W134" s="20">
        <v>2</v>
      </c>
      <c r="X134" s="20" t="str">
        <v>Hot</v>
      </c>
      <c r="Y134" s="20">
        <v>1</v>
      </c>
    </row>
    <row r="135" spans="1:25" ht="15" customHeight="1" x14ac:dyDescent="0.25">
      <c r="A135" s="3"/>
      <c r="B135" s="3"/>
      <c r="C135" s="3"/>
      <c r="D135" s="3"/>
      <c r="E135" s="3"/>
      <c r="F135" s="3"/>
      <c r="G135" s="3"/>
      <c r="H135" s="3"/>
      <c r="I135" s="3"/>
      <c r="J135" s="3"/>
      <c r="K135" s="20">
        <v>12993</v>
      </c>
      <c r="L135" s="20" t="str">
        <v>0-1 Cars</v>
      </c>
      <c r="M135" s="20" t="str">
        <v>31-40</v>
      </c>
      <c r="N135" s="20" t="str">
        <v>2-5 Miles</v>
      </c>
      <c r="O135" s="20">
        <v>2</v>
      </c>
      <c r="P135" s="20" t="str">
        <v>Bachelors</v>
      </c>
      <c r="Q135" s="20" t="str">
        <v>Pacific</v>
      </c>
      <c r="R135" s="20" t="str">
        <v>Married</v>
      </c>
      <c r="S135" s="20" t="str">
        <v>$40k-60k</v>
      </c>
      <c r="T135" s="89">
        <v>0.55172316093555351</v>
      </c>
      <c r="U135" s="91">
        <v>92.85854000574723</v>
      </c>
      <c r="V135" s="49">
        <v>29</v>
      </c>
      <c r="W135" s="20">
        <v>1</v>
      </c>
      <c r="X135" s="20" t="str">
        <v>Hot</v>
      </c>
      <c r="Y135" s="20">
        <v>0</v>
      </c>
    </row>
    <row r="136" spans="1:25" ht="15" customHeight="1" x14ac:dyDescent="0.25">
      <c r="A136" s="3"/>
      <c r="B136" s="3"/>
      <c r="C136" s="3"/>
      <c r="D136" s="3"/>
      <c r="E136" s="3"/>
      <c r="F136" s="3"/>
      <c r="G136" s="3"/>
      <c r="H136" s="3"/>
      <c r="I136" s="3"/>
      <c r="J136" s="3"/>
      <c r="K136" s="20">
        <v>14192</v>
      </c>
      <c r="L136" s="20" t="str">
        <v>2+ Cars</v>
      </c>
      <c r="M136" s="20" t="str">
        <v>51-60</v>
      </c>
      <c r="N136" s="20" t="str">
        <v>5-10 Miles</v>
      </c>
      <c r="O136" s="20">
        <v>4</v>
      </c>
      <c r="P136" s="20" t="str">
        <v>High School</v>
      </c>
      <c r="Q136" s="20" t="str">
        <v>Europe</v>
      </c>
      <c r="R136" s="20" t="str">
        <v>Married</v>
      </c>
      <c r="S136" s="20" t="str">
        <v>$70k-90k</v>
      </c>
      <c r="T136" s="89">
        <v>0.43029528214250601</v>
      </c>
      <c r="U136" s="91">
        <v>33.98380485291392</v>
      </c>
      <c r="V136" s="49">
        <v>840</v>
      </c>
      <c r="W136" s="20">
        <v>9</v>
      </c>
      <c r="X136" s="20" t="str">
        <v>Cold</v>
      </c>
      <c r="Y136" s="20">
        <v>1</v>
      </c>
    </row>
    <row r="137" spans="1:25" ht="15" customHeight="1" x14ac:dyDescent="0.25">
      <c r="A137" s="3"/>
      <c r="B137" s="3"/>
      <c r="C137" s="3"/>
      <c r="D137" s="3"/>
      <c r="E137" s="3"/>
      <c r="F137" s="3"/>
      <c r="G137" s="3"/>
      <c r="H137" s="3"/>
      <c r="I137" s="3"/>
      <c r="J137" s="3"/>
      <c r="K137" s="20">
        <v>19477</v>
      </c>
      <c r="L137" s="20" t="str">
        <v>0-1 Cars</v>
      </c>
      <c r="M137" s="20" t="str">
        <v>31-40</v>
      </c>
      <c r="N137" s="20" t="str">
        <v>0-1 Miles</v>
      </c>
      <c r="O137" s="20">
        <v>0</v>
      </c>
      <c r="P137" s="20" t="str">
        <v>Bachelors</v>
      </c>
      <c r="Q137" s="20" t="str">
        <v>Europe</v>
      </c>
      <c r="R137" s="20" t="str">
        <v>Married</v>
      </c>
      <c r="S137" s="20" t="str">
        <v>$40k-60k</v>
      </c>
      <c r="T137" s="89">
        <v>0.54301769146254275</v>
      </c>
      <c r="U137" s="91">
        <v>88.637662438758653</v>
      </c>
      <c r="V137" s="49">
        <v>89</v>
      </c>
      <c r="W137" s="20">
        <v>1</v>
      </c>
      <c r="X137" s="20" t="str">
        <v>Hot</v>
      </c>
      <c r="Y137" s="20">
        <v>1</v>
      </c>
    </row>
    <row r="138" spans="1:25" ht="15" customHeight="1" x14ac:dyDescent="0.25">
      <c r="A138" s="3"/>
      <c r="B138" s="3"/>
      <c r="C138" s="3"/>
      <c r="D138" s="3"/>
      <c r="E138" s="3"/>
      <c r="F138" s="3"/>
      <c r="G138" s="3"/>
      <c r="H138" s="3"/>
      <c r="I138" s="3"/>
      <c r="J138" s="3"/>
      <c r="K138" s="20">
        <v>26796</v>
      </c>
      <c r="L138" s="20" t="str">
        <v>2+ Cars</v>
      </c>
      <c r="M138" s="20" t="str">
        <v>61+</v>
      </c>
      <c r="N138" s="20" t="str">
        <v>5-10 Miles</v>
      </c>
      <c r="O138" s="20">
        <v>2</v>
      </c>
      <c r="P138" s="20" t="str">
        <v>Bachelors</v>
      </c>
      <c r="Q138" s="20" t="str">
        <v>Pacific</v>
      </c>
      <c r="R138" s="20" t="str">
        <v>Single</v>
      </c>
      <c r="S138" s="20" t="str">
        <v>$40k-60k</v>
      </c>
      <c r="T138" s="89">
        <v>0.44560104359663127</v>
      </c>
      <c r="U138" s="91">
        <v>41.404857257690544</v>
      </c>
      <c r="V138" s="49">
        <v>749</v>
      </c>
      <c r="W138" s="20">
        <v>8</v>
      </c>
      <c r="X138" s="20" t="str">
        <v>Cold</v>
      </c>
      <c r="Y138" s="20">
        <v>1</v>
      </c>
    </row>
    <row r="139" spans="1:25" ht="15" customHeight="1" x14ac:dyDescent="0.25">
      <c r="A139" s="3"/>
      <c r="B139" s="3"/>
      <c r="C139" s="3"/>
      <c r="D139" s="3"/>
      <c r="E139" s="3"/>
      <c r="F139" s="3"/>
      <c r="G139" s="3"/>
      <c r="H139" s="3"/>
      <c r="I139" s="3"/>
      <c r="J139" s="3"/>
      <c r="K139" s="20">
        <v>21094</v>
      </c>
      <c r="L139" s="20" t="str">
        <v>2+ Cars</v>
      </c>
      <c r="M139" s="20" t="str">
        <v>41-50</v>
      </c>
      <c r="N139" s="20" t="str">
        <v>0-1 Miles</v>
      </c>
      <c r="O139" s="20">
        <v>2</v>
      </c>
      <c r="P139" s="20" t="str">
        <v>Partial College</v>
      </c>
      <c r="Q139" s="20" t="str">
        <v>Europe</v>
      </c>
      <c r="R139" s="20" t="str">
        <v>Single</v>
      </c>
      <c r="S139" s="20" t="str">
        <v>$10k-30k</v>
      </c>
      <c r="T139" s="89">
        <v>0.46163566388392346</v>
      </c>
      <c r="U139" s="91">
        <v>49.17929943747626</v>
      </c>
      <c r="V139" s="49">
        <v>637</v>
      </c>
      <c r="W139" s="20">
        <v>7</v>
      </c>
      <c r="X139" s="20" t="str">
        <v>Cold</v>
      </c>
      <c r="Y139" s="20">
        <v>0</v>
      </c>
    </row>
    <row r="140" spans="1:25" ht="15" customHeight="1" x14ac:dyDescent="0.25">
      <c r="A140" s="3"/>
      <c r="B140" s="3"/>
      <c r="C140" s="3"/>
      <c r="D140" s="3"/>
      <c r="E140" s="3"/>
      <c r="F140" s="3"/>
      <c r="G140" s="3"/>
      <c r="H140" s="3"/>
      <c r="I140" s="3"/>
      <c r="J140" s="3"/>
      <c r="K140" s="20">
        <v>12234</v>
      </c>
      <c r="L140" s="20" t="str">
        <v>0-1 Cars</v>
      </c>
      <c r="M140" s="20" t="str">
        <v>51-60</v>
      </c>
      <c r="N140" s="20" t="str">
        <v>2-5 Miles</v>
      </c>
      <c r="O140" s="20">
        <v>2</v>
      </c>
      <c r="P140" s="20" t="str">
        <v>Partial College</v>
      </c>
      <c r="Q140" s="20" t="str">
        <v>Europe</v>
      </c>
      <c r="R140" s="20" t="str">
        <v>Married</v>
      </c>
      <c r="S140" s="20" t="str">
        <v>$10k-30k</v>
      </c>
      <c r="T140" s="89">
        <v>0.4945389618366805</v>
      </c>
      <c r="U140" s="91">
        <v>65.132579457502843</v>
      </c>
      <c r="V140" s="49">
        <v>416</v>
      </c>
      <c r="W140" s="20">
        <v>5</v>
      </c>
      <c r="X140" s="20" t="str">
        <v>Warm</v>
      </c>
      <c r="Y140" s="20">
        <v>0</v>
      </c>
    </row>
    <row r="141" spans="1:25" ht="15" customHeight="1" x14ac:dyDescent="0.25">
      <c r="A141" s="3"/>
      <c r="B141" s="3"/>
      <c r="C141" s="3"/>
      <c r="D141" s="3"/>
      <c r="E141" s="3"/>
      <c r="F141" s="3"/>
      <c r="G141" s="3"/>
      <c r="H141" s="3"/>
      <c r="I141" s="3"/>
      <c r="J141" s="3"/>
      <c r="K141" s="20">
        <v>28683</v>
      </c>
      <c r="L141" s="20" t="str">
        <v>0-1 Cars</v>
      </c>
      <c r="M141" s="20" t="str">
        <v>31-40</v>
      </c>
      <c r="N141" s="20" t="str">
        <v>5-10 Miles</v>
      </c>
      <c r="O141" s="20">
        <v>1</v>
      </c>
      <c r="P141" s="20" t="str">
        <v>High School</v>
      </c>
      <c r="Q141" s="20" t="str">
        <v>Europe</v>
      </c>
      <c r="R141" s="20" t="str">
        <v>Single</v>
      </c>
      <c r="S141" s="20" t="str">
        <v>$10k-30k</v>
      </c>
      <c r="T141" s="89">
        <v>0.5159703842734028</v>
      </c>
      <c r="U141" s="91">
        <v>75.523680187022947</v>
      </c>
      <c r="V141" s="49">
        <v>277</v>
      </c>
      <c r="W141" s="20">
        <v>3</v>
      </c>
      <c r="X141" s="20" t="str">
        <v>Hot</v>
      </c>
      <c r="Y141" s="20">
        <v>1</v>
      </c>
    </row>
    <row r="142" spans="1:25" ht="15" customHeight="1" x14ac:dyDescent="0.25">
      <c r="A142" s="3"/>
      <c r="B142" s="3"/>
      <c r="C142" s="3"/>
      <c r="D142" s="3"/>
      <c r="E142" s="3"/>
      <c r="F142" s="3"/>
      <c r="G142" s="3"/>
      <c r="H142" s="3"/>
      <c r="I142" s="3"/>
      <c r="J142" s="3"/>
      <c r="K142" s="20">
        <v>17994</v>
      </c>
      <c r="L142" s="20" t="str">
        <v>2+ Cars</v>
      </c>
      <c r="M142" s="20" t="str">
        <v>41-50</v>
      </c>
      <c r="N142" s="20" t="str">
        <v>0-1 Miles</v>
      </c>
      <c r="O142" s="20">
        <v>2</v>
      </c>
      <c r="P142" s="20" t="str">
        <v>High School</v>
      </c>
      <c r="Q142" s="20" t="str">
        <v>Europe</v>
      </c>
      <c r="R142" s="20" t="str">
        <v>Single</v>
      </c>
      <c r="S142" s="20" t="str">
        <v>$10k-30k</v>
      </c>
      <c r="T142" s="89">
        <v>0.46068198763014723</v>
      </c>
      <c r="U142" s="91">
        <v>48.716906143442721</v>
      </c>
      <c r="V142" s="49">
        <v>646</v>
      </c>
      <c r="W142" s="20">
        <v>7</v>
      </c>
      <c r="X142" s="20" t="str">
        <v>Cold</v>
      </c>
      <c r="Y142" s="20">
        <v>0</v>
      </c>
    </row>
    <row r="143" spans="1:25" ht="15" customHeight="1" x14ac:dyDescent="0.25">
      <c r="A143" s="3"/>
      <c r="B143" s="3"/>
      <c r="C143" s="3"/>
      <c r="D143" s="3"/>
      <c r="E143" s="3"/>
      <c r="F143" s="3"/>
      <c r="G143" s="3"/>
      <c r="H143" s="3"/>
      <c r="I143" s="3"/>
      <c r="J143" s="3"/>
      <c r="K143" s="20">
        <v>24273</v>
      </c>
      <c r="L143" s="20" t="str">
        <v>2+ Cars</v>
      </c>
      <c r="M143" s="20" t="str">
        <v>51-60</v>
      </c>
      <c r="N143" s="20" t="str">
        <v>5-10 Miles</v>
      </c>
      <c r="O143" s="20">
        <v>2</v>
      </c>
      <c r="P143" s="20" t="str">
        <v>Partial High School</v>
      </c>
      <c r="Q143" s="20" t="str">
        <v>Pacific</v>
      </c>
      <c r="R143" s="20" t="str">
        <v>Married</v>
      </c>
      <c r="S143" s="20" t="str">
        <v>$10k-30k</v>
      </c>
      <c r="T143" s="89">
        <v>0.41402388302301224</v>
      </c>
      <c r="U143" s="91">
        <v>26.094559621520723</v>
      </c>
      <c r="V143" s="49">
        <v>923</v>
      </c>
      <c r="W143" s="20">
        <v>10</v>
      </c>
      <c r="X143" s="20" t="str">
        <v>Cold</v>
      </c>
      <c r="Y143" s="20">
        <v>1</v>
      </c>
    </row>
    <row r="144" spans="1:25" ht="15" customHeight="1" x14ac:dyDescent="0.25">
      <c r="A144" s="3"/>
      <c r="B144" s="3"/>
      <c r="C144" s="3"/>
      <c r="D144" s="3"/>
      <c r="E144" s="3"/>
      <c r="F144" s="3"/>
      <c r="G144" s="3"/>
      <c r="H144" s="3"/>
      <c r="I144" s="3"/>
      <c r="J144" s="3"/>
      <c r="K144" s="20">
        <v>26547</v>
      </c>
      <c r="L144" s="20" t="str">
        <v>2+ Cars</v>
      </c>
      <c r="M144" s="20" t="str">
        <v>51-60</v>
      </c>
      <c r="N144" s="20" t="str">
        <v>5-10 Miles</v>
      </c>
      <c r="O144" s="20">
        <v>2</v>
      </c>
      <c r="P144" s="20" t="str">
        <v>Partial College</v>
      </c>
      <c r="Q144" s="20" t="str">
        <v>Pacific</v>
      </c>
      <c r="R144" s="20" t="str">
        <v>Single</v>
      </c>
      <c r="S144" s="20" t="str">
        <v>$10k-30k</v>
      </c>
      <c r="T144" s="89">
        <v>0.44667902297885093</v>
      </c>
      <c r="U144" s="91">
        <v>41.9275193618072</v>
      </c>
      <c r="V144" s="49">
        <v>741</v>
      </c>
      <c r="W144" s="20">
        <v>8</v>
      </c>
      <c r="X144" s="20" t="str">
        <v>Cold</v>
      </c>
      <c r="Y144" s="20">
        <v>1</v>
      </c>
    </row>
    <row r="145" spans="1:25" ht="15" customHeight="1" x14ac:dyDescent="0.25">
      <c r="A145" s="3"/>
      <c r="B145" s="3"/>
      <c r="C145" s="3"/>
      <c r="D145" s="3"/>
      <c r="E145" s="3"/>
      <c r="F145" s="3"/>
      <c r="G145" s="3"/>
      <c r="H145" s="3"/>
      <c r="I145" s="3"/>
      <c r="J145" s="3"/>
      <c r="K145" s="20">
        <v>22500</v>
      </c>
      <c r="L145" s="20" t="str">
        <v>0-1 Cars</v>
      </c>
      <c r="M145" s="20" t="str">
        <v>31-40</v>
      </c>
      <c r="N145" s="20" t="str">
        <v>0-1 Miles</v>
      </c>
      <c r="O145" s="20">
        <v>0</v>
      </c>
      <c r="P145" s="20" t="str">
        <v>Bachelors</v>
      </c>
      <c r="Q145" s="20" t="str">
        <v>Europe</v>
      </c>
      <c r="R145" s="20" t="str">
        <v>Single</v>
      </c>
      <c r="S145" s="20" t="str">
        <v>$40k-60k</v>
      </c>
      <c r="T145" s="89">
        <v>0.55269573417036788</v>
      </c>
      <c r="U145" s="91">
        <v>93.330095567662468</v>
      </c>
      <c r="V145" s="49">
        <v>20</v>
      </c>
      <c r="W145" s="20">
        <v>1</v>
      </c>
      <c r="X145" s="20" t="str">
        <v>Hot</v>
      </c>
      <c r="Y145" s="20">
        <v>1</v>
      </c>
    </row>
    <row r="146" spans="1:25" ht="15" customHeight="1" x14ac:dyDescent="0.25">
      <c r="A146" s="3"/>
      <c r="B146" s="3"/>
      <c r="C146" s="3"/>
      <c r="D146" s="3"/>
      <c r="E146" s="3"/>
      <c r="F146" s="3"/>
      <c r="G146" s="3"/>
      <c r="H146" s="3"/>
      <c r="I146" s="3"/>
      <c r="J146" s="3"/>
      <c r="K146" s="20">
        <v>23993</v>
      </c>
      <c r="L146" s="20" t="str">
        <v>0-1 Cars</v>
      </c>
      <c r="M146" s="20" t="str">
        <v>25-30</v>
      </c>
      <c r="N146" s="20" t="str">
        <v>0-1 Miles</v>
      </c>
      <c r="O146" s="20">
        <v>0</v>
      </c>
      <c r="P146" s="20" t="str">
        <v>Partial College</v>
      </c>
      <c r="Q146" s="20" t="str">
        <v>Pacific</v>
      </c>
      <c r="R146" s="20" t="str">
        <v>Single</v>
      </c>
      <c r="S146" s="20" t="str">
        <v>$10k-30k</v>
      </c>
      <c r="T146" s="89">
        <v>0.49689422629566654</v>
      </c>
      <c r="U146" s="91">
        <v>66.274537734432101</v>
      </c>
      <c r="V146" s="49">
        <v>402</v>
      </c>
      <c r="W146" s="20">
        <v>5</v>
      </c>
      <c r="X146" s="20" t="str">
        <v>Warm</v>
      </c>
      <c r="Y146" s="20">
        <v>1</v>
      </c>
    </row>
    <row r="147" spans="1:25" ht="15" customHeight="1" x14ac:dyDescent="0.25">
      <c r="A147" s="3"/>
      <c r="B147" s="3"/>
      <c r="C147" s="3"/>
      <c r="D147" s="3"/>
      <c r="E147" s="3"/>
      <c r="F147" s="3"/>
      <c r="G147" s="3"/>
      <c r="H147" s="3"/>
      <c r="I147" s="3"/>
      <c r="J147" s="3"/>
      <c r="K147" s="20">
        <v>14832</v>
      </c>
      <c r="L147" s="20" t="str">
        <v>0-1 Cars</v>
      </c>
      <c r="M147" s="20" t="str">
        <v>41-50</v>
      </c>
      <c r="N147" s="20" t="str">
        <v>0-1 Miles</v>
      </c>
      <c r="O147" s="20">
        <v>1</v>
      </c>
      <c r="P147" s="20" t="str">
        <v>Bachelors</v>
      </c>
      <c r="Q147" s="20" t="str">
        <v>Europe</v>
      </c>
      <c r="R147" s="20" t="str">
        <v>Married</v>
      </c>
      <c r="S147" s="20" t="str">
        <v>$40k-60k</v>
      </c>
      <c r="T147" s="89">
        <v>0.52952886380755659</v>
      </c>
      <c r="U147" s="91">
        <v>82.097556792484326</v>
      </c>
      <c r="V147" s="49">
        <v>195</v>
      </c>
      <c r="W147" s="20">
        <v>2</v>
      </c>
      <c r="X147" s="20" t="str">
        <v>Hot</v>
      </c>
      <c r="Y147" s="20">
        <v>1</v>
      </c>
    </row>
    <row r="148" spans="1:25" ht="15" customHeight="1" x14ac:dyDescent="0.25">
      <c r="A148" s="3"/>
      <c r="B148" s="3"/>
      <c r="C148" s="3"/>
      <c r="D148" s="3"/>
      <c r="E148" s="3"/>
      <c r="F148" s="3"/>
      <c r="G148" s="3"/>
      <c r="H148" s="3"/>
      <c r="I148" s="3"/>
      <c r="J148" s="3"/>
      <c r="K148" s="20">
        <v>16614</v>
      </c>
      <c r="L148" s="20" t="str">
        <v>2+ Cars</v>
      </c>
      <c r="M148" s="20" t="str">
        <v>31-40</v>
      </c>
      <c r="N148" s="20" t="str">
        <v>10+ Miles</v>
      </c>
      <c r="O148" s="20">
        <v>0</v>
      </c>
      <c r="P148" s="20" t="str">
        <v>Bachelors</v>
      </c>
      <c r="Q148" s="20" t="str">
        <v>Pacific</v>
      </c>
      <c r="R148" s="20" t="str">
        <v>Married</v>
      </c>
      <c r="S148" s="20" t="str">
        <v>$70k-90k</v>
      </c>
      <c r="T148" s="89">
        <v>0.47406577485433971</v>
      </c>
      <c r="U148" s="91">
        <v>55.206082566504165</v>
      </c>
      <c r="V148" s="49">
        <v>546</v>
      </c>
      <c r="W148" s="20">
        <v>6</v>
      </c>
      <c r="X148" s="20" t="str">
        <v>Warm</v>
      </c>
      <c r="Y148" s="20">
        <v>0</v>
      </c>
    </row>
    <row r="149" spans="1:25" ht="15" customHeight="1" x14ac:dyDescent="0.25">
      <c r="A149" s="3"/>
      <c r="B149" s="3"/>
      <c r="C149" s="3"/>
      <c r="D149" s="3"/>
      <c r="E149" s="3"/>
      <c r="F149" s="3"/>
      <c r="G149" s="3"/>
      <c r="H149" s="3"/>
      <c r="I149" s="3"/>
      <c r="J149" s="3"/>
      <c r="K149" s="20">
        <v>20877</v>
      </c>
      <c r="L149" s="20" t="str">
        <v>0-1 Cars</v>
      </c>
      <c r="M149" s="20" t="str">
        <v>31-40</v>
      </c>
      <c r="N149" s="20" t="str">
        <v>1-2 Miles</v>
      </c>
      <c r="O149" s="20">
        <v>1</v>
      </c>
      <c r="P149" s="20" t="str">
        <v>Bachelors</v>
      </c>
      <c r="Q149" s="20" t="str">
        <v>Europe</v>
      </c>
      <c r="R149" s="20" t="str">
        <v>Single</v>
      </c>
      <c r="S149" s="20" t="str">
        <v>$10k-30k</v>
      </c>
      <c r="T149" s="89">
        <v>0.53830874356790026</v>
      </c>
      <c r="U149" s="91">
        <v>86.354512449635706</v>
      </c>
      <c r="V149" s="49">
        <v>125</v>
      </c>
      <c r="W149" s="20">
        <v>2</v>
      </c>
      <c r="X149" s="20" t="str">
        <v>Hot</v>
      </c>
      <c r="Y149" s="20">
        <v>1</v>
      </c>
    </row>
    <row r="150" spans="1:25" ht="15" customHeight="1" x14ac:dyDescent="0.25">
      <c r="A150" s="3"/>
      <c r="B150" s="3"/>
      <c r="C150" s="3"/>
      <c r="D150" s="3"/>
      <c r="E150" s="3"/>
      <c r="F150" s="3"/>
      <c r="G150" s="3"/>
      <c r="H150" s="3"/>
      <c r="I150" s="3"/>
      <c r="J150" s="3"/>
      <c r="K150" s="20">
        <v>20729</v>
      </c>
      <c r="L150" s="20" t="str">
        <v>0-1 Cars</v>
      </c>
      <c r="M150" s="20" t="str">
        <v>31-40</v>
      </c>
      <c r="N150" s="20" t="str">
        <v>0-1 Miles</v>
      </c>
      <c r="O150" s="20">
        <v>2</v>
      </c>
      <c r="P150" s="20" t="str">
        <v>Partial College</v>
      </c>
      <c r="Q150" s="20" t="str">
        <v>Europe</v>
      </c>
      <c r="R150" s="20" t="str">
        <v>Married</v>
      </c>
      <c r="S150" s="20" t="str">
        <v>$40k-60k</v>
      </c>
      <c r="T150" s="89">
        <v>0.52452682026813235</v>
      </c>
      <c r="U150" s="91">
        <v>79.67229834661741</v>
      </c>
      <c r="V150" s="49">
        <v>220</v>
      </c>
      <c r="W150" s="20">
        <v>3</v>
      </c>
      <c r="X150" s="20" t="str">
        <v>Hot</v>
      </c>
      <c r="Y150" s="20">
        <v>0</v>
      </c>
    </row>
    <row r="151" spans="1:25" ht="15" customHeight="1" x14ac:dyDescent="0.25">
      <c r="A151" s="3"/>
      <c r="B151" s="3"/>
      <c r="C151" s="3"/>
      <c r="D151" s="3"/>
      <c r="E151" s="3"/>
      <c r="F151" s="3"/>
      <c r="G151" s="3"/>
      <c r="H151" s="3"/>
      <c r="I151" s="3"/>
      <c r="J151" s="3"/>
      <c r="K151" s="20">
        <v>22464</v>
      </c>
      <c r="L151" s="20" t="str">
        <v>0-1 Cars</v>
      </c>
      <c r="M151" s="20" t="str">
        <v>31-40</v>
      </c>
      <c r="N151" s="20" t="str">
        <v>0-1 Miles</v>
      </c>
      <c r="O151" s="20">
        <v>0</v>
      </c>
      <c r="P151" s="20" t="str">
        <v>Graduate Degree</v>
      </c>
      <c r="Q151" s="20" t="str">
        <v>Europe</v>
      </c>
      <c r="R151" s="20" t="str">
        <v>Married</v>
      </c>
      <c r="S151" s="20" t="str">
        <v>$40k-60k</v>
      </c>
      <c r="T151" s="89">
        <v>0.54152735906721317</v>
      </c>
      <c r="U151" s="91">
        <v>87.915069522396678</v>
      </c>
      <c r="V151" s="49">
        <v>104</v>
      </c>
      <c r="W151" s="20">
        <v>2</v>
      </c>
      <c r="X151" s="20" t="str">
        <v>Hot</v>
      </c>
      <c r="Y151" s="20">
        <v>1</v>
      </c>
    </row>
    <row r="152" spans="1:25" ht="15" customHeight="1" x14ac:dyDescent="0.25">
      <c r="A152" s="3"/>
      <c r="B152" s="3"/>
      <c r="C152" s="3"/>
      <c r="D152" s="3"/>
      <c r="E152" s="3"/>
      <c r="F152" s="3"/>
      <c r="G152" s="3"/>
      <c r="H152" s="3"/>
      <c r="I152" s="3"/>
      <c r="J152" s="3"/>
      <c r="K152" s="20">
        <v>19475</v>
      </c>
      <c r="L152" s="20" t="str">
        <v>0-1 Cars</v>
      </c>
      <c r="M152" s="20" t="str">
        <v>31-40</v>
      </c>
      <c r="N152" s="20" t="str">
        <v>0-1 Miles</v>
      </c>
      <c r="O152" s="20">
        <v>0</v>
      </c>
      <c r="P152" s="20" t="str">
        <v>Bachelors</v>
      </c>
      <c r="Q152" s="20" t="str">
        <v>Europe</v>
      </c>
      <c r="R152" s="20" t="str">
        <v>Married</v>
      </c>
      <c r="S152" s="20" t="str">
        <v>$40k-60k</v>
      </c>
      <c r="T152" s="89">
        <v>0.54301769146254275</v>
      </c>
      <c r="U152" s="91">
        <v>88.637662438758653</v>
      </c>
      <c r="V152" s="49">
        <v>88</v>
      </c>
      <c r="W152" s="20">
        <v>1</v>
      </c>
      <c r="X152" s="20" t="str">
        <v>Hot</v>
      </c>
      <c r="Y152" s="20">
        <v>1</v>
      </c>
    </row>
    <row r="153" spans="1:25" ht="15" customHeight="1" x14ac:dyDescent="0.25">
      <c r="A153" s="3"/>
      <c r="B153" s="3"/>
      <c r="C153" s="3"/>
      <c r="D153" s="3"/>
      <c r="E153" s="3"/>
      <c r="F153" s="3"/>
      <c r="G153" s="3"/>
      <c r="H153" s="3"/>
      <c r="I153" s="3"/>
      <c r="J153" s="3"/>
      <c r="K153" s="20">
        <v>19675</v>
      </c>
      <c r="L153" s="20" t="str">
        <v>2+ Cars</v>
      </c>
      <c r="M153" s="20" t="str">
        <v>51-60</v>
      </c>
      <c r="N153" s="20" t="str">
        <v>5-10 Miles</v>
      </c>
      <c r="O153" s="20">
        <v>4</v>
      </c>
      <c r="P153" s="20" t="str">
        <v>High School</v>
      </c>
      <c r="Q153" s="20" t="str">
        <v>Pacific</v>
      </c>
      <c r="R153" s="20" t="str">
        <v>Married</v>
      </c>
      <c r="S153" s="20" t="str">
        <v>$10k-30k</v>
      </c>
      <c r="T153" s="89">
        <v>0.43110549320867586</v>
      </c>
      <c r="U153" s="91">
        <v>34.376638544919217</v>
      </c>
      <c r="V153" s="49">
        <v>834</v>
      </c>
      <c r="W153" s="20">
        <v>9</v>
      </c>
      <c r="X153" s="20" t="str">
        <v>Cold</v>
      </c>
      <c r="Y153" s="20">
        <v>0</v>
      </c>
    </row>
    <row r="154" spans="1:25" ht="15" customHeight="1" x14ac:dyDescent="0.25">
      <c r="A154" s="3"/>
      <c r="B154" s="3"/>
      <c r="C154" s="3"/>
      <c r="D154" s="3"/>
      <c r="E154" s="3"/>
      <c r="F154" s="3"/>
      <c r="G154" s="3"/>
      <c r="H154" s="3"/>
      <c r="I154" s="3"/>
      <c r="J154" s="3"/>
      <c r="K154" s="20">
        <v>12728</v>
      </c>
      <c r="L154" s="20" t="str">
        <v>0-1 Cars</v>
      </c>
      <c r="M154" s="20" t="str">
        <v>25-30</v>
      </c>
      <c r="N154" s="20" t="str">
        <v>1-2 Miles</v>
      </c>
      <c r="O154" s="20">
        <v>0</v>
      </c>
      <c r="P154" s="20" t="str">
        <v>Partial College</v>
      </c>
      <c r="Q154" s="20" t="str">
        <v>Europe</v>
      </c>
      <c r="R154" s="20" t="str">
        <v>Single</v>
      </c>
      <c r="S154" s="20" t="str">
        <v>$10k-30k</v>
      </c>
      <c r="T154" s="89">
        <v>0.47512061840856018</v>
      </c>
      <c r="U154" s="91">
        <v>55.717527182845103</v>
      </c>
      <c r="V154" s="49">
        <v>535</v>
      </c>
      <c r="W154" s="20">
        <v>6</v>
      </c>
      <c r="X154" s="20" t="str">
        <v>Warm</v>
      </c>
      <c r="Y154" s="20">
        <v>0</v>
      </c>
    </row>
    <row r="155" spans="1:25" ht="15" customHeight="1" x14ac:dyDescent="0.25">
      <c r="A155" s="3"/>
      <c r="B155" s="3"/>
      <c r="C155" s="3"/>
      <c r="D155" s="3"/>
      <c r="E155" s="3"/>
      <c r="F155" s="3"/>
      <c r="G155" s="3"/>
      <c r="H155" s="3"/>
      <c r="I155" s="3"/>
      <c r="J155" s="3"/>
      <c r="K155" s="20">
        <v>26154</v>
      </c>
      <c r="L155" s="20" t="str">
        <v>0-1 Cars</v>
      </c>
      <c r="M155" s="20" t="str">
        <v>41-50</v>
      </c>
      <c r="N155" s="20" t="str">
        <v>5-10 Miles</v>
      </c>
      <c r="O155" s="20">
        <v>1</v>
      </c>
      <c r="P155" s="20" t="str">
        <v>Partial College</v>
      </c>
      <c r="Q155" s="20" t="str">
        <v>Pacific</v>
      </c>
      <c r="R155" s="20" t="str">
        <v>Married</v>
      </c>
      <c r="S155" s="20" t="str">
        <v>$40k-60k</v>
      </c>
      <c r="T155" s="89">
        <v>0.50371149496934486</v>
      </c>
      <c r="U155" s="91">
        <v>69.579914486607564</v>
      </c>
      <c r="V155" s="49">
        <v>345</v>
      </c>
      <c r="W155" s="20">
        <v>4</v>
      </c>
      <c r="X155" s="20" t="str">
        <v>Warm</v>
      </c>
      <c r="Y155" s="20">
        <v>1</v>
      </c>
    </row>
    <row r="156" spans="1:25" ht="15" customHeight="1" x14ac:dyDescent="0.25">
      <c r="A156" s="3"/>
      <c r="B156" s="3"/>
      <c r="C156" s="3"/>
      <c r="D156" s="3"/>
      <c r="E156" s="3"/>
      <c r="F156" s="3"/>
      <c r="G156" s="3"/>
      <c r="H156" s="3"/>
      <c r="I156" s="3"/>
      <c r="J156" s="3"/>
      <c r="K156" s="20">
        <v>29117</v>
      </c>
      <c r="L156" s="20" t="str">
        <v>2+ Cars</v>
      </c>
      <c r="M156" s="20" t="str">
        <v>41-50</v>
      </c>
      <c r="N156" s="20" t="str">
        <v>0-1 Miles</v>
      </c>
      <c r="O156" s="20">
        <v>1</v>
      </c>
      <c r="P156" s="20" t="str">
        <v>Bachelors</v>
      </c>
      <c r="Q156" s="20" t="str">
        <v>Pacific</v>
      </c>
      <c r="R156" s="20" t="str">
        <v>Single</v>
      </c>
      <c r="S156" s="20" t="str">
        <v>$100k+</v>
      </c>
      <c r="T156" s="89">
        <v>0.50534571542371687</v>
      </c>
      <c r="U156" s="91">
        <v>70.372272035704469</v>
      </c>
      <c r="V156" s="49">
        <v>339</v>
      </c>
      <c r="W156" s="20">
        <v>4</v>
      </c>
      <c r="X156" s="20" t="str">
        <v>Warm</v>
      </c>
      <c r="Y156" s="20">
        <v>0</v>
      </c>
    </row>
    <row r="157" spans="1:25" ht="15" customHeight="1" x14ac:dyDescent="0.25">
      <c r="A157" s="3"/>
      <c r="B157" s="3"/>
      <c r="C157" s="3"/>
      <c r="D157" s="3"/>
      <c r="E157" s="3"/>
      <c r="F157" s="3"/>
      <c r="G157" s="3"/>
      <c r="H157" s="3"/>
      <c r="I157" s="3"/>
      <c r="J157" s="3"/>
      <c r="K157" s="20">
        <v>17845</v>
      </c>
      <c r="L157" s="20" t="str">
        <v>2+ Cars</v>
      </c>
      <c r="M157" s="20" t="str">
        <v>31-40</v>
      </c>
      <c r="N157" s="20" t="str">
        <v>1-2 Miles</v>
      </c>
      <c r="O157" s="20">
        <v>0</v>
      </c>
      <c r="P157" s="20" t="str">
        <v>Partial High School</v>
      </c>
      <c r="Q157" s="20" t="str">
        <v>Europe</v>
      </c>
      <c r="R157" s="20" t="str">
        <v>Single</v>
      </c>
      <c r="S157" s="20" t="str">
        <v>$10k-30k</v>
      </c>
      <c r="T157" s="89">
        <v>0.45431729951514982</v>
      </c>
      <c r="U157" s="91">
        <v>45.630964670813512</v>
      </c>
      <c r="V157" s="49">
        <v>705</v>
      </c>
      <c r="W157" s="20">
        <v>8</v>
      </c>
      <c r="X157" s="20" t="str">
        <v>Cold</v>
      </c>
      <c r="Y157" s="20">
        <v>0</v>
      </c>
    </row>
    <row r="158" spans="1:25" ht="15" customHeight="1" x14ac:dyDescent="0.25">
      <c r="A158" s="3"/>
      <c r="B158" s="3"/>
      <c r="C158" s="3"/>
      <c r="D158" s="3"/>
      <c r="E158" s="3"/>
      <c r="F158" s="3"/>
      <c r="G158" s="3"/>
      <c r="H158" s="3"/>
      <c r="I158" s="3"/>
      <c r="J158" s="3"/>
      <c r="K158" s="20">
        <v>25058</v>
      </c>
      <c r="L158" s="20" t="str">
        <v>2+ Cars</v>
      </c>
      <c r="M158" s="20" t="str">
        <v>41-50</v>
      </c>
      <c r="N158" s="20" t="str">
        <v>2-5 Miles</v>
      </c>
      <c r="O158" s="20">
        <v>1</v>
      </c>
      <c r="P158" s="20" t="str">
        <v>Bachelors</v>
      </c>
      <c r="Q158" s="20" t="str">
        <v>Pacific</v>
      </c>
      <c r="R158" s="20" t="str">
        <v>Married</v>
      </c>
      <c r="S158" s="20" t="str">
        <v>$100k+</v>
      </c>
      <c r="T158" s="89">
        <v>0.50143419413156376</v>
      </c>
      <c r="U158" s="91">
        <v>68.475757146296971</v>
      </c>
      <c r="V158" s="49">
        <v>365</v>
      </c>
      <c r="W158" s="20">
        <v>4</v>
      </c>
      <c r="X158" s="20" t="str">
        <v>Warm</v>
      </c>
      <c r="Y158" s="20">
        <v>0</v>
      </c>
    </row>
    <row r="159" spans="1:25" ht="15" customHeight="1" x14ac:dyDescent="0.25">
      <c r="A159" s="3"/>
      <c r="B159" s="3"/>
      <c r="C159" s="3"/>
      <c r="D159" s="3"/>
      <c r="E159" s="3"/>
      <c r="F159" s="3"/>
      <c r="G159" s="3"/>
      <c r="H159" s="3"/>
      <c r="I159" s="3"/>
      <c r="J159" s="3"/>
      <c r="K159" s="20">
        <v>23426</v>
      </c>
      <c r="L159" s="20" t="str">
        <v>2+ Cars</v>
      </c>
      <c r="M159" s="20" t="str">
        <v>31-40</v>
      </c>
      <c r="N159" s="20" t="str">
        <v>0-1 Miles</v>
      </c>
      <c r="O159" s="20">
        <v>5</v>
      </c>
      <c r="P159" s="20" t="str">
        <v>Graduate Degree</v>
      </c>
      <c r="Q159" s="20" t="str">
        <v>Pacific</v>
      </c>
      <c r="R159" s="20" t="str">
        <v>Single</v>
      </c>
      <c r="S159" s="20" t="str">
        <v>$70k-90k</v>
      </c>
      <c r="T159" s="89">
        <v>0.47883399945025712</v>
      </c>
      <c r="U159" s="91">
        <v>57.517973073232973</v>
      </c>
      <c r="V159" s="49">
        <v>518</v>
      </c>
      <c r="W159" s="20">
        <v>6</v>
      </c>
      <c r="X159" s="20" t="str">
        <v>Warm</v>
      </c>
      <c r="Y159" s="20">
        <v>0</v>
      </c>
    </row>
    <row r="160" spans="1:25" ht="15" customHeight="1" x14ac:dyDescent="0.25">
      <c r="A160" s="3"/>
      <c r="B160" s="3"/>
      <c r="C160" s="3"/>
      <c r="D160" s="3"/>
      <c r="E160" s="3"/>
      <c r="F160" s="3"/>
      <c r="G160" s="3"/>
      <c r="H160" s="3"/>
      <c r="I160" s="3"/>
      <c r="J160" s="3"/>
      <c r="K160" s="20">
        <v>14798</v>
      </c>
      <c r="L160" s="20" t="str">
        <v>2+ Cars</v>
      </c>
      <c r="M160" s="20" t="str">
        <v>41-50</v>
      </c>
      <c r="N160" s="20" t="str">
        <v>0-1 Miles</v>
      </c>
      <c r="O160" s="20">
        <v>4</v>
      </c>
      <c r="P160" s="20" t="str">
        <v>Partial High School</v>
      </c>
      <c r="Q160" s="20" t="str">
        <v>Europe</v>
      </c>
      <c r="R160" s="20" t="str">
        <v>Single</v>
      </c>
      <c r="S160" s="20" t="str">
        <v>$10k-30k</v>
      </c>
      <c r="T160" s="89">
        <v>0.43371675582733621</v>
      </c>
      <c r="U160" s="91">
        <v>35.642718432142978</v>
      </c>
      <c r="V160" s="49">
        <v>813</v>
      </c>
      <c r="W160" s="20">
        <v>9</v>
      </c>
      <c r="X160" s="20" t="str">
        <v>Cold</v>
      </c>
      <c r="Y160" s="20">
        <v>1</v>
      </c>
    </row>
    <row r="161" spans="1:25" ht="15" customHeight="1" x14ac:dyDescent="0.25">
      <c r="A161" s="3"/>
      <c r="B161" s="3"/>
      <c r="C161" s="3"/>
      <c r="D161" s="3"/>
      <c r="E161" s="3"/>
      <c r="F161" s="3"/>
      <c r="G161" s="3"/>
      <c r="H161" s="3"/>
      <c r="I161" s="3"/>
      <c r="J161" s="3"/>
      <c r="K161" s="20">
        <v>12664</v>
      </c>
      <c r="L161" s="20" t="str">
        <v>2+ Cars</v>
      </c>
      <c r="M161" s="20" t="str">
        <v>51-60</v>
      </c>
      <c r="N161" s="20" t="str">
        <v>0-1 Miles</v>
      </c>
      <c r="O161" s="20">
        <v>5</v>
      </c>
      <c r="P161" s="20" t="str">
        <v>Partial College</v>
      </c>
      <c r="Q161" s="20" t="str">
        <v>Europe</v>
      </c>
      <c r="R161" s="20" t="str">
        <v>Married</v>
      </c>
      <c r="S161" s="20" t="str">
        <v>$100k+</v>
      </c>
      <c r="T161" s="89">
        <v>0.42343440312099484</v>
      </c>
      <c r="U161" s="91">
        <v>30.657283469834073</v>
      </c>
      <c r="V161" s="49">
        <v>865</v>
      </c>
      <c r="W161" s="20">
        <v>9</v>
      </c>
      <c r="X161" s="20" t="str">
        <v>Cold</v>
      </c>
      <c r="Y161" s="20">
        <v>0</v>
      </c>
    </row>
    <row r="162" spans="1:25" ht="15" customHeight="1" x14ac:dyDescent="0.25">
      <c r="A162" s="3"/>
      <c r="B162" s="3"/>
      <c r="C162" s="3"/>
      <c r="D162" s="3"/>
      <c r="E162" s="3"/>
      <c r="F162" s="3"/>
      <c r="G162" s="3"/>
      <c r="H162" s="3"/>
      <c r="I162" s="3"/>
      <c r="J162" s="3"/>
      <c r="K162" s="20">
        <v>23979</v>
      </c>
      <c r="L162" s="20" t="str">
        <v>0-1 Cars</v>
      </c>
      <c r="M162" s="20" t="str">
        <v>41-50</v>
      </c>
      <c r="N162" s="20" t="str">
        <v>0-1 Miles</v>
      </c>
      <c r="O162" s="20">
        <v>2</v>
      </c>
      <c r="P162" s="20" t="str">
        <v>Partial College</v>
      </c>
      <c r="Q162" s="20" t="str">
        <v>Europe</v>
      </c>
      <c r="R162" s="20" t="str">
        <v>Single</v>
      </c>
      <c r="S162" s="20" t="str">
        <v>$10k-30k</v>
      </c>
      <c r="T162" s="89">
        <v>0.50034911340263566</v>
      </c>
      <c r="U162" s="91">
        <v>67.949651929191404</v>
      </c>
      <c r="V162" s="49">
        <v>372</v>
      </c>
      <c r="W162" s="20">
        <v>4</v>
      </c>
      <c r="X162" s="20" t="str">
        <v>Warm</v>
      </c>
      <c r="Y162" s="20">
        <v>0</v>
      </c>
    </row>
    <row r="163" spans="1:25" ht="15" customHeight="1" x14ac:dyDescent="0.25">
      <c r="A163" s="3"/>
      <c r="B163" s="3"/>
      <c r="C163" s="3"/>
      <c r="D163" s="3"/>
      <c r="E163" s="3"/>
      <c r="F163" s="3"/>
      <c r="G163" s="3"/>
      <c r="H163" s="3"/>
      <c r="I163" s="3"/>
      <c r="J163" s="3"/>
      <c r="K163" s="20">
        <v>25605</v>
      </c>
      <c r="L163" s="20" t="str">
        <v>0-1 Cars</v>
      </c>
      <c r="M163" s="20" t="str">
        <v>51-60</v>
      </c>
      <c r="N163" s="20" t="str">
        <v>0-1 Miles</v>
      </c>
      <c r="O163" s="20">
        <v>2</v>
      </c>
      <c r="P163" s="20" t="str">
        <v>Partial College</v>
      </c>
      <c r="Q163" s="20" t="str">
        <v>Europe</v>
      </c>
      <c r="R163" s="20" t="str">
        <v>Single</v>
      </c>
      <c r="S163" s="20" t="str">
        <v>$10k-30k</v>
      </c>
      <c r="T163" s="89">
        <v>0.49845048312883361</v>
      </c>
      <c r="U163" s="91">
        <v>67.029094346910327</v>
      </c>
      <c r="V163" s="49">
        <v>388</v>
      </c>
      <c r="W163" s="20">
        <v>4</v>
      </c>
      <c r="X163" s="20" t="str">
        <v>Warm</v>
      </c>
      <c r="Y163" s="20">
        <v>1</v>
      </c>
    </row>
    <row r="164" spans="1:25" ht="15" customHeight="1" x14ac:dyDescent="0.25">
      <c r="A164" s="3"/>
      <c r="B164" s="3"/>
      <c r="C164" s="3"/>
      <c r="D164" s="3"/>
      <c r="E164" s="3"/>
      <c r="F164" s="3"/>
      <c r="G164" s="3"/>
      <c r="H164" s="3"/>
      <c r="I164" s="3"/>
      <c r="J164" s="3"/>
      <c r="K164" s="20">
        <v>20797</v>
      </c>
      <c r="L164" s="20" t="str">
        <v>0-1 Cars</v>
      </c>
      <c r="M164" s="20" t="str">
        <v>41-50</v>
      </c>
      <c r="N164" s="20" t="str">
        <v>0-1 Miles</v>
      </c>
      <c r="O164" s="20">
        <v>1</v>
      </c>
      <c r="P164" s="20" t="str">
        <v>Bachelors</v>
      </c>
      <c r="Q164" s="20" t="str">
        <v>Europe</v>
      </c>
      <c r="R164" s="20" t="str">
        <v>Married</v>
      </c>
      <c r="S164" s="20" t="str">
        <v>$10k-30k</v>
      </c>
      <c r="T164" s="89">
        <v>0.51870348096830421</v>
      </c>
      <c r="U164" s="91">
        <v>76.848831755664335</v>
      </c>
      <c r="V164" s="49">
        <v>265</v>
      </c>
      <c r="W164" s="20">
        <v>3</v>
      </c>
      <c r="X164" s="20" t="str">
        <v>Hot</v>
      </c>
      <c r="Y164" s="20">
        <v>0</v>
      </c>
    </row>
    <row r="165" spans="1:25" ht="15" customHeight="1" x14ac:dyDescent="0.25">
      <c r="A165" s="3"/>
      <c r="B165" s="3"/>
      <c r="C165" s="3"/>
      <c r="D165" s="3"/>
      <c r="E165" s="3"/>
      <c r="F165" s="3"/>
      <c r="G165" s="3"/>
      <c r="H165" s="3"/>
      <c r="I165" s="3"/>
      <c r="J165" s="3"/>
      <c r="K165" s="20">
        <v>21980</v>
      </c>
      <c r="L165" s="20" t="str">
        <v>0-1 Cars</v>
      </c>
      <c r="M165" s="20" t="str">
        <v>41-50</v>
      </c>
      <c r="N165" s="20" t="str">
        <v>5-10 Miles</v>
      </c>
      <c r="O165" s="20">
        <v>1</v>
      </c>
      <c r="P165" s="20" t="str">
        <v>Bachelors</v>
      </c>
      <c r="Q165" s="20" t="str">
        <v>Pacific</v>
      </c>
      <c r="R165" s="20" t="str">
        <v>Single</v>
      </c>
      <c r="S165" s="20" t="str">
        <v>$40k-60k</v>
      </c>
      <c r="T165" s="89">
        <v>0.52614889588411129</v>
      </c>
      <c r="U165" s="91">
        <v>80.458767428000201</v>
      </c>
      <c r="V165" s="49">
        <v>216</v>
      </c>
      <c r="W165" s="20">
        <v>3</v>
      </c>
      <c r="X165" s="20" t="str">
        <v>Hot</v>
      </c>
      <c r="Y165" s="20">
        <v>1</v>
      </c>
    </row>
    <row r="166" spans="1:25" ht="15" customHeight="1" x14ac:dyDescent="0.25">
      <c r="A166" s="3"/>
      <c r="B166" s="3"/>
      <c r="C166" s="3"/>
      <c r="D166" s="3"/>
      <c r="E166" s="3"/>
      <c r="F166" s="3"/>
      <c r="G166" s="3"/>
      <c r="H166" s="3"/>
      <c r="I166" s="3"/>
      <c r="J166" s="3"/>
      <c r="K166" s="20">
        <v>25460</v>
      </c>
      <c r="L166" s="20" t="str">
        <v>0-1 Cars</v>
      </c>
      <c r="M166" s="20" t="str">
        <v>31-40</v>
      </c>
      <c r="N166" s="20" t="str">
        <v>0-1 Miles</v>
      </c>
      <c r="O166" s="20">
        <v>2</v>
      </c>
      <c r="P166" s="20" t="str">
        <v>High School</v>
      </c>
      <c r="Q166" s="20" t="str">
        <v>Europe</v>
      </c>
      <c r="R166" s="20" t="str">
        <v>Married</v>
      </c>
      <c r="S166" s="20" t="str">
        <v>$10k-30k</v>
      </c>
      <c r="T166" s="89">
        <v>0.51274776117510368</v>
      </c>
      <c r="U166" s="91">
        <v>73.961180015763858</v>
      </c>
      <c r="V166" s="49">
        <v>300</v>
      </c>
      <c r="W166" s="20">
        <v>3</v>
      </c>
      <c r="X166" s="20" t="str">
        <v>Hot</v>
      </c>
      <c r="Y166" s="20">
        <v>1</v>
      </c>
    </row>
    <row r="167" spans="1:25" ht="15" customHeight="1" x14ac:dyDescent="0.25">
      <c r="A167" s="3"/>
      <c r="B167" s="3"/>
      <c r="C167" s="3"/>
      <c r="D167" s="3"/>
      <c r="E167" s="3"/>
      <c r="F167" s="3"/>
      <c r="G167" s="3"/>
      <c r="H167" s="3"/>
      <c r="I167" s="3"/>
      <c r="J167" s="3"/>
      <c r="K167" s="20">
        <v>29181</v>
      </c>
      <c r="L167" s="20" t="str">
        <v>0-1 Cars</v>
      </c>
      <c r="M167" s="20" t="str">
        <v>31-40</v>
      </c>
      <c r="N167" s="20" t="str">
        <v>0-1 Miles</v>
      </c>
      <c r="O167" s="20">
        <v>2</v>
      </c>
      <c r="P167" s="20" t="str">
        <v>Bachelors</v>
      </c>
      <c r="Q167" s="20" t="str">
        <v>Pacific</v>
      </c>
      <c r="R167" s="20" t="str">
        <v>Single</v>
      </c>
      <c r="S167" s="20" t="str">
        <v>$40k-60k</v>
      </c>
      <c r="T167" s="89">
        <v>0.55563468222770662</v>
      </c>
      <c r="U167" s="91">
        <v>94.755054895154728</v>
      </c>
      <c r="V167" s="49">
        <v>16</v>
      </c>
      <c r="W167" s="20">
        <v>1</v>
      </c>
      <c r="X167" s="20" t="str">
        <v>Hot</v>
      </c>
      <c r="Y167" s="20">
        <v>1</v>
      </c>
    </row>
    <row r="168" spans="1:25" ht="15" customHeight="1" x14ac:dyDescent="0.25">
      <c r="A168" s="3"/>
      <c r="B168" s="3"/>
      <c r="C168" s="3"/>
      <c r="D168" s="3"/>
      <c r="E168" s="3"/>
      <c r="F168" s="3"/>
      <c r="G168" s="3"/>
      <c r="H168" s="3"/>
      <c r="I168" s="3"/>
      <c r="J168" s="3"/>
      <c r="K168" s="20">
        <v>24279</v>
      </c>
      <c r="L168" s="20" t="str">
        <v>2+ Cars</v>
      </c>
      <c r="M168" s="20" t="str">
        <v>51-60</v>
      </c>
      <c r="N168" s="20" t="str">
        <v>1-2 Miles</v>
      </c>
      <c r="O168" s="20">
        <v>2</v>
      </c>
      <c r="P168" s="20" t="str">
        <v>Partial College</v>
      </c>
      <c r="Q168" s="20" t="str">
        <v>Pacific</v>
      </c>
      <c r="R168" s="20" t="str">
        <v>Single</v>
      </c>
      <c r="S168" s="20" t="str">
        <v>$40k-60k</v>
      </c>
      <c r="T168" s="89">
        <v>0.46612973065188318</v>
      </c>
      <c r="U168" s="91">
        <v>51.358263554717574</v>
      </c>
      <c r="V168" s="49">
        <v>604</v>
      </c>
      <c r="W168" s="20">
        <v>7</v>
      </c>
      <c r="X168" s="20" t="str">
        <v>Cold</v>
      </c>
      <c r="Y168" s="20">
        <v>0</v>
      </c>
    </row>
    <row r="169" spans="1:25" ht="15" customHeight="1" x14ac:dyDescent="0.25">
      <c r="A169" s="3"/>
      <c r="B169" s="3"/>
      <c r="C169" s="3"/>
      <c r="D169" s="3"/>
      <c r="E169" s="3"/>
      <c r="F169" s="3"/>
      <c r="G169" s="3"/>
      <c r="H169" s="3"/>
      <c r="I169" s="3"/>
      <c r="J169" s="3"/>
      <c r="K169" s="20">
        <v>22402</v>
      </c>
      <c r="L169" s="20" t="str">
        <v>0-1 Cars</v>
      </c>
      <c r="M169" s="20" t="str">
        <v>25-30</v>
      </c>
      <c r="N169" s="20" t="str">
        <v>2-5 Miles</v>
      </c>
      <c r="O169" s="20">
        <v>0</v>
      </c>
      <c r="P169" s="20" t="str">
        <v>Partial College</v>
      </c>
      <c r="Q169" s="20" t="str">
        <v>Pacific</v>
      </c>
      <c r="R169" s="20" t="str">
        <v>Married</v>
      </c>
      <c r="S169" s="20" t="str">
        <v>$10k-30k</v>
      </c>
      <c r="T169" s="89">
        <v>0.49298270500351343</v>
      </c>
      <c r="U169" s="91">
        <v>64.378022845024603</v>
      </c>
      <c r="V169" s="49">
        <v>436</v>
      </c>
      <c r="W169" s="20">
        <v>5</v>
      </c>
      <c r="X169" s="20" t="str">
        <v>Warm</v>
      </c>
      <c r="Y169" s="20">
        <v>1</v>
      </c>
    </row>
    <row r="170" spans="1:25" ht="15" customHeight="1" x14ac:dyDescent="0.25">
      <c r="A170" s="3"/>
      <c r="B170" s="3"/>
      <c r="C170" s="3"/>
      <c r="D170" s="3"/>
      <c r="E170" s="3"/>
      <c r="F170" s="3"/>
      <c r="G170" s="3"/>
      <c r="H170" s="3"/>
      <c r="I170" s="3"/>
      <c r="J170" s="3"/>
      <c r="K170" s="20">
        <v>15465</v>
      </c>
      <c r="L170" s="20" t="str">
        <v>0-1 Cars</v>
      </c>
      <c r="M170" s="20" t="str">
        <v>25-30</v>
      </c>
      <c r="N170" s="20" t="str">
        <v>0-1 Miles</v>
      </c>
      <c r="O170" s="20">
        <v>0</v>
      </c>
      <c r="P170" s="20" t="str">
        <v>Partial College</v>
      </c>
      <c r="Q170" s="20" t="str">
        <v>Pacific</v>
      </c>
      <c r="R170" s="20" t="str">
        <v>Married</v>
      </c>
      <c r="S170" s="20" t="str">
        <v>$10k-30k</v>
      </c>
      <c r="T170" s="89">
        <v>0.48721618358784141</v>
      </c>
      <c r="U170" s="91">
        <v>61.582104605528279</v>
      </c>
      <c r="V170" s="49">
        <v>466</v>
      </c>
      <c r="W170" s="20">
        <v>5</v>
      </c>
      <c r="X170" s="20" t="str">
        <v>Warm</v>
      </c>
      <c r="Y170" s="20">
        <v>0</v>
      </c>
    </row>
    <row r="171" spans="1:25" ht="15" customHeight="1" x14ac:dyDescent="0.25">
      <c r="A171" s="3"/>
      <c r="B171" s="3"/>
      <c r="C171" s="3"/>
      <c r="D171" s="3"/>
      <c r="E171" s="3"/>
      <c r="F171" s="3"/>
      <c r="G171" s="3"/>
      <c r="H171" s="3"/>
      <c r="I171" s="3"/>
      <c r="J171" s="3"/>
      <c r="K171" s="20">
        <v>26757</v>
      </c>
      <c r="L171" s="20" t="str">
        <v>0-1 Cars</v>
      </c>
      <c r="M171" s="20" t="str">
        <v>41-50</v>
      </c>
      <c r="N171" s="20" t="str">
        <v>2-5 Miles</v>
      </c>
      <c r="O171" s="20">
        <v>1</v>
      </c>
      <c r="P171" s="20" t="str">
        <v>Bachelors</v>
      </c>
      <c r="Q171" s="20" t="str">
        <v>Pacific</v>
      </c>
      <c r="R171" s="20" t="str">
        <v>Single</v>
      </c>
      <c r="S171" s="20" t="str">
        <v>$70k-90k</v>
      </c>
      <c r="T171" s="89">
        <v>0.55067875611524719</v>
      </c>
      <c r="U171" s="91">
        <v>92.352156646348575</v>
      </c>
      <c r="V171" s="49">
        <v>47</v>
      </c>
      <c r="W171" s="20">
        <v>1</v>
      </c>
      <c r="X171" s="20" t="str">
        <v>Hot</v>
      </c>
      <c r="Y171" s="20">
        <v>1</v>
      </c>
    </row>
    <row r="172" spans="1:25" ht="15" customHeight="1" x14ac:dyDescent="0.25">
      <c r="A172" s="3"/>
      <c r="B172" s="3"/>
      <c r="C172" s="3"/>
      <c r="D172" s="3"/>
      <c r="E172" s="3"/>
      <c r="F172" s="3"/>
      <c r="G172" s="3"/>
      <c r="H172" s="3"/>
      <c r="I172" s="3"/>
      <c r="J172" s="3"/>
      <c r="K172" s="20">
        <v>14233</v>
      </c>
      <c r="L172" s="20" t="str">
        <v>2+ Cars</v>
      </c>
      <c r="M172" s="20" t="str">
        <v>31-40</v>
      </c>
      <c r="N172" s="20" t="str">
        <v>10+ Miles</v>
      </c>
      <c r="O172" s="20">
        <v>0</v>
      </c>
      <c r="P172" s="20" t="str">
        <v>High School</v>
      </c>
      <c r="Q172" s="20" t="str">
        <v>Pacific</v>
      </c>
      <c r="R172" s="20" t="str">
        <v>Single</v>
      </c>
      <c r="S172" s="20" t="str">
        <v>$100k+</v>
      </c>
      <c r="T172" s="89">
        <v>0.46917771334430108</v>
      </c>
      <c r="U172" s="91">
        <v>52.836088709452945</v>
      </c>
      <c r="V172" s="49">
        <v>581</v>
      </c>
      <c r="W172" s="20">
        <v>6</v>
      </c>
      <c r="X172" s="20" t="str">
        <v>Warm</v>
      </c>
      <c r="Y172" s="20">
        <v>0</v>
      </c>
    </row>
    <row r="173" spans="1:25" ht="15" customHeight="1" x14ac:dyDescent="0.25">
      <c r="A173" s="3"/>
      <c r="B173" s="3"/>
      <c r="C173" s="3"/>
      <c r="D173" s="3"/>
      <c r="E173" s="3"/>
      <c r="F173" s="3"/>
      <c r="G173" s="3"/>
      <c r="H173" s="3"/>
      <c r="I173" s="3"/>
      <c r="J173" s="3"/>
      <c r="K173" s="20">
        <v>14058</v>
      </c>
      <c r="L173" s="20" t="str">
        <v>0-1 Cars</v>
      </c>
      <c r="M173" s="20" t="str">
        <v>41-50</v>
      </c>
      <c r="N173" s="20" t="str">
        <v>5-10 Miles</v>
      </c>
      <c r="O173" s="20">
        <v>0</v>
      </c>
      <c r="P173" s="20" t="str">
        <v>Bachelors</v>
      </c>
      <c r="Q173" s="20" t="str">
        <v>Pacific</v>
      </c>
      <c r="R173" s="20" t="str">
        <v>Single</v>
      </c>
      <c r="S173" s="20" t="str">
        <v>$70k-90k</v>
      </c>
      <c r="T173" s="89">
        <v>0.51364222394441361</v>
      </c>
      <c r="U173" s="91">
        <v>74.394863443084063</v>
      </c>
      <c r="V173" s="49">
        <v>288</v>
      </c>
      <c r="W173" s="20">
        <v>3</v>
      </c>
      <c r="X173" s="20" t="str">
        <v>Hot</v>
      </c>
      <c r="Y173" s="20">
        <v>1</v>
      </c>
    </row>
    <row r="174" spans="1:25" ht="15" customHeight="1" x14ac:dyDescent="0.25">
      <c r="A174" s="3"/>
      <c r="B174" s="3"/>
      <c r="C174" s="3"/>
      <c r="D174" s="3"/>
      <c r="E174" s="3"/>
      <c r="F174" s="3"/>
      <c r="G174" s="3"/>
      <c r="H174" s="3"/>
      <c r="I174" s="3"/>
      <c r="J174" s="3"/>
      <c r="K174" s="20">
        <v>12273</v>
      </c>
      <c r="L174" s="20" t="str">
        <v>0-1 Cars</v>
      </c>
      <c r="M174" s="20" t="str">
        <v>41-50</v>
      </c>
      <c r="N174" s="20" t="str">
        <v>0-1 Miles</v>
      </c>
      <c r="O174" s="20">
        <v>1</v>
      </c>
      <c r="P174" s="20" t="str">
        <v>Bachelors</v>
      </c>
      <c r="Q174" s="20" t="str">
        <v>Europe</v>
      </c>
      <c r="R174" s="20" t="str">
        <v>Married</v>
      </c>
      <c r="S174" s="20" t="str">
        <v>$10k-30k</v>
      </c>
      <c r="T174" s="89">
        <v>0.51870348096830421</v>
      </c>
      <c r="U174" s="91">
        <v>76.848831755664335</v>
      </c>
      <c r="V174" s="49">
        <v>262</v>
      </c>
      <c r="W174" s="20">
        <v>3</v>
      </c>
      <c r="X174" s="20" t="str">
        <v>Hot</v>
      </c>
      <c r="Y174" s="20">
        <v>0</v>
      </c>
    </row>
    <row r="175" spans="1:25" ht="15" customHeight="1" x14ac:dyDescent="0.25">
      <c r="A175" s="3"/>
      <c r="B175" s="3"/>
      <c r="C175" s="3"/>
      <c r="D175" s="3"/>
      <c r="E175" s="3"/>
      <c r="F175" s="3"/>
      <c r="G175" s="3"/>
      <c r="H175" s="3"/>
      <c r="I175" s="3"/>
      <c r="J175" s="3"/>
      <c r="K175" s="20">
        <v>17203</v>
      </c>
      <c r="L175" s="20" t="str">
        <v>2+ Cars</v>
      </c>
      <c r="M175" s="20" t="str">
        <v>61+</v>
      </c>
      <c r="N175" s="20" t="str">
        <v>5-10 Miles</v>
      </c>
      <c r="O175" s="20">
        <v>4</v>
      </c>
      <c r="P175" s="20" t="str">
        <v>Partial College</v>
      </c>
      <c r="Q175" s="20" t="str">
        <v>Europe</v>
      </c>
      <c r="R175" s="20" t="str">
        <v>Married</v>
      </c>
      <c r="S175" s="20" t="str">
        <v>$100k+</v>
      </c>
      <c r="T175" s="89">
        <v>0.40573316821072264</v>
      </c>
      <c r="U175" s="91">
        <v>22.074777314089278</v>
      </c>
      <c r="V175" s="49">
        <v>954</v>
      </c>
      <c r="W175" s="20">
        <v>10</v>
      </c>
      <c r="X175" s="20" t="str">
        <v>Cold</v>
      </c>
      <c r="Y175" s="20">
        <v>1</v>
      </c>
    </row>
    <row r="176" spans="1:25" ht="15" customHeight="1" x14ac:dyDescent="0.25">
      <c r="A176" s="3"/>
      <c r="B176" s="3"/>
      <c r="C176" s="3"/>
      <c r="D176" s="3"/>
      <c r="E176" s="3"/>
      <c r="F176" s="3"/>
      <c r="G176" s="3"/>
      <c r="H176" s="3"/>
      <c r="I176" s="3"/>
      <c r="J176" s="3"/>
      <c r="K176" s="20">
        <v>18144</v>
      </c>
      <c r="L176" s="20" t="str">
        <v>2+ Cars</v>
      </c>
      <c r="M176" s="20" t="str">
        <v>61+</v>
      </c>
      <c r="N176" s="20" t="str">
        <v>2-5 Miles</v>
      </c>
      <c r="O176" s="20">
        <v>5</v>
      </c>
      <c r="P176" s="20" t="str">
        <v>Bachelors</v>
      </c>
      <c r="Q176" s="20" t="str">
        <v>Europe</v>
      </c>
      <c r="R176" s="20" t="str">
        <v>Married</v>
      </c>
      <c r="S176" s="20" t="str">
        <v>$70k-90k</v>
      </c>
      <c r="T176" s="89">
        <v>0.41815063207234093</v>
      </c>
      <c r="U176" s="91">
        <v>28.095428447826404</v>
      </c>
      <c r="V176" s="49">
        <v>904</v>
      </c>
      <c r="W176" s="20">
        <v>10</v>
      </c>
      <c r="X176" s="20" t="str">
        <v>Cold</v>
      </c>
      <c r="Y176" s="20">
        <v>0</v>
      </c>
    </row>
    <row r="177" spans="1:25" ht="15" customHeight="1" x14ac:dyDescent="0.25">
      <c r="A177" s="3"/>
      <c r="B177" s="3"/>
      <c r="C177" s="3"/>
      <c r="D177" s="3"/>
      <c r="E177" s="3"/>
      <c r="F177" s="3"/>
      <c r="G177" s="3"/>
      <c r="H177" s="3"/>
      <c r="I177" s="3"/>
      <c r="J177" s="3"/>
      <c r="K177" s="20">
        <v>23963</v>
      </c>
      <c r="L177" s="20" t="str">
        <v>2+ Cars</v>
      </c>
      <c r="M177" s="20" t="str">
        <v>31-40</v>
      </c>
      <c r="N177" s="20" t="str">
        <v>0-1 Miles</v>
      </c>
      <c r="O177" s="20">
        <v>0</v>
      </c>
      <c r="P177" s="20" t="str">
        <v>Partial High School</v>
      </c>
      <c r="Q177" s="20" t="str">
        <v>Europe</v>
      </c>
      <c r="R177" s="20" t="str">
        <v>Married</v>
      </c>
      <c r="S177" s="20" t="str">
        <v>$10k-30k</v>
      </c>
      <c r="T177" s="89">
        <v>0.45774240364962321</v>
      </c>
      <c r="U177" s="91">
        <v>47.291638486351999</v>
      </c>
      <c r="V177" s="49">
        <v>662</v>
      </c>
      <c r="W177" s="20">
        <v>7</v>
      </c>
      <c r="X177" s="20" t="str">
        <v>Cold</v>
      </c>
      <c r="Y177" s="20">
        <v>0</v>
      </c>
    </row>
    <row r="178" spans="1:25" ht="15" customHeight="1" x14ac:dyDescent="0.25">
      <c r="A178" s="3"/>
      <c r="B178" s="3"/>
      <c r="C178" s="3"/>
      <c r="D178" s="3"/>
      <c r="E178" s="3"/>
      <c r="F178" s="3"/>
      <c r="G178" s="3"/>
      <c r="H178" s="3"/>
      <c r="I178" s="3"/>
      <c r="J178" s="3"/>
      <c r="K178" s="20">
        <v>17907</v>
      </c>
      <c r="L178" s="20" t="str">
        <v>0-1 Cars</v>
      </c>
      <c r="M178" s="20" t="str">
        <v>25-30</v>
      </c>
      <c r="N178" s="20" t="str">
        <v>2-5 Miles</v>
      </c>
      <c r="O178" s="20">
        <v>0</v>
      </c>
      <c r="P178" s="20" t="str">
        <v>Partial College</v>
      </c>
      <c r="Q178" s="20" t="str">
        <v>Pacific</v>
      </c>
      <c r="R178" s="20" t="str">
        <v>Married</v>
      </c>
      <c r="S178" s="20" t="str">
        <v>$10k-30k</v>
      </c>
      <c r="T178" s="89">
        <v>0.49298270500351343</v>
      </c>
      <c r="U178" s="91">
        <v>64.378022845024603</v>
      </c>
      <c r="V178" s="49">
        <v>435</v>
      </c>
      <c r="W178" s="20">
        <v>5</v>
      </c>
      <c r="X178" s="20" t="str">
        <v>Warm</v>
      </c>
      <c r="Y178" s="20">
        <v>0</v>
      </c>
    </row>
    <row r="179" spans="1:25" ht="15" customHeight="1" x14ac:dyDescent="0.25">
      <c r="A179" s="3"/>
      <c r="B179" s="3"/>
      <c r="C179" s="3"/>
      <c r="D179" s="3"/>
      <c r="E179" s="3"/>
      <c r="F179" s="3"/>
      <c r="G179" s="3"/>
      <c r="H179" s="3"/>
      <c r="I179" s="3"/>
      <c r="J179" s="3"/>
      <c r="K179" s="20">
        <v>19442</v>
      </c>
      <c r="L179" s="20" t="str">
        <v>0-1 Cars</v>
      </c>
      <c r="M179" s="20" t="str">
        <v>31-40</v>
      </c>
      <c r="N179" s="20" t="str">
        <v>0-1 Miles</v>
      </c>
      <c r="O179" s="20">
        <v>0</v>
      </c>
      <c r="P179" s="20" t="str">
        <v>Graduate Degree</v>
      </c>
      <c r="Q179" s="20" t="str">
        <v>Europe</v>
      </c>
      <c r="R179" s="20" t="str">
        <v>Single</v>
      </c>
      <c r="S179" s="20" t="str">
        <v>$40k-60k</v>
      </c>
      <c r="T179" s="89">
        <v>0.5512054017750383</v>
      </c>
      <c r="U179" s="91">
        <v>92.607502651300493</v>
      </c>
      <c r="V179" s="49">
        <v>40</v>
      </c>
      <c r="W179" s="20">
        <v>1</v>
      </c>
      <c r="X179" s="20" t="str">
        <v>Hot</v>
      </c>
      <c r="Y179" s="20">
        <v>1</v>
      </c>
    </row>
    <row r="180" spans="1:25" ht="15" customHeight="1" x14ac:dyDescent="0.25">
      <c r="A180" s="3"/>
      <c r="B180" s="3"/>
      <c r="C180" s="3"/>
      <c r="D180" s="3"/>
      <c r="E180" s="3"/>
      <c r="F180" s="3"/>
      <c r="G180" s="3"/>
      <c r="H180" s="3"/>
      <c r="I180" s="3"/>
      <c r="J180" s="3"/>
      <c r="K180" s="20">
        <v>17504</v>
      </c>
      <c r="L180" s="20" t="str">
        <v>2+ Cars</v>
      </c>
      <c r="M180" s="20" t="str">
        <v>51-60</v>
      </c>
      <c r="N180" s="20" t="str">
        <v>5-10 Miles</v>
      </c>
      <c r="O180" s="20">
        <v>2</v>
      </c>
      <c r="P180" s="20" t="str">
        <v>Partial College</v>
      </c>
      <c r="Q180" s="20" t="str">
        <v>Pacific</v>
      </c>
      <c r="R180" s="20" t="str">
        <v>Single</v>
      </c>
      <c r="S180" s="20" t="str">
        <v>$70k-90k</v>
      </c>
      <c r="T180" s="89">
        <v>0.45453927295748892</v>
      </c>
      <c r="U180" s="91">
        <v>45.738589276946598</v>
      </c>
      <c r="V180" s="49">
        <v>698</v>
      </c>
      <c r="W180" s="20">
        <v>7</v>
      </c>
      <c r="X180" s="20" t="str">
        <v>Cold</v>
      </c>
      <c r="Y180" s="20">
        <v>1</v>
      </c>
    </row>
    <row r="181" spans="1:25" ht="15" customHeight="1" x14ac:dyDescent="0.25">
      <c r="A181" s="3"/>
      <c r="B181" s="3"/>
      <c r="C181" s="3"/>
      <c r="D181" s="3"/>
      <c r="E181" s="3"/>
      <c r="F181" s="3"/>
      <c r="G181" s="3"/>
      <c r="H181" s="3"/>
      <c r="I181" s="3"/>
      <c r="J181" s="3"/>
      <c r="K181" s="20">
        <v>12253</v>
      </c>
      <c r="L181" s="20" t="str">
        <v>0-1 Cars</v>
      </c>
      <c r="M181" s="20" t="str">
        <v>25-30</v>
      </c>
      <c r="N181" s="20" t="str">
        <v>0-1 Miles</v>
      </c>
      <c r="O181" s="20">
        <v>0</v>
      </c>
      <c r="P181" s="20" t="str">
        <v>Partial College</v>
      </c>
      <c r="Q181" s="20" t="str">
        <v>Pacific</v>
      </c>
      <c r="R181" s="20" t="str">
        <v>Single</v>
      </c>
      <c r="S181" s="20" t="str">
        <v>$10k-30k</v>
      </c>
      <c r="T181" s="89">
        <v>0.49689422629566654</v>
      </c>
      <c r="U181" s="91">
        <v>66.274537734432101</v>
      </c>
      <c r="V181" s="49">
        <v>400</v>
      </c>
      <c r="W181" s="20">
        <v>4</v>
      </c>
      <c r="X181" s="20" t="str">
        <v>Warm</v>
      </c>
      <c r="Y181" s="20">
        <v>1</v>
      </c>
    </row>
    <row r="182" spans="1:25" ht="15" customHeight="1" x14ac:dyDescent="0.25">
      <c r="A182" s="3"/>
      <c r="B182" s="3"/>
      <c r="C182" s="3"/>
      <c r="D182" s="3"/>
      <c r="E182" s="3"/>
      <c r="F182" s="3"/>
      <c r="G182" s="3"/>
      <c r="H182" s="3"/>
      <c r="I182" s="3"/>
      <c r="J182" s="3"/>
      <c r="K182" s="20">
        <v>27304</v>
      </c>
      <c r="L182" s="20" t="str">
        <v>2+ Cars</v>
      </c>
      <c r="M182" s="20" t="str">
        <v>41-50</v>
      </c>
      <c r="N182" s="20" t="str">
        <v>5-10 Miles</v>
      </c>
      <c r="O182" s="20">
        <v>2</v>
      </c>
      <c r="P182" s="20" t="str">
        <v>Partial College</v>
      </c>
      <c r="Q182" s="20" t="str">
        <v>Europe</v>
      </c>
      <c r="R182" s="20" t="str">
        <v>Single</v>
      </c>
      <c r="S182" s="20" t="str">
        <v>$100k+</v>
      </c>
      <c r="T182" s="89">
        <v>0.44691437242933701</v>
      </c>
      <c r="U182" s="91">
        <v>42.041629372650341</v>
      </c>
      <c r="V182" s="49">
        <v>739</v>
      </c>
      <c r="W182" s="20">
        <v>8</v>
      </c>
      <c r="X182" s="20" t="str">
        <v>Cold</v>
      </c>
      <c r="Y182" s="20">
        <v>0</v>
      </c>
    </row>
    <row r="183" spans="1:25" ht="15" customHeight="1" x14ac:dyDescent="0.25">
      <c r="A183" s="3"/>
      <c r="B183" s="3"/>
      <c r="C183" s="3"/>
      <c r="D183" s="3"/>
      <c r="E183" s="3"/>
      <c r="F183" s="3"/>
      <c r="G183" s="3"/>
      <c r="H183" s="3"/>
      <c r="I183" s="3"/>
      <c r="J183" s="3"/>
      <c r="K183" s="20">
        <v>14191</v>
      </c>
      <c r="L183" s="20" t="str">
        <v>2+ Cars</v>
      </c>
      <c r="M183" s="20" t="str">
        <v>51-60</v>
      </c>
      <c r="N183" s="20" t="str">
        <v>10+ Miles</v>
      </c>
      <c r="O183" s="20">
        <v>4</v>
      </c>
      <c r="P183" s="20" t="str">
        <v>Partial College</v>
      </c>
      <c r="Q183" s="20" t="str">
        <v>Europe</v>
      </c>
      <c r="R183" s="20" t="str">
        <v>Married</v>
      </c>
      <c r="S183" s="20" t="str">
        <v>$100k+</v>
      </c>
      <c r="T183" s="89">
        <v>0.41618056504153017</v>
      </c>
      <c r="U183" s="91">
        <v>27.140234502044052</v>
      </c>
      <c r="V183" s="49">
        <v>914</v>
      </c>
      <c r="W183" s="20">
        <v>10</v>
      </c>
      <c r="X183" s="20" t="str">
        <v>Cold</v>
      </c>
      <c r="Y183" s="20">
        <v>1</v>
      </c>
    </row>
    <row r="184" spans="1:25" ht="15" customHeight="1" x14ac:dyDescent="0.25">
      <c r="A184" s="3"/>
      <c r="B184" s="3"/>
      <c r="C184" s="3"/>
      <c r="D184" s="3"/>
      <c r="E184" s="3"/>
      <c r="F184" s="3"/>
      <c r="G184" s="3"/>
      <c r="H184" s="3"/>
      <c r="I184" s="3"/>
      <c r="J184" s="3"/>
      <c r="K184" s="20">
        <v>12212</v>
      </c>
      <c r="L184" s="20" t="str">
        <v>0-1 Cars</v>
      </c>
      <c r="M184" s="20" t="str">
        <v>31-40</v>
      </c>
      <c r="N184" s="20" t="str">
        <v>0-1 Miles</v>
      </c>
      <c r="O184" s="20">
        <v>0</v>
      </c>
      <c r="P184" s="20" t="str">
        <v>Graduate Degree</v>
      </c>
      <c r="Q184" s="20" t="str">
        <v>Europe</v>
      </c>
      <c r="R184" s="20" t="str">
        <v>Married</v>
      </c>
      <c r="S184" s="20" t="str">
        <v>$10k-30k</v>
      </c>
      <c r="T184" s="89">
        <v>0.53070197622796078</v>
      </c>
      <c r="U184" s="91">
        <v>82.666344485576687</v>
      </c>
      <c r="V184" s="49">
        <v>182</v>
      </c>
      <c r="W184" s="20">
        <v>2</v>
      </c>
      <c r="X184" s="20" t="str">
        <v>Hot</v>
      </c>
      <c r="Y184" s="20">
        <v>1</v>
      </c>
    </row>
    <row r="185" spans="1:25" ht="15" customHeight="1" x14ac:dyDescent="0.25">
      <c r="A185" s="3"/>
      <c r="B185" s="3"/>
      <c r="C185" s="3"/>
      <c r="D185" s="3"/>
      <c r="E185" s="3"/>
      <c r="F185" s="3"/>
      <c r="G185" s="3"/>
      <c r="H185" s="3"/>
      <c r="I185" s="3"/>
      <c r="J185" s="3"/>
      <c r="K185" s="20">
        <v>25529</v>
      </c>
      <c r="L185" s="20" t="str">
        <v>0-1 Cars</v>
      </c>
      <c r="M185" s="20" t="str">
        <v>41-50</v>
      </c>
      <c r="N185" s="20" t="str">
        <v>0-1 Miles</v>
      </c>
      <c r="O185" s="20">
        <v>1</v>
      </c>
      <c r="P185" s="20" t="str">
        <v>Graduate Degree</v>
      </c>
      <c r="Q185" s="20" t="str">
        <v>Europe</v>
      </c>
      <c r="R185" s="20" t="str">
        <v>Single</v>
      </c>
      <c r="S185" s="20" t="str">
        <v>$10k-30k</v>
      </c>
      <c r="T185" s="89">
        <v>0.52689119128079975</v>
      </c>
      <c r="U185" s="91">
        <v>80.818671968206189</v>
      </c>
      <c r="V185" s="49">
        <v>211</v>
      </c>
      <c r="W185" s="20">
        <v>3</v>
      </c>
      <c r="X185" s="20" t="str">
        <v>Hot</v>
      </c>
      <c r="Y185" s="20">
        <v>0</v>
      </c>
    </row>
    <row r="186" spans="1:25" ht="15" customHeight="1" x14ac:dyDescent="0.25">
      <c r="A186" s="3"/>
      <c r="B186" s="3"/>
      <c r="C186" s="3"/>
      <c r="D186" s="3"/>
      <c r="E186" s="3"/>
      <c r="F186" s="3"/>
      <c r="G186" s="3"/>
      <c r="H186" s="3"/>
      <c r="I186" s="3"/>
      <c r="J186" s="3"/>
      <c r="K186" s="20">
        <v>22170</v>
      </c>
      <c r="L186" s="20" t="str">
        <v>2+ Cars</v>
      </c>
      <c r="M186" s="20" t="str">
        <v>51-60</v>
      </c>
      <c r="N186" s="20" t="str">
        <v>1-2 Miles</v>
      </c>
      <c r="O186" s="20">
        <v>3</v>
      </c>
      <c r="P186" s="20" t="str">
        <v>Partial College</v>
      </c>
      <c r="Q186" s="20" t="str">
        <v>Pacific</v>
      </c>
      <c r="R186" s="20" t="str">
        <v>Married</v>
      </c>
      <c r="S186" s="20" t="str">
        <v>$10k-30k</v>
      </c>
      <c r="T186" s="89">
        <v>0.45684112346243705</v>
      </c>
      <c r="U186" s="91">
        <v>46.854649609938228</v>
      </c>
      <c r="V186" s="49">
        <v>679</v>
      </c>
      <c r="W186" s="20">
        <v>7</v>
      </c>
      <c r="X186" s="20" t="str">
        <v>Cold</v>
      </c>
      <c r="Y186" s="20">
        <v>1</v>
      </c>
    </row>
    <row r="187" spans="1:25" ht="15" customHeight="1" x14ac:dyDescent="0.25">
      <c r="A187" s="3"/>
      <c r="B187" s="3"/>
      <c r="C187" s="3"/>
      <c r="D187" s="3"/>
      <c r="E187" s="3"/>
      <c r="F187" s="3"/>
      <c r="G187" s="3"/>
      <c r="H187" s="3"/>
      <c r="I187" s="3"/>
      <c r="J187" s="3"/>
      <c r="K187" s="20">
        <v>19445</v>
      </c>
      <c r="L187" s="20" t="str">
        <v>0-1 Cars</v>
      </c>
      <c r="M187" s="20" t="str">
        <v>31-40</v>
      </c>
      <c r="N187" s="20" t="str">
        <v>0-1 Miles</v>
      </c>
      <c r="O187" s="20">
        <v>2</v>
      </c>
      <c r="P187" s="20" t="str">
        <v>High School</v>
      </c>
      <c r="Q187" s="20" t="str">
        <v>Europe</v>
      </c>
      <c r="R187" s="20" t="str">
        <v>Married</v>
      </c>
      <c r="S187" s="20" t="str">
        <v>$10k-30k</v>
      </c>
      <c r="T187" s="89">
        <v>0.51274776117510368</v>
      </c>
      <c r="U187" s="91">
        <v>73.961180015763858</v>
      </c>
      <c r="V187" s="49">
        <v>298</v>
      </c>
      <c r="W187" s="20">
        <v>3</v>
      </c>
      <c r="X187" s="20" t="str">
        <v>Hot</v>
      </c>
      <c r="Y187" s="20">
        <v>0</v>
      </c>
    </row>
    <row r="188" spans="1:25" ht="15" customHeight="1" x14ac:dyDescent="0.25">
      <c r="A188" s="3"/>
      <c r="B188" s="3"/>
      <c r="C188" s="3"/>
      <c r="D188" s="3"/>
      <c r="E188" s="3"/>
      <c r="F188" s="3"/>
      <c r="G188" s="3"/>
      <c r="H188" s="3"/>
      <c r="I188" s="3"/>
      <c r="J188" s="3"/>
      <c r="K188" s="20">
        <v>15265</v>
      </c>
      <c r="L188" s="20" t="str">
        <v>2+ Cars</v>
      </c>
      <c r="M188" s="20" t="str">
        <v>61+</v>
      </c>
      <c r="N188" s="20" t="str">
        <v>5-10 Miles</v>
      </c>
      <c r="O188" s="20">
        <v>2</v>
      </c>
      <c r="P188" s="20" t="str">
        <v>Bachelors</v>
      </c>
      <c r="Q188" s="20" t="str">
        <v>Pacific</v>
      </c>
      <c r="R188" s="20" t="str">
        <v>Single</v>
      </c>
      <c r="S188" s="20" t="str">
        <v>$40k-60k</v>
      </c>
      <c r="T188" s="89">
        <v>0.44560104359663127</v>
      </c>
      <c r="U188" s="91">
        <v>41.404857257690544</v>
      </c>
      <c r="V188" s="49">
        <v>748</v>
      </c>
      <c r="W188" s="20">
        <v>8</v>
      </c>
      <c r="X188" s="20" t="str">
        <v>Cold</v>
      </c>
      <c r="Y188" s="20">
        <v>1</v>
      </c>
    </row>
    <row r="189" spans="1:25" ht="15" customHeight="1" x14ac:dyDescent="0.25">
      <c r="A189" s="3"/>
      <c r="B189" s="3"/>
      <c r="C189" s="3"/>
      <c r="D189" s="3"/>
      <c r="E189" s="3"/>
      <c r="F189" s="3"/>
      <c r="G189" s="3"/>
      <c r="H189" s="3"/>
      <c r="I189" s="3"/>
      <c r="J189" s="3"/>
      <c r="K189" s="20">
        <v>28918</v>
      </c>
      <c r="L189" s="20" t="str">
        <v>2+ Cars</v>
      </c>
      <c r="M189" s="20" t="str">
        <v>51-60</v>
      </c>
      <c r="N189" s="20" t="str">
        <v>10+ Miles</v>
      </c>
      <c r="O189" s="20">
        <v>4</v>
      </c>
      <c r="P189" s="20" t="str">
        <v>High School</v>
      </c>
      <c r="Q189" s="20" t="str">
        <v>Europe</v>
      </c>
      <c r="R189" s="20" t="str">
        <v>Married</v>
      </c>
      <c r="S189" s="20" t="str">
        <v>$100k+</v>
      </c>
      <c r="T189" s="89">
        <v>0.41522688878775388</v>
      </c>
      <c r="U189" s="91">
        <v>26.677841208010488</v>
      </c>
      <c r="V189" s="49">
        <v>919</v>
      </c>
      <c r="W189" s="20">
        <v>10</v>
      </c>
      <c r="X189" s="20" t="str">
        <v>Cold</v>
      </c>
      <c r="Y189" s="20">
        <v>0</v>
      </c>
    </row>
    <row r="190" spans="1:25" ht="15" customHeight="1" x14ac:dyDescent="0.25">
      <c r="A190" s="3"/>
      <c r="B190" s="3"/>
      <c r="C190" s="3"/>
      <c r="D190" s="3"/>
      <c r="E190" s="3"/>
      <c r="F190" s="3"/>
      <c r="G190" s="3"/>
      <c r="H190" s="3"/>
      <c r="I190" s="3"/>
      <c r="J190" s="3"/>
      <c r="K190" s="20">
        <v>15799</v>
      </c>
      <c r="L190" s="20" t="str">
        <v>0-1 Cars</v>
      </c>
      <c r="M190" s="20" t="str">
        <v>41-50</v>
      </c>
      <c r="N190" s="20" t="str">
        <v>2-5 Miles</v>
      </c>
      <c r="O190" s="20">
        <v>1</v>
      </c>
      <c r="P190" s="20" t="str">
        <v>Bachelors</v>
      </c>
      <c r="Q190" s="20" t="str">
        <v>Pacific</v>
      </c>
      <c r="R190" s="20" t="str">
        <v>Married</v>
      </c>
      <c r="S190" s="20" t="str">
        <v>$70k-90k</v>
      </c>
      <c r="T190" s="89">
        <v>0.54100071340742195</v>
      </c>
      <c r="U190" s="91">
        <v>87.659723517444704</v>
      </c>
      <c r="V190" s="49">
        <v>110</v>
      </c>
      <c r="W190" s="20">
        <v>2</v>
      </c>
      <c r="X190" s="20" t="str">
        <v>Hot</v>
      </c>
      <c r="Y190" s="20">
        <v>1</v>
      </c>
    </row>
    <row r="191" spans="1:25" ht="15" customHeight="1" x14ac:dyDescent="0.25">
      <c r="A191" s="3"/>
      <c r="B191" s="3"/>
      <c r="C191" s="3"/>
      <c r="D191" s="3"/>
      <c r="E191" s="3"/>
      <c r="F191" s="3"/>
      <c r="G191" s="3"/>
      <c r="H191" s="3"/>
      <c r="I191" s="3"/>
      <c r="J191" s="3"/>
      <c r="K191" s="20">
        <v>11047</v>
      </c>
      <c r="L191" s="20" t="str">
        <v>2+ Cars</v>
      </c>
      <c r="M191" s="20" t="str">
        <v>51-60</v>
      </c>
      <c r="N191" s="20" t="str">
        <v>1-2 Miles</v>
      </c>
      <c r="O191" s="20">
        <v>3</v>
      </c>
      <c r="P191" s="20" t="str">
        <v>High School</v>
      </c>
      <c r="Q191" s="20" t="str">
        <v>Pacific</v>
      </c>
      <c r="R191" s="20" t="str">
        <v>Married</v>
      </c>
      <c r="S191" s="20" t="str">
        <v>$10k-30k</v>
      </c>
      <c r="T191" s="89">
        <v>0.45588744720866081</v>
      </c>
      <c r="U191" s="91">
        <v>46.392256315904696</v>
      </c>
      <c r="V191" s="49">
        <v>684</v>
      </c>
      <c r="W191" s="20">
        <v>7</v>
      </c>
      <c r="X191" s="20" t="str">
        <v>Cold</v>
      </c>
      <c r="Y191" s="20">
        <v>1</v>
      </c>
    </row>
    <row r="192" spans="1:25" ht="15" customHeight="1" x14ac:dyDescent="0.25">
      <c r="A192" s="3"/>
      <c r="B192" s="3"/>
      <c r="C192" s="3"/>
      <c r="D192" s="3"/>
      <c r="E192" s="3"/>
      <c r="F192" s="3"/>
      <c r="G192" s="3"/>
      <c r="H192" s="3"/>
      <c r="I192" s="3"/>
      <c r="J192" s="3"/>
      <c r="K192" s="20">
        <v>18151</v>
      </c>
      <c r="L192" s="20" t="str">
        <v>2+ Cars</v>
      </c>
      <c r="M192" s="20" t="str">
        <v>51-60</v>
      </c>
      <c r="N192" s="20" t="str">
        <v>10+ Miles</v>
      </c>
      <c r="O192" s="20">
        <v>5</v>
      </c>
      <c r="P192" s="20" t="str">
        <v>Partial College</v>
      </c>
      <c r="Q192" s="20" t="str">
        <v>Europe</v>
      </c>
      <c r="R192" s="20" t="str">
        <v>Single</v>
      </c>
      <c r="S192" s="20" t="str">
        <v>$70k-90k</v>
      </c>
      <c r="T192" s="89">
        <v>0.39802172031228189</v>
      </c>
      <c r="U192" s="91">
        <v>18.335854612167164</v>
      </c>
      <c r="V192" s="49">
        <v>974</v>
      </c>
      <c r="W192" s="20">
        <v>10</v>
      </c>
      <c r="X192" s="20" t="str">
        <v>Cold</v>
      </c>
      <c r="Y192" s="20">
        <v>0</v>
      </c>
    </row>
    <row r="193" spans="1:25" ht="15" customHeight="1" x14ac:dyDescent="0.25">
      <c r="A193" s="3"/>
      <c r="B193" s="3"/>
      <c r="C193" s="3"/>
      <c r="D193" s="3"/>
      <c r="E193" s="3"/>
      <c r="F193" s="3"/>
      <c r="G193" s="3"/>
      <c r="H193" s="3"/>
      <c r="I193" s="3"/>
      <c r="J193" s="3"/>
      <c r="K193" s="20">
        <v>20606</v>
      </c>
      <c r="L193" s="20" t="str">
        <v>2+ Cars</v>
      </c>
      <c r="M193" s="20" t="str">
        <v>31-40</v>
      </c>
      <c r="N193" s="20" t="str">
        <v>10+ Miles</v>
      </c>
      <c r="O193" s="20">
        <v>0</v>
      </c>
      <c r="P193" s="20" t="str">
        <v>Bachelors</v>
      </c>
      <c r="Q193" s="20" t="str">
        <v>Pacific</v>
      </c>
      <c r="R193" s="20" t="str">
        <v>Married</v>
      </c>
      <c r="S193" s="20" t="str">
        <v>$70k-90k</v>
      </c>
      <c r="T193" s="89">
        <v>0.47406577485433971</v>
      </c>
      <c r="U193" s="91">
        <v>55.206082566504165</v>
      </c>
      <c r="V193" s="49">
        <v>547</v>
      </c>
      <c r="W193" s="20">
        <v>6</v>
      </c>
      <c r="X193" s="20" t="str">
        <v>Warm</v>
      </c>
      <c r="Y193" s="20">
        <v>1</v>
      </c>
    </row>
    <row r="194" spans="1:25" ht="15" customHeight="1" x14ac:dyDescent="0.25">
      <c r="A194" s="3"/>
      <c r="B194" s="3"/>
      <c r="C194" s="3"/>
      <c r="D194" s="3"/>
      <c r="E194" s="3"/>
      <c r="F194" s="3"/>
      <c r="G194" s="3"/>
      <c r="H194" s="3"/>
      <c r="I194" s="3"/>
      <c r="J194" s="3"/>
      <c r="K194" s="20">
        <v>19482</v>
      </c>
      <c r="L194" s="20" t="str">
        <v>0-1 Cars</v>
      </c>
      <c r="M194" s="20" t="str">
        <v>41-50</v>
      </c>
      <c r="N194" s="20" t="str">
        <v>0-1 Miles</v>
      </c>
      <c r="O194" s="20">
        <v>1</v>
      </c>
      <c r="P194" s="20" t="str">
        <v>Partial College</v>
      </c>
      <c r="Q194" s="20" t="str">
        <v>Europe</v>
      </c>
      <c r="R194" s="20" t="str">
        <v>Married</v>
      </c>
      <c r="S194" s="20" t="str">
        <v>$10k-30k</v>
      </c>
      <c r="T194" s="89">
        <v>0.50594412276136291</v>
      </c>
      <c r="U194" s="91">
        <v>70.662411943175528</v>
      </c>
      <c r="V194" s="49">
        <v>337</v>
      </c>
      <c r="W194" s="20">
        <v>4</v>
      </c>
      <c r="X194" s="20" t="str">
        <v>Warm</v>
      </c>
      <c r="Y194" s="20">
        <v>1</v>
      </c>
    </row>
    <row r="195" spans="1:25" ht="15" customHeight="1" x14ac:dyDescent="0.25">
      <c r="A195" s="3"/>
      <c r="B195" s="3"/>
      <c r="C195" s="3"/>
      <c r="D195" s="3"/>
      <c r="E195" s="3"/>
      <c r="F195" s="3"/>
      <c r="G195" s="3"/>
      <c r="H195" s="3"/>
      <c r="I195" s="3"/>
      <c r="J195" s="3"/>
      <c r="K195" s="20">
        <v>16489</v>
      </c>
      <c r="L195" s="20" t="str">
        <v>2+ Cars</v>
      </c>
      <c r="M195" s="20" t="str">
        <v>51-60</v>
      </c>
      <c r="N195" s="20" t="str">
        <v>5-10 Miles</v>
      </c>
      <c r="O195" s="20">
        <v>3</v>
      </c>
      <c r="P195" s="20" t="str">
        <v>High School</v>
      </c>
      <c r="Q195" s="20" t="str">
        <v>Pacific</v>
      </c>
      <c r="R195" s="20" t="str">
        <v>Married</v>
      </c>
      <c r="S195" s="20" t="str">
        <v>$10k-30k</v>
      </c>
      <c r="T195" s="89">
        <v>0.447262122374881</v>
      </c>
      <c r="U195" s="91">
        <v>42.210237159814341</v>
      </c>
      <c r="V195" s="49">
        <v>734</v>
      </c>
      <c r="W195" s="20">
        <v>8</v>
      </c>
      <c r="X195" s="20" t="str">
        <v>Cold</v>
      </c>
      <c r="Y195" s="20">
        <v>0</v>
      </c>
    </row>
    <row r="196" spans="1:25" ht="15" customHeight="1" x14ac:dyDescent="0.25">
      <c r="A196" s="3"/>
      <c r="B196" s="3"/>
      <c r="C196" s="3"/>
      <c r="D196" s="3"/>
      <c r="E196" s="3"/>
      <c r="F196" s="3"/>
      <c r="G196" s="3"/>
      <c r="H196" s="3"/>
      <c r="I196" s="3"/>
      <c r="J196" s="3"/>
      <c r="K196" s="20">
        <v>26944</v>
      </c>
      <c r="L196" s="20" t="str">
        <v>0-1 Cars</v>
      </c>
      <c r="M196" s="20" t="str">
        <v>31-40</v>
      </c>
      <c r="N196" s="20" t="str">
        <v>0-1 Miles</v>
      </c>
      <c r="O196" s="20">
        <v>2</v>
      </c>
      <c r="P196" s="20" t="str">
        <v>High School</v>
      </c>
      <c r="Q196" s="20" t="str">
        <v>Europe</v>
      </c>
      <c r="R196" s="20" t="str">
        <v>Single</v>
      </c>
      <c r="S196" s="20" t="str">
        <v>$70k-90k</v>
      </c>
      <c r="T196" s="89">
        <v>0.53028605386156669</v>
      </c>
      <c r="U196" s="91">
        <v>82.464683059807015</v>
      </c>
      <c r="V196" s="49">
        <v>183</v>
      </c>
      <c r="W196" s="20">
        <v>2</v>
      </c>
      <c r="X196" s="20" t="str">
        <v>Hot</v>
      </c>
      <c r="Y196" s="20">
        <v>1</v>
      </c>
    </row>
    <row r="197" spans="1:25" ht="15" customHeight="1" x14ac:dyDescent="0.25">
      <c r="A197" s="3"/>
      <c r="B197" s="3"/>
      <c r="C197" s="3"/>
      <c r="D197" s="3"/>
      <c r="E197" s="3"/>
      <c r="F197" s="3"/>
      <c r="G197" s="3"/>
      <c r="H197" s="3"/>
      <c r="I197" s="3"/>
      <c r="J197" s="3"/>
      <c r="K197" s="20">
        <v>15682</v>
      </c>
      <c r="L197" s="20" t="str">
        <v>2+ Cars</v>
      </c>
      <c r="M197" s="20" t="str">
        <v>61+</v>
      </c>
      <c r="N197" s="20" t="str">
        <v>10+ Miles</v>
      </c>
      <c r="O197" s="20">
        <v>5</v>
      </c>
      <c r="P197" s="20" t="str">
        <v>Bachelors</v>
      </c>
      <c r="Q197" s="20" t="str">
        <v>Europe</v>
      </c>
      <c r="R197" s="20" t="str">
        <v>Single</v>
      </c>
      <c r="S197" s="20" t="str">
        <v>$70k-90k</v>
      </c>
      <c r="T197" s="89">
        <v>0.3861183580908098</v>
      </c>
      <c r="U197" s="91">
        <v>12.564467471230492</v>
      </c>
      <c r="V197" s="49">
        <v>991</v>
      </c>
      <c r="W197" s="20">
        <v>10</v>
      </c>
      <c r="X197" s="20" t="str">
        <v>Cold</v>
      </c>
      <c r="Y197" s="20">
        <v>0</v>
      </c>
    </row>
    <row r="198" spans="1:25" ht="15" customHeight="1" x14ac:dyDescent="0.25">
      <c r="A198" s="3"/>
      <c r="B198" s="3"/>
      <c r="C198" s="3"/>
      <c r="D198" s="3"/>
      <c r="E198" s="3"/>
      <c r="F198" s="3"/>
      <c r="G198" s="3"/>
      <c r="H198" s="3"/>
      <c r="I198" s="3"/>
      <c r="J198" s="3"/>
      <c r="K198" s="20">
        <v>26032</v>
      </c>
      <c r="L198" s="20" t="str">
        <v>2+ Cars</v>
      </c>
      <c r="M198" s="20" t="str">
        <v>41-50</v>
      </c>
      <c r="N198" s="20" t="str">
        <v>10+ Miles</v>
      </c>
      <c r="O198" s="20">
        <v>5</v>
      </c>
      <c r="P198" s="20" t="str">
        <v>Bachelors</v>
      </c>
      <c r="Q198" s="20" t="str">
        <v>Pacific</v>
      </c>
      <c r="R198" s="20" t="str">
        <v>Married</v>
      </c>
      <c r="S198" s="20" t="str">
        <v>$70k-90k</v>
      </c>
      <c r="T198" s="89">
        <v>0.41167212713000806</v>
      </c>
      <c r="U198" s="91">
        <v>24.954302485177966</v>
      </c>
      <c r="V198" s="49">
        <v>939</v>
      </c>
      <c r="W198" s="20">
        <v>10</v>
      </c>
      <c r="X198" s="20" t="str">
        <v>Cold</v>
      </c>
      <c r="Y198" s="20">
        <v>0</v>
      </c>
    </row>
    <row r="199" spans="1:25" ht="15" customHeight="1" x14ac:dyDescent="0.25">
      <c r="A199" s="3"/>
      <c r="B199" s="3"/>
      <c r="C199" s="3"/>
      <c r="D199" s="3"/>
      <c r="E199" s="3"/>
      <c r="F199" s="3"/>
      <c r="G199" s="3"/>
      <c r="H199" s="3"/>
      <c r="I199" s="3"/>
      <c r="J199" s="3"/>
      <c r="K199" s="20">
        <v>17843</v>
      </c>
      <c r="L199" s="20" t="str">
        <v>2+ Cars</v>
      </c>
      <c r="M199" s="20" t="str">
        <v>31-40</v>
      </c>
      <c r="N199" s="20" t="str">
        <v>0-1 Miles</v>
      </c>
      <c r="O199" s="20">
        <v>0</v>
      </c>
      <c r="P199" s="20" t="str">
        <v>Partial High School</v>
      </c>
      <c r="Q199" s="20" t="str">
        <v>Europe</v>
      </c>
      <c r="R199" s="20" t="str">
        <v>Single</v>
      </c>
      <c r="S199" s="20" t="str">
        <v>$10k-30k</v>
      </c>
      <c r="T199" s="89">
        <v>0.46742044635744834</v>
      </c>
      <c r="U199" s="91">
        <v>51.984071615255822</v>
      </c>
      <c r="V199" s="49">
        <v>598</v>
      </c>
      <c r="W199" s="20">
        <v>6</v>
      </c>
      <c r="X199" s="20" t="str">
        <v>Warm</v>
      </c>
      <c r="Y199" s="20">
        <v>0</v>
      </c>
    </row>
    <row r="200" spans="1:25" ht="15" customHeight="1" x14ac:dyDescent="0.25">
      <c r="A200" s="3"/>
      <c r="B200" s="3"/>
      <c r="C200" s="3"/>
      <c r="D200" s="3"/>
      <c r="E200" s="3"/>
      <c r="F200" s="3"/>
      <c r="G200" s="3"/>
      <c r="H200" s="3"/>
      <c r="I200" s="3"/>
      <c r="J200" s="3"/>
      <c r="K200" s="20">
        <v>25559</v>
      </c>
      <c r="L200" s="20" t="str">
        <v>0-1 Cars</v>
      </c>
      <c r="M200" s="20" t="str">
        <v>25-30</v>
      </c>
      <c r="N200" s="20" t="str">
        <v>0-1 Miles</v>
      </c>
      <c r="O200" s="20">
        <v>0</v>
      </c>
      <c r="P200" s="20" t="str">
        <v>Bachelors</v>
      </c>
      <c r="Q200" s="20" t="str">
        <v>Pacific</v>
      </c>
      <c r="R200" s="20" t="str">
        <v>Single</v>
      </c>
      <c r="S200" s="20" t="str">
        <v>$10k-30k</v>
      </c>
      <c r="T200" s="89">
        <v>0.50965358450260789</v>
      </c>
      <c r="U200" s="91">
        <v>72.460957546920937</v>
      </c>
      <c r="V200" s="49">
        <v>320</v>
      </c>
      <c r="W200" s="20">
        <v>4</v>
      </c>
      <c r="X200" s="20" t="str">
        <v>Warm</v>
      </c>
      <c r="Y200" s="20">
        <v>1</v>
      </c>
    </row>
    <row r="201" spans="1:25" ht="15" customHeight="1" x14ac:dyDescent="0.25">
      <c r="A201" s="3"/>
      <c r="B201" s="3"/>
      <c r="C201" s="3"/>
      <c r="D201" s="3"/>
      <c r="E201" s="3"/>
      <c r="F201" s="3"/>
      <c r="G201" s="3"/>
      <c r="H201" s="3"/>
      <c r="I201" s="3"/>
      <c r="J201" s="3"/>
      <c r="K201" s="20">
        <v>16209</v>
      </c>
      <c r="L201" s="20" t="str">
        <v>0-1 Cars</v>
      </c>
      <c r="M201" s="20" t="str">
        <v>31-40</v>
      </c>
      <c r="N201" s="20" t="str">
        <v>1-2 Miles</v>
      </c>
      <c r="O201" s="20">
        <v>0</v>
      </c>
      <c r="P201" s="20" t="str">
        <v>Graduate Degree</v>
      </c>
      <c r="Q201" s="20" t="str">
        <v>Europe</v>
      </c>
      <c r="R201" s="20" t="str">
        <v>Single</v>
      </c>
      <c r="S201" s="20" t="str">
        <v>$40k-60k</v>
      </c>
      <c r="T201" s="89">
        <v>0.53810225493273978</v>
      </c>
      <c r="U201" s="91">
        <v>86.254395706858176</v>
      </c>
      <c r="V201" s="49">
        <v>127</v>
      </c>
      <c r="W201" s="20">
        <v>2</v>
      </c>
      <c r="X201" s="20" t="str">
        <v>Hot</v>
      </c>
      <c r="Y201" s="20">
        <v>0</v>
      </c>
    </row>
    <row r="202" spans="1:25" ht="15" customHeight="1" x14ac:dyDescent="0.25">
      <c r="A202" s="3"/>
      <c r="B202" s="3"/>
      <c r="C202" s="3"/>
      <c r="D202" s="3"/>
      <c r="E202" s="3"/>
      <c r="F202" s="3"/>
      <c r="G202" s="3"/>
      <c r="H202" s="3"/>
      <c r="I202" s="3"/>
      <c r="J202" s="3"/>
      <c r="K202" s="20">
        <v>11147</v>
      </c>
      <c r="L202" s="20" t="str">
        <v>0-1 Cars</v>
      </c>
      <c r="M202" s="20" t="str">
        <v>61+</v>
      </c>
      <c r="N202" s="20" t="str">
        <v>0-1 Miles</v>
      </c>
      <c r="O202" s="20">
        <v>2</v>
      </c>
      <c r="P202" s="20" t="str">
        <v>Graduate Degree</v>
      </c>
      <c r="Q202" s="20" t="str">
        <v>Pacific</v>
      </c>
      <c r="R202" s="20" t="str">
        <v>Married</v>
      </c>
      <c r="S202" s="20" t="str">
        <v>$40k-60k</v>
      </c>
      <c r="T202" s="89">
        <v>0.49487458968826697</v>
      </c>
      <c r="U202" s="91">
        <v>65.295309804672499</v>
      </c>
      <c r="V202" s="49">
        <v>415</v>
      </c>
      <c r="W202" s="20">
        <v>5</v>
      </c>
      <c r="X202" s="20" t="str">
        <v>Warm</v>
      </c>
      <c r="Y202" s="20">
        <v>1</v>
      </c>
    </row>
    <row r="203" spans="1:25" ht="15" customHeight="1" x14ac:dyDescent="0.25">
      <c r="A203" s="3"/>
      <c r="B203" s="3"/>
      <c r="C203" s="3"/>
      <c r="D203" s="3"/>
      <c r="E203" s="3"/>
      <c r="F203" s="3"/>
      <c r="G203" s="3"/>
      <c r="H203" s="3"/>
      <c r="I203" s="3"/>
      <c r="J203" s="3"/>
      <c r="K203" s="20">
        <v>15214</v>
      </c>
      <c r="L203" s="20" t="str">
        <v>0-1 Cars</v>
      </c>
      <c r="M203" s="20" t="str">
        <v>31-40</v>
      </c>
      <c r="N203" s="20" t="str">
        <v>1-2 Miles</v>
      </c>
      <c r="O203" s="20">
        <v>0</v>
      </c>
      <c r="P203" s="20" t="str">
        <v>Graduate Degree</v>
      </c>
      <c r="Q203" s="20" t="str">
        <v>Pacific</v>
      </c>
      <c r="R203" s="20" t="str">
        <v>Single</v>
      </c>
      <c r="S203" s="20" t="str">
        <v>$100k+</v>
      </c>
      <c r="T203" s="89">
        <v>0.54295451335978706</v>
      </c>
      <c r="U203" s="91">
        <v>88.607030312889606</v>
      </c>
      <c r="V203" s="49">
        <v>92</v>
      </c>
      <c r="W203" s="20">
        <v>1</v>
      </c>
      <c r="X203" s="20" t="str">
        <v>Hot</v>
      </c>
      <c r="Y203" s="20">
        <v>1</v>
      </c>
    </row>
    <row r="204" spans="1:25" ht="15" customHeight="1" x14ac:dyDescent="0.25">
      <c r="A204" s="3"/>
      <c r="B204" s="3"/>
      <c r="C204" s="3"/>
      <c r="D204" s="3"/>
      <c r="E204" s="3"/>
      <c r="F204" s="3"/>
      <c r="G204" s="3"/>
      <c r="H204" s="3"/>
      <c r="I204" s="3"/>
      <c r="J204" s="3"/>
      <c r="K204" s="20">
        <v>11453</v>
      </c>
      <c r="L204" s="20" t="str">
        <v>2+ Cars</v>
      </c>
      <c r="M204" s="20" t="str">
        <v>31-40</v>
      </c>
      <c r="N204" s="20" t="str">
        <v>10+ Miles</v>
      </c>
      <c r="O204" s="20">
        <v>0</v>
      </c>
      <c r="P204" s="20" t="str">
        <v>Bachelors</v>
      </c>
      <c r="Q204" s="20" t="str">
        <v>Pacific</v>
      </c>
      <c r="R204" s="20" t="str">
        <v>Single</v>
      </c>
      <c r="S204" s="20" t="str">
        <v>$70k-90k</v>
      </c>
      <c r="T204" s="89">
        <v>0.48374381756216484</v>
      </c>
      <c r="U204" s="91">
        <v>59.898515695407994</v>
      </c>
      <c r="V204" s="49">
        <v>482</v>
      </c>
      <c r="W204" s="20">
        <v>5</v>
      </c>
      <c r="X204" s="20" t="str">
        <v>Warm</v>
      </c>
      <c r="Y204" s="20">
        <v>1</v>
      </c>
    </row>
    <row r="205" spans="1:25" ht="15" customHeight="1" x14ac:dyDescent="0.25">
      <c r="A205" s="3"/>
      <c r="B205" s="3"/>
      <c r="C205" s="3"/>
      <c r="D205" s="3"/>
      <c r="E205" s="3"/>
      <c r="F205" s="3"/>
      <c r="G205" s="3"/>
      <c r="H205" s="3"/>
      <c r="I205" s="3"/>
      <c r="J205" s="3"/>
      <c r="K205" s="20">
        <v>24584</v>
      </c>
      <c r="L205" s="20" t="str">
        <v>2+ Cars</v>
      </c>
      <c r="M205" s="20" t="str">
        <v>31-40</v>
      </c>
      <c r="N205" s="20" t="str">
        <v>2-5 Miles</v>
      </c>
      <c r="O205" s="20">
        <v>0</v>
      </c>
      <c r="P205" s="20" t="str">
        <v>Bachelors</v>
      </c>
      <c r="Q205" s="20" t="str">
        <v>Pacific</v>
      </c>
      <c r="R205" s="20" t="str">
        <v>Single</v>
      </c>
      <c r="S205" s="20" t="str">
        <v>$40k-60k</v>
      </c>
      <c r="T205" s="89">
        <v>0.5284192671121356</v>
      </c>
      <c r="U205" s="91">
        <v>81.559564922588379</v>
      </c>
      <c r="V205" s="49">
        <v>204</v>
      </c>
      <c r="W205" s="20">
        <v>3</v>
      </c>
      <c r="X205" s="20" t="str">
        <v>Hot</v>
      </c>
      <c r="Y205" s="20">
        <v>0</v>
      </c>
    </row>
    <row r="206" spans="1:25" ht="15" customHeight="1" x14ac:dyDescent="0.25">
      <c r="A206" s="3"/>
      <c r="B206" s="3"/>
      <c r="C206" s="3"/>
      <c r="D206" s="3"/>
      <c r="E206" s="3"/>
      <c r="F206" s="3"/>
      <c r="G206" s="3"/>
      <c r="H206" s="3"/>
      <c r="I206" s="3"/>
      <c r="J206" s="3"/>
      <c r="K206" s="20">
        <v>12585</v>
      </c>
      <c r="L206" s="20" t="str">
        <v>0-1 Cars</v>
      </c>
      <c r="M206" s="20" t="str">
        <v>25-30</v>
      </c>
      <c r="N206" s="20" t="str">
        <v>2-5 Miles</v>
      </c>
      <c r="O206" s="20">
        <v>1</v>
      </c>
      <c r="P206" s="20" t="str">
        <v>High School</v>
      </c>
      <c r="Q206" s="20" t="str">
        <v>Pacific</v>
      </c>
      <c r="R206" s="20" t="str">
        <v>Married</v>
      </c>
      <c r="S206" s="20" t="str">
        <v>$10k-30k</v>
      </c>
      <c r="T206" s="89">
        <v>0.50157056782882048</v>
      </c>
      <c r="U206" s="91">
        <v>68.541878414226602</v>
      </c>
      <c r="V206" s="49">
        <v>363</v>
      </c>
      <c r="W206" s="20">
        <v>4</v>
      </c>
      <c r="X206" s="20" t="str">
        <v>Warm</v>
      </c>
      <c r="Y206" s="20">
        <v>1</v>
      </c>
    </row>
    <row r="207" spans="1:25" ht="15" customHeight="1" x14ac:dyDescent="0.25">
      <c r="A207" s="3"/>
      <c r="B207" s="3"/>
      <c r="C207" s="3"/>
      <c r="D207" s="3"/>
      <c r="E207" s="3"/>
      <c r="F207" s="3"/>
      <c r="G207" s="3"/>
      <c r="H207" s="3"/>
      <c r="I207" s="3"/>
      <c r="J207" s="3"/>
      <c r="K207" s="20">
        <v>18626</v>
      </c>
      <c r="L207" s="20" t="str">
        <v>0-1 Cars</v>
      </c>
      <c r="M207" s="20" t="str">
        <v>31-40</v>
      </c>
      <c r="N207" s="20" t="str">
        <v>1-2 Miles</v>
      </c>
      <c r="O207" s="20">
        <v>2</v>
      </c>
      <c r="P207" s="20" t="str">
        <v>Partial College</v>
      </c>
      <c r="Q207" s="20" t="str">
        <v>Europe</v>
      </c>
      <c r="R207" s="20" t="str">
        <v>Single</v>
      </c>
      <c r="S207" s="20" t="str">
        <v>$40k-60k</v>
      </c>
      <c r="T207" s="89">
        <v>0.52110171613365897</v>
      </c>
      <c r="U207" s="91">
        <v>78.011624531078922</v>
      </c>
      <c r="V207" s="49">
        <v>244</v>
      </c>
      <c r="W207" s="20">
        <v>3</v>
      </c>
      <c r="X207" s="20" t="str">
        <v>Hot</v>
      </c>
      <c r="Y207" s="20">
        <v>1</v>
      </c>
    </row>
    <row r="208" spans="1:25" ht="15" customHeight="1" x14ac:dyDescent="0.25">
      <c r="A208" s="3"/>
      <c r="B208" s="3"/>
      <c r="C208" s="3"/>
      <c r="D208" s="3"/>
      <c r="E208" s="3"/>
      <c r="F208" s="3"/>
      <c r="G208" s="3"/>
      <c r="H208" s="3"/>
      <c r="I208" s="3"/>
      <c r="J208" s="3"/>
      <c r="K208" s="20">
        <v>29298</v>
      </c>
      <c r="L208" s="20" t="str">
        <v>0-1 Cars</v>
      </c>
      <c r="M208" s="20" t="str">
        <v>41-50</v>
      </c>
      <c r="N208" s="20" t="str">
        <v>5-10 Miles</v>
      </c>
      <c r="O208" s="20">
        <v>1</v>
      </c>
      <c r="P208" s="20" t="str">
        <v>Partial College</v>
      </c>
      <c r="Q208" s="20" t="str">
        <v>Pacific</v>
      </c>
      <c r="R208" s="20" t="str">
        <v>Single</v>
      </c>
      <c r="S208" s="20" t="str">
        <v>$40k-60k</v>
      </c>
      <c r="T208" s="89">
        <v>0.51338953767716999</v>
      </c>
      <c r="U208" s="91">
        <v>74.272347615511379</v>
      </c>
      <c r="V208" s="49">
        <v>295</v>
      </c>
      <c r="W208" s="20">
        <v>3</v>
      </c>
      <c r="X208" s="20" t="str">
        <v>Hot</v>
      </c>
      <c r="Y208" s="20">
        <v>1</v>
      </c>
    </row>
    <row r="209" spans="1:25" ht="15" customHeight="1" x14ac:dyDescent="0.25">
      <c r="A209" s="3"/>
      <c r="B209" s="3"/>
      <c r="C209" s="3"/>
      <c r="D209" s="3"/>
      <c r="E209" s="3"/>
      <c r="F209" s="3"/>
      <c r="G209" s="3"/>
      <c r="H209" s="3"/>
      <c r="I209" s="3"/>
      <c r="J209" s="3"/>
      <c r="K209" s="20">
        <v>24842</v>
      </c>
      <c r="L209" s="20" t="str">
        <v>0-1 Cars</v>
      </c>
      <c r="M209" s="20" t="str">
        <v>51-60</v>
      </c>
      <c r="N209" s="20" t="str">
        <v>2-5 Miles</v>
      </c>
      <c r="O209" s="20">
        <v>3</v>
      </c>
      <c r="P209" s="20" t="str">
        <v>High School</v>
      </c>
      <c r="Q209" s="20" t="str">
        <v>Europe</v>
      </c>
      <c r="R209" s="20" t="str">
        <v>Single</v>
      </c>
      <c r="S209" s="20" t="str">
        <v>$70k-90k</v>
      </c>
      <c r="T209" s="89">
        <v>0.52233839662699877</v>
      </c>
      <c r="U209" s="91">
        <v>78.611233428456984</v>
      </c>
      <c r="V209" s="49">
        <v>240</v>
      </c>
      <c r="W209" s="20">
        <v>3</v>
      </c>
      <c r="X209" s="20" t="str">
        <v>Hot</v>
      </c>
      <c r="Y209" s="20">
        <v>0</v>
      </c>
    </row>
    <row r="210" spans="1:25" ht="15" customHeight="1" x14ac:dyDescent="0.25">
      <c r="A210" s="3"/>
      <c r="B210" s="3"/>
      <c r="C210" s="3"/>
      <c r="D210" s="3"/>
      <c r="E210" s="3"/>
      <c r="F210" s="3"/>
      <c r="G210" s="3"/>
      <c r="H210" s="3"/>
      <c r="I210" s="3"/>
      <c r="J210" s="3"/>
      <c r="K210" s="20">
        <v>15657</v>
      </c>
      <c r="L210" s="20" t="str">
        <v>0-1 Cars</v>
      </c>
      <c r="M210" s="20" t="str">
        <v>41-50</v>
      </c>
      <c r="N210" s="20" t="str">
        <v>0-1 Miles</v>
      </c>
      <c r="O210" s="20">
        <v>3</v>
      </c>
      <c r="P210" s="20" t="str">
        <v>Graduate Degree</v>
      </c>
      <c r="Q210" s="20" t="str">
        <v>Europe</v>
      </c>
      <c r="R210" s="20" t="str">
        <v>Married</v>
      </c>
      <c r="S210" s="20" t="str">
        <v>$10k-30k</v>
      </c>
      <c r="T210" s="89">
        <v>0.51315491486405374</v>
      </c>
      <c r="U210" s="91">
        <v>74.158589917358924</v>
      </c>
      <c r="V210" s="49">
        <v>297</v>
      </c>
      <c r="W210" s="20">
        <v>3</v>
      </c>
      <c r="X210" s="20" t="str">
        <v>Hot</v>
      </c>
      <c r="Y210" s="20">
        <v>1</v>
      </c>
    </row>
    <row r="211" spans="1:25" ht="15" customHeight="1" x14ac:dyDescent="0.25">
      <c r="A211" s="3"/>
      <c r="B211" s="3"/>
      <c r="C211" s="3"/>
      <c r="D211" s="3"/>
      <c r="E211" s="3"/>
      <c r="F211" s="3"/>
      <c r="G211" s="3"/>
      <c r="H211" s="3"/>
      <c r="I211" s="3"/>
      <c r="J211" s="3"/>
      <c r="K211" s="20">
        <v>11415</v>
      </c>
      <c r="L211" s="20" t="str">
        <v>2+ Cars</v>
      </c>
      <c r="M211" s="20" t="str">
        <v>61+</v>
      </c>
      <c r="N211" s="20" t="str">
        <v>10+ Miles</v>
      </c>
      <c r="O211" s="20">
        <v>5</v>
      </c>
      <c r="P211" s="20" t="str">
        <v>Partial College</v>
      </c>
      <c r="Q211" s="20" t="str">
        <v>Europe</v>
      </c>
      <c r="R211" s="20" t="str">
        <v>Single</v>
      </c>
      <c r="S211" s="20" t="str">
        <v>$70k-90k</v>
      </c>
      <c r="T211" s="89">
        <v>0.37335899988386845</v>
      </c>
      <c r="U211" s="91">
        <v>6.3780476587416546</v>
      </c>
      <c r="V211" s="49">
        <v>995</v>
      </c>
      <c r="W211" s="20">
        <v>10</v>
      </c>
      <c r="X211" s="20" t="str">
        <v>Cold</v>
      </c>
      <c r="Y211" s="20">
        <v>0</v>
      </c>
    </row>
    <row r="212" spans="1:25" ht="15" customHeight="1" x14ac:dyDescent="0.25">
      <c r="A212" s="3"/>
      <c r="B212" s="3"/>
      <c r="C212" s="3"/>
      <c r="D212" s="3"/>
      <c r="E212" s="3"/>
      <c r="F212" s="3"/>
      <c r="G212" s="3"/>
      <c r="H212" s="3"/>
      <c r="I212" s="3"/>
      <c r="J212" s="3"/>
      <c r="K212" s="20">
        <v>28729</v>
      </c>
      <c r="L212" s="20" t="str">
        <v>2+ Cars</v>
      </c>
      <c r="M212" s="20" t="str">
        <v>25-30</v>
      </c>
      <c r="N212" s="20" t="str">
        <v>1-2 Miles</v>
      </c>
      <c r="O212" s="20">
        <v>0</v>
      </c>
      <c r="P212" s="20" t="str">
        <v>Partial High School</v>
      </c>
      <c r="Q212" s="20" t="str">
        <v>Europe</v>
      </c>
      <c r="R212" s="20" t="str">
        <v>Single</v>
      </c>
      <c r="S212" s="20" t="str">
        <v>$10k-30k</v>
      </c>
      <c r="T212" s="89">
        <v>0.41343007164183448</v>
      </c>
      <c r="U212" s="91">
        <v>25.806648079747337</v>
      </c>
      <c r="V212" s="49">
        <v>926</v>
      </c>
      <c r="W212" s="20">
        <v>10</v>
      </c>
      <c r="X212" s="20" t="str">
        <v>Cold</v>
      </c>
      <c r="Y212" s="20">
        <v>1</v>
      </c>
    </row>
    <row r="213" spans="1:25" ht="15" customHeight="1" x14ac:dyDescent="0.25">
      <c r="A213" s="3"/>
      <c r="B213" s="3"/>
      <c r="C213" s="3"/>
      <c r="D213" s="3"/>
      <c r="E213" s="3"/>
      <c r="F213" s="3"/>
      <c r="G213" s="3"/>
      <c r="H213" s="3"/>
      <c r="I213" s="3"/>
      <c r="J213" s="3"/>
      <c r="K213" s="20">
        <v>22633</v>
      </c>
      <c r="L213" s="20" t="str">
        <v>0-1 Cars</v>
      </c>
      <c r="M213" s="20" t="str">
        <v>31-40</v>
      </c>
      <c r="N213" s="20" t="str">
        <v>0-1 Miles</v>
      </c>
      <c r="O213" s="20">
        <v>0</v>
      </c>
      <c r="P213" s="20" t="str">
        <v>Graduate Degree</v>
      </c>
      <c r="Q213" s="20" t="str">
        <v>Europe</v>
      </c>
      <c r="R213" s="20" t="str">
        <v>Single</v>
      </c>
      <c r="S213" s="20" t="str">
        <v>$40k-60k</v>
      </c>
      <c r="T213" s="89">
        <v>0.5512054017750383</v>
      </c>
      <c r="U213" s="91">
        <v>92.607502651300493</v>
      </c>
      <c r="V213" s="49">
        <v>42</v>
      </c>
      <c r="W213" s="20">
        <v>1</v>
      </c>
      <c r="X213" s="20" t="str">
        <v>Hot</v>
      </c>
      <c r="Y213" s="20">
        <v>1</v>
      </c>
    </row>
    <row r="214" spans="1:25" ht="15" customHeight="1" x14ac:dyDescent="0.25">
      <c r="A214" s="3"/>
      <c r="B214" s="3"/>
      <c r="C214" s="3"/>
      <c r="D214" s="3"/>
      <c r="E214" s="3"/>
      <c r="F214" s="3"/>
      <c r="G214" s="3"/>
      <c r="H214" s="3"/>
      <c r="I214" s="3"/>
      <c r="J214" s="3"/>
      <c r="K214" s="20">
        <v>25649</v>
      </c>
      <c r="L214" s="20" t="str">
        <v>0-1 Cars</v>
      </c>
      <c r="M214" s="20" t="str">
        <v>41-50</v>
      </c>
      <c r="N214" s="20" t="str">
        <v>0-1 Miles</v>
      </c>
      <c r="O214" s="20">
        <v>3</v>
      </c>
      <c r="P214" s="20" t="str">
        <v>Partial College</v>
      </c>
      <c r="Q214" s="20" t="str">
        <v>Europe</v>
      </c>
      <c r="R214" s="20" t="str">
        <v>Single</v>
      </c>
      <c r="S214" s="20" t="str">
        <v>$10k-30k</v>
      </c>
      <c r="T214" s="89">
        <v>0.51156393176026715</v>
      </c>
      <c r="U214" s="91">
        <v>73.387196150135921</v>
      </c>
      <c r="V214" s="49">
        <v>308</v>
      </c>
      <c r="W214" s="20">
        <v>4</v>
      </c>
      <c r="X214" s="20" t="str">
        <v>Warm</v>
      </c>
      <c r="Y214" s="20">
        <v>1</v>
      </c>
    </row>
    <row r="215" spans="1:25" ht="15" customHeight="1" x14ac:dyDescent="0.25">
      <c r="A215" s="3"/>
      <c r="B215" s="3"/>
      <c r="C215" s="3"/>
      <c r="D215" s="3"/>
      <c r="E215" s="3"/>
      <c r="F215" s="3"/>
      <c r="G215" s="3"/>
      <c r="H215" s="3"/>
      <c r="I215" s="3"/>
      <c r="J215" s="3"/>
      <c r="K215" s="20">
        <v>14669</v>
      </c>
      <c r="L215" s="20" t="str">
        <v>0-1 Cars</v>
      </c>
      <c r="M215" s="20" t="str">
        <v>31-40</v>
      </c>
      <c r="N215" s="20" t="str">
        <v>0-1 Miles</v>
      </c>
      <c r="O215" s="20">
        <v>4</v>
      </c>
      <c r="P215" s="20" t="str">
        <v>Graduate Degree</v>
      </c>
      <c r="Q215" s="20" t="str">
        <v>Pacific</v>
      </c>
      <c r="R215" s="20" t="str">
        <v>Married</v>
      </c>
      <c r="S215" s="20" t="str">
        <v>$70k-90k</v>
      </c>
      <c r="T215" s="89">
        <v>0.5365593634553637</v>
      </c>
      <c r="U215" s="91">
        <v>85.50631933425764</v>
      </c>
      <c r="V215" s="49">
        <v>133</v>
      </c>
      <c r="W215" s="20">
        <v>2</v>
      </c>
      <c r="X215" s="20" t="str">
        <v>Hot</v>
      </c>
      <c r="Y215" s="20">
        <v>0</v>
      </c>
    </row>
    <row r="216" spans="1:25" ht="15" customHeight="1" x14ac:dyDescent="0.25">
      <c r="A216" s="3"/>
      <c r="B216" s="3"/>
      <c r="C216" s="3"/>
      <c r="D216" s="3"/>
      <c r="E216" s="3"/>
      <c r="F216" s="3"/>
      <c r="G216" s="3"/>
      <c r="H216" s="3"/>
      <c r="I216" s="3"/>
      <c r="J216" s="3"/>
      <c r="K216" s="20">
        <v>19299</v>
      </c>
      <c r="L216" s="20" t="str">
        <v>0-1 Cars</v>
      </c>
      <c r="M216" s="20" t="str">
        <v>31-40</v>
      </c>
      <c r="N216" s="20" t="str">
        <v>0-1 Miles</v>
      </c>
      <c r="O216" s="20">
        <v>0</v>
      </c>
      <c r="P216" s="20" t="str">
        <v>Graduate Degree</v>
      </c>
      <c r="Q216" s="20" t="str">
        <v>Europe</v>
      </c>
      <c r="R216" s="20" t="str">
        <v>Married</v>
      </c>
      <c r="S216" s="20" t="str">
        <v>$40k-60k</v>
      </c>
      <c r="T216" s="89">
        <v>0.54152735906721317</v>
      </c>
      <c r="U216" s="91">
        <v>87.915069522396678</v>
      </c>
      <c r="V216" s="49">
        <v>103</v>
      </c>
      <c r="W216" s="20">
        <v>2</v>
      </c>
      <c r="X216" s="20" t="str">
        <v>Hot</v>
      </c>
      <c r="Y216" s="20">
        <v>1</v>
      </c>
    </row>
    <row r="217" spans="1:25" ht="15" customHeight="1" x14ac:dyDescent="0.25">
      <c r="A217" s="3"/>
      <c r="B217" s="3"/>
      <c r="C217" s="3"/>
      <c r="D217" s="3"/>
      <c r="E217" s="3"/>
      <c r="F217" s="3"/>
      <c r="G217" s="3"/>
      <c r="H217" s="3"/>
      <c r="I217" s="3"/>
      <c r="J217" s="3"/>
      <c r="K217" s="20">
        <v>20946</v>
      </c>
      <c r="L217" s="20" t="str">
        <v>0-1 Cars</v>
      </c>
      <c r="M217" s="20" t="str">
        <v>25-30</v>
      </c>
      <c r="N217" s="20" t="str">
        <v>2-5 Miles</v>
      </c>
      <c r="O217" s="20">
        <v>0</v>
      </c>
      <c r="P217" s="20" t="str">
        <v>Partial College</v>
      </c>
      <c r="Q217" s="20" t="str">
        <v>Europe</v>
      </c>
      <c r="R217" s="20" t="str">
        <v>Single</v>
      </c>
      <c r="S217" s="20" t="str">
        <v>$10k-30k</v>
      </c>
      <c r="T217" s="89">
        <v>0.49399028666653072</v>
      </c>
      <c r="U217" s="91">
        <v>64.86655236678375</v>
      </c>
      <c r="V217" s="49">
        <v>423</v>
      </c>
      <c r="W217" s="20">
        <v>5</v>
      </c>
      <c r="X217" s="20" t="str">
        <v>Warm</v>
      </c>
      <c r="Y217" s="20">
        <v>0</v>
      </c>
    </row>
    <row r="218" spans="1:25" ht="15" customHeight="1" x14ac:dyDescent="0.25">
      <c r="A218" s="3"/>
      <c r="B218" s="3"/>
      <c r="C218" s="3"/>
      <c r="D218" s="3"/>
      <c r="E218" s="3"/>
      <c r="F218" s="3"/>
      <c r="G218" s="3"/>
      <c r="H218" s="3"/>
      <c r="I218" s="3"/>
      <c r="J218" s="3"/>
      <c r="K218" s="20">
        <v>11451</v>
      </c>
      <c r="L218" s="20" t="str">
        <v>2+ Cars</v>
      </c>
      <c r="M218" s="20" t="str">
        <v>31-40</v>
      </c>
      <c r="N218" s="20" t="str">
        <v>10+ Miles</v>
      </c>
      <c r="O218" s="20">
        <v>0</v>
      </c>
      <c r="P218" s="20" t="str">
        <v>Bachelors</v>
      </c>
      <c r="Q218" s="20" t="str">
        <v>Pacific</v>
      </c>
      <c r="R218" s="20" t="str">
        <v>Single</v>
      </c>
      <c r="S218" s="20" t="str">
        <v>$70k-90k</v>
      </c>
      <c r="T218" s="89">
        <v>0.48374381756216484</v>
      </c>
      <c r="U218" s="91">
        <v>59.898515695407994</v>
      </c>
      <c r="V218" s="49">
        <v>481</v>
      </c>
      <c r="W218" s="20">
        <v>5</v>
      </c>
      <c r="X218" s="20" t="str">
        <v>Warm</v>
      </c>
      <c r="Y218" s="20">
        <v>1</v>
      </c>
    </row>
    <row r="219" spans="1:25" ht="15" customHeight="1" x14ac:dyDescent="0.25">
      <c r="A219" s="3"/>
      <c r="B219" s="3"/>
      <c r="C219" s="3"/>
      <c r="D219" s="3"/>
      <c r="E219" s="3"/>
      <c r="F219" s="3"/>
      <c r="G219" s="3"/>
      <c r="H219" s="3"/>
      <c r="I219" s="3"/>
      <c r="J219" s="3"/>
      <c r="K219" s="20">
        <v>25553</v>
      </c>
      <c r="L219" s="20" t="str">
        <v>0-1 Cars</v>
      </c>
      <c r="M219" s="20" t="str">
        <v>61+</v>
      </c>
      <c r="N219" s="20" t="str">
        <v>0-1 Miles</v>
      </c>
      <c r="O219" s="20">
        <v>1</v>
      </c>
      <c r="P219" s="20" t="str">
        <v>Bachelors</v>
      </c>
      <c r="Q219" s="20" t="str">
        <v>Europe</v>
      </c>
      <c r="R219" s="20" t="str">
        <v>Married</v>
      </c>
      <c r="S219" s="20" t="str">
        <v>$10k-30k</v>
      </c>
      <c r="T219" s="89">
        <v>0.49214213026608866</v>
      </c>
      <c r="U219" s="91">
        <v>63.970467219957726</v>
      </c>
      <c r="V219" s="49">
        <v>447</v>
      </c>
      <c r="W219" s="20">
        <v>5</v>
      </c>
      <c r="X219" s="20" t="str">
        <v>Warm</v>
      </c>
      <c r="Y219" s="20">
        <v>1</v>
      </c>
    </row>
    <row r="220" spans="1:25" ht="15" customHeight="1" x14ac:dyDescent="0.25">
      <c r="A220" s="3"/>
      <c r="B220" s="3"/>
      <c r="C220" s="3"/>
      <c r="D220" s="3"/>
      <c r="E220" s="3"/>
      <c r="F220" s="3"/>
      <c r="G220" s="3"/>
      <c r="H220" s="3"/>
      <c r="I220" s="3"/>
      <c r="J220" s="3"/>
      <c r="K220" s="20">
        <v>27951</v>
      </c>
      <c r="L220" s="20" t="str">
        <v>2+ Cars</v>
      </c>
      <c r="M220" s="20" t="str">
        <v>51-60</v>
      </c>
      <c r="N220" s="20" t="str">
        <v>2-5 Miles</v>
      </c>
      <c r="O220" s="20">
        <v>4</v>
      </c>
      <c r="P220" s="20" t="str">
        <v>Partial College</v>
      </c>
      <c r="Q220" s="20" t="str">
        <v>Europe</v>
      </c>
      <c r="R220" s="20" t="str">
        <v>Single</v>
      </c>
      <c r="S220" s="20" t="str">
        <v>$70k-90k</v>
      </c>
      <c r="T220" s="89">
        <v>0.46842199419585778</v>
      </c>
      <c r="U220" s="91">
        <v>52.469675615880305</v>
      </c>
      <c r="V220" s="49">
        <v>588</v>
      </c>
      <c r="W220" s="20">
        <v>6</v>
      </c>
      <c r="X220" s="20" t="str">
        <v>Warm</v>
      </c>
      <c r="Y220" s="20">
        <v>1</v>
      </c>
    </row>
    <row r="221" spans="1:25" ht="15" customHeight="1" x14ac:dyDescent="0.25">
      <c r="A221" s="3"/>
      <c r="B221" s="3"/>
      <c r="C221" s="3"/>
      <c r="D221" s="3"/>
      <c r="E221" s="3"/>
      <c r="F221" s="3"/>
      <c r="G221" s="3"/>
      <c r="H221" s="3"/>
      <c r="I221" s="3"/>
      <c r="J221" s="3"/>
      <c r="K221" s="20">
        <v>25026</v>
      </c>
      <c r="L221" s="20" t="str">
        <v>2+ Cars</v>
      </c>
      <c r="M221" s="20" t="str">
        <v>51-60</v>
      </c>
      <c r="N221" s="20" t="str">
        <v>5-10 Miles</v>
      </c>
      <c r="O221" s="20">
        <v>2</v>
      </c>
      <c r="P221" s="20" t="str">
        <v>Partial High School</v>
      </c>
      <c r="Q221" s="20" t="str">
        <v>Pacific</v>
      </c>
      <c r="R221" s="20" t="str">
        <v>Married</v>
      </c>
      <c r="S221" s="20" t="str">
        <v>$10k-30k</v>
      </c>
      <c r="T221" s="89">
        <v>0.41402388302301224</v>
      </c>
      <c r="U221" s="91">
        <v>26.094559621520723</v>
      </c>
      <c r="V221" s="49">
        <v>924</v>
      </c>
      <c r="W221" s="20">
        <v>10</v>
      </c>
      <c r="X221" s="20" t="str">
        <v>Cold</v>
      </c>
      <c r="Y221" s="20">
        <v>0</v>
      </c>
    </row>
    <row r="222" spans="1:25" ht="15" customHeight="1" x14ac:dyDescent="0.25">
      <c r="A222" s="3"/>
      <c r="B222" s="3"/>
      <c r="C222" s="3"/>
      <c r="D222" s="3"/>
      <c r="E222" s="3"/>
      <c r="F222" s="3"/>
      <c r="G222" s="3"/>
      <c r="H222" s="3"/>
      <c r="I222" s="3"/>
      <c r="J222" s="3"/>
      <c r="K222" s="20">
        <v>13673</v>
      </c>
      <c r="L222" s="20" t="str">
        <v>2+ Cars</v>
      </c>
      <c r="M222" s="20" t="str">
        <v>25-30</v>
      </c>
      <c r="N222" s="20" t="str">
        <v>0-1 Miles</v>
      </c>
      <c r="O222" s="20">
        <v>0</v>
      </c>
      <c r="P222" s="20" t="str">
        <v>Partial High School</v>
      </c>
      <c r="Q222" s="20" t="str">
        <v>Europe</v>
      </c>
      <c r="R222" s="20" t="str">
        <v>Single</v>
      </c>
      <c r="S222" s="20" t="str">
        <v>$10k-30k</v>
      </c>
      <c r="T222" s="89">
        <v>0.42653321848413289</v>
      </c>
      <c r="U222" s="91">
        <v>32.159755024189593</v>
      </c>
      <c r="V222" s="49">
        <v>853</v>
      </c>
      <c r="W222" s="20">
        <v>9</v>
      </c>
      <c r="X222" s="20" t="str">
        <v>Cold</v>
      </c>
      <c r="Y222" s="20">
        <v>0</v>
      </c>
    </row>
    <row r="223" spans="1:25" ht="15" customHeight="1" x14ac:dyDescent="0.25">
      <c r="A223" s="3"/>
      <c r="B223" s="3"/>
      <c r="C223" s="3"/>
      <c r="D223" s="3"/>
      <c r="E223" s="3"/>
      <c r="F223" s="3"/>
      <c r="G223" s="3"/>
      <c r="H223" s="3"/>
      <c r="I223" s="3"/>
      <c r="J223" s="3"/>
      <c r="K223" s="20">
        <v>16043</v>
      </c>
      <c r="L223" s="20" t="str">
        <v>0-1 Cars</v>
      </c>
      <c r="M223" s="20" t="str">
        <v>41-50</v>
      </c>
      <c r="N223" s="20" t="str">
        <v>0-1 Miles</v>
      </c>
      <c r="O223" s="20">
        <v>1</v>
      </c>
      <c r="P223" s="20" t="str">
        <v>Bachelors</v>
      </c>
      <c r="Q223" s="20" t="str">
        <v>Europe</v>
      </c>
      <c r="R223" s="20" t="str">
        <v>Single</v>
      </c>
      <c r="S223" s="20" t="str">
        <v>$10k-30k</v>
      </c>
      <c r="T223" s="89">
        <v>0.52838152367612934</v>
      </c>
      <c r="U223" s="91">
        <v>81.541264884568164</v>
      </c>
      <c r="V223" s="49">
        <v>205</v>
      </c>
      <c r="W223" s="20">
        <v>3</v>
      </c>
      <c r="X223" s="20" t="str">
        <v>Hot</v>
      </c>
      <c r="Y223" s="20">
        <v>0</v>
      </c>
    </row>
    <row r="224" spans="1:25" ht="15" customHeight="1" x14ac:dyDescent="0.25">
      <c r="A224" s="3"/>
      <c r="B224" s="3"/>
      <c r="C224" s="3"/>
      <c r="D224" s="3"/>
      <c r="E224" s="3"/>
      <c r="F224" s="3"/>
      <c r="G224" s="3"/>
      <c r="H224" s="3"/>
      <c r="I224" s="3"/>
      <c r="J224" s="3"/>
      <c r="K224" s="20">
        <v>22399</v>
      </c>
      <c r="L224" s="20" t="str">
        <v>0-1 Cars</v>
      </c>
      <c r="M224" s="20" t="str">
        <v>25-30</v>
      </c>
      <c r="N224" s="20" t="str">
        <v>1-2 Miles</v>
      </c>
      <c r="O224" s="20">
        <v>0</v>
      </c>
      <c r="P224" s="20" t="str">
        <v>Partial College</v>
      </c>
      <c r="Q224" s="20" t="str">
        <v>Pacific</v>
      </c>
      <c r="R224" s="20" t="str">
        <v>Single</v>
      </c>
      <c r="S224" s="20" t="str">
        <v>$10k-30k</v>
      </c>
      <c r="T224" s="89">
        <v>0.48379107945336802</v>
      </c>
      <c r="U224" s="91">
        <v>59.921430789989792</v>
      </c>
      <c r="V224" s="49">
        <v>480</v>
      </c>
      <c r="W224" s="20">
        <v>5</v>
      </c>
      <c r="X224" s="20" t="str">
        <v>Warm</v>
      </c>
      <c r="Y224" s="20">
        <v>1</v>
      </c>
    </row>
    <row r="225" spans="1:25" ht="15" customHeight="1" x14ac:dyDescent="0.25">
      <c r="A225" s="3"/>
      <c r="B225" s="3"/>
      <c r="C225" s="3"/>
      <c r="D225" s="3"/>
      <c r="E225" s="3"/>
      <c r="F225" s="3"/>
      <c r="G225" s="3"/>
      <c r="H225" s="3"/>
      <c r="I225" s="3"/>
      <c r="J225" s="3"/>
      <c r="K225" s="20">
        <v>27696</v>
      </c>
      <c r="L225" s="20" t="str">
        <v>0-1 Cars</v>
      </c>
      <c r="M225" s="20" t="str">
        <v>41-50</v>
      </c>
      <c r="N225" s="20" t="str">
        <v>5-10 Miles</v>
      </c>
      <c r="O225" s="20">
        <v>1</v>
      </c>
      <c r="P225" s="20" t="str">
        <v>Bachelors</v>
      </c>
      <c r="Q225" s="20" t="str">
        <v>Pacific</v>
      </c>
      <c r="R225" s="20" t="str">
        <v>Married</v>
      </c>
      <c r="S225" s="20" t="str">
        <v>$40k-60k</v>
      </c>
      <c r="T225" s="89">
        <v>0.51647085317628616</v>
      </c>
      <c r="U225" s="91">
        <v>75.766334299096371</v>
      </c>
      <c r="V225" s="49">
        <v>276</v>
      </c>
      <c r="W225" s="20">
        <v>3</v>
      </c>
      <c r="X225" s="20" t="str">
        <v>Hot</v>
      </c>
      <c r="Y225" s="20">
        <v>1</v>
      </c>
    </row>
    <row r="226" spans="1:25" ht="15" customHeight="1" x14ac:dyDescent="0.25">
      <c r="A226" s="3"/>
      <c r="B226" s="3"/>
      <c r="C226" s="3"/>
      <c r="D226" s="3"/>
      <c r="E226" s="3"/>
      <c r="F226" s="3"/>
      <c r="G226" s="3"/>
      <c r="H226" s="3"/>
      <c r="I226" s="3"/>
      <c r="J226" s="3"/>
      <c r="K226" s="20">
        <v>25313</v>
      </c>
      <c r="L226" s="20" t="str">
        <v>2+ Cars</v>
      </c>
      <c r="M226" s="20" t="str">
        <v>31-40</v>
      </c>
      <c r="N226" s="20" t="str">
        <v>1-2 Miles</v>
      </c>
      <c r="O226" s="20">
        <v>0</v>
      </c>
      <c r="P226" s="20" t="str">
        <v>Partial High School</v>
      </c>
      <c r="Q226" s="20" t="str">
        <v>Europe</v>
      </c>
      <c r="R226" s="20" t="str">
        <v>Single</v>
      </c>
      <c r="S226" s="20" t="str">
        <v>$10k-30k</v>
      </c>
      <c r="T226" s="89">
        <v>0.45431729951514982</v>
      </c>
      <c r="U226" s="91">
        <v>45.630964670813512</v>
      </c>
      <c r="V226" s="49">
        <v>708</v>
      </c>
      <c r="W226" s="20">
        <v>8</v>
      </c>
      <c r="X226" s="20" t="str">
        <v>Cold</v>
      </c>
      <c r="Y226" s="20">
        <v>0</v>
      </c>
    </row>
    <row r="227" spans="1:25" ht="15" customHeight="1" x14ac:dyDescent="0.25">
      <c r="A227" s="3"/>
      <c r="B227" s="3"/>
      <c r="C227" s="3"/>
      <c r="D227" s="3"/>
      <c r="E227" s="3"/>
      <c r="F227" s="3"/>
      <c r="G227" s="3"/>
      <c r="H227" s="3"/>
      <c r="I227" s="3"/>
      <c r="J227" s="3"/>
      <c r="K227" s="20">
        <v>13813</v>
      </c>
      <c r="L227" s="20" t="str">
        <v>0-1 Cars</v>
      </c>
      <c r="M227" s="20" t="str">
        <v>41-50</v>
      </c>
      <c r="N227" s="20" t="str">
        <v>0-1 Miles</v>
      </c>
      <c r="O227" s="20">
        <v>3</v>
      </c>
      <c r="P227" s="20" t="str">
        <v>Partial College</v>
      </c>
      <c r="Q227" s="20" t="str">
        <v>Europe</v>
      </c>
      <c r="R227" s="20" t="str">
        <v>Married</v>
      </c>
      <c r="S227" s="20" t="str">
        <v>$10k-30k</v>
      </c>
      <c r="T227" s="89">
        <v>0.50188588905244202</v>
      </c>
      <c r="U227" s="91">
        <v>68.694763021232092</v>
      </c>
      <c r="V227" s="49">
        <v>358</v>
      </c>
      <c r="W227" s="20">
        <v>4</v>
      </c>
      <c r="X227" s="20" t="str">
        <v>Warm</v>
      </c>
      <c r="Y227" s="20">
        <v>0</v>
      </c>
    </row>
    <row r="228" spans="1:25" ht="15" customHeight="1" x14ac:dyDescent="0.25">
      <c r="A228" s="3"/>
      <c r="B228" s="3"/>
      <c r="C228" s="3"/>
      <c r="D228" s="3"/>
      <c r="E228" s="3"/>
      <c r="F228" s="3"/>
      <c r="G228" s="3"/>
      <c r="H228" s="3"/>
      <c r="I228" s="3"/>
      <c r="J228" s="3"/>
      <c r="K228" s="20">
        <v>18711</v>
      </c>
      <c r="L228" s="20" t="str">
        <v>2+ Cars</v>
      </c>
      <c r="M228" s="20" t="str">
        <v>31-40</v>
      </c>
      <c r="N228" s="20" t="str">
        <v>10+ Miles</v>
      </c>
      <c r="O228" s="20">
        <v>5</v>
      </c>
      <c r="P228" s="20" t="str">
        <v>Bachelors</v>
      </c>
      <c r="Q228" s="20" t="str">
        <v>Pacific</v>
      </c>
      <c r="R228" s="20" t="str">
        <v>Single</v>
      </c>
      <c r="S228" s="20" t="str">
        <v>$70k-90k</v>
      </c>
      <c r="T228" s="89">
        <v>0.44438053657190252</v>
      </c>
      <c r="U228" s="91">
        <v>40.813090123591586</v>
      </c>
      <c r="V228" s="49">
        <v>764</v>
      </c>
      <c r="W228" s="20">
        <v>8</v>
      </c>
      <c r="X228" s="20" t="str">
        <v>Cold</v>
      </c>
      <c r="Y228" s="20">
        <v>0</v>
      </c>
    </row>
    <row r="229" spans="1:25" ht="15" customHeight="1" x14ac:dyDescent="0.25">
      <c r="A229" s="3"/>
      <c r="B229" s="3"/>
      <c r="C229" s="3"/>
      <c r="D229" s="3"/>
      <c r="E229" s="3"/>
      <c r="F229" s="3"/>
      <c r="G229" s="3"/>
      <c r="H229" s="3"/>
      <c r="I229" s="3"/>
      <c r="J229" s="3"/>
      <c r="K229" s="20">
        <v>19650</v>
      </c>
      <c r="L229" s="20" t="str">
        <v>2+ Cars</v>
      </c>
      <c r="M229" s="20" t="str">
        <v>61+</v>
      </c>
      <c r="N229" s="20" t="str">
        <v>0-1 Miles</v>
      </c>
      <c r="O229" s="20">
        <v>2</v>
      </c>
      <c r="P229" s="20" t="str">
        <v>Partial College</v>
      </c>
      <c r="Q229" s="20" t="str">
        <v>Pacific</v>
      </c>
      <c r="R229" s="20" t="str">
        <v>Married</v>
      </c>
      <c r="S229" s="20" t="str">
        <v>$10k-30k</v>
      </c>
      <c r="T229" s="89">
        <v>0.43406673151869063</v>
      </c>
      <c r="U229" s="91">
        <v>35.812405380010517</v>
      </c>
      <c r="V229" s="49">
        <v>810</v>
      </c>
      <c r="W229" s="20">
        <v>9</v>
      </c>
      <c r="X229" s="20" t="str">
        <v>Cold</v>
      </c>
      <c r="Y229" s="20">
        <v>0</v>
      </c>
    </row>
    <row r="230" spans="1:25" ht="15" customHeight="1" x14ac:dyDescent="0.25">
      <c r="A230" s="3"/>
      <c r="B230" s="3"/>
      <c r="C230" s="3"/>
      <c r="D230" s="3"/>
      <c r="E230" s="3"/>
      <c r="F230" s="3"/>
      <c r="G230" s="3"/>
      <c r="H230" s="3"/>
      <c r="I230" s="3"/>
      <c r="J230" s="3"/>
      <c r="K230" s="20">
        <v>14135</v>
      </c>
      <c r="L230" s="20" t="str">
        <v>0-1 Cars</v>
      </c>
      <c r="M230" s="20" t="str">
        <v>31-40</v>
      </c>
      <c r="N230" s="20" t="str">
        <v>1-2 Miles</v>
      </c>
      <c r="O230" s="20">
        <v>1</v>
      </c>
      <c r="P230" s="20" t="str">
        <v>Partial College</v>
      </c>
      <c r="Q230" s="20" t="str">
        <v>Europe</v>
      </c>
      <c r="R230" s="20" t="str">
        <v>Married</v>
      </c>
      <c r="S230" s="20" t="str">
        <v>$10k-30k</v>
      </c>
      <c r="T230" s="89">
        <v>0.51587134265313372</v>
      </c>
      <c r="U230" s="91">
        <v>75.475659508243012</v>
      </c>
      <c r="V230" s="49">
        <v>279</v>
      </c>
      <c r="W230" s="20">
        <v>3</v>
      </c>
      <c r="X230" s="20" t="str">
        <v>Hot</v>
      </c>
      <c r="Y230" s="20">
        <v>0</v>
      </c>
    </row>
    <row r="231" spans="1:25" ht="15" customHeight="1" x14ac:dyDescent="0.25">
      <c r="A231" s="3"/>
      <c r="B231" s="3"/>
      <c r="C231" s="3"/>
      <c r="D231" s="3"/>
      <c r="E231" s="3"/>
      <c r="F231" s="3"/>
      <c r="G231" s="3"/>
      <c r="H231" s="3"/>
      <c r="I231" s="3"/>
      <c r="J231" s="3"/>
      <c r="K231" s="20">
        <v>12833</v>
      </c>
      <c r="L231" s="20" t="str">
        <v>0-1 Cars</v>
      </c>
      <c r="M231" s="20" t="str">
        <v>41-50</v>
      </c>
      <c r="N231" s="20" t="str">
        <v>0-1 Miles</v>
      </c>
      <c r="O231" s="20">
        <v>3</v>
      </c>
      <c r="P231" s="20" t="str">
        <v>High School</v>
      </c>
      <c r="Q231" s="20" t="str">
        <v>Europe</v>
      </c>
      <c r="R231" s="20" t="str">
        <v>Single</v>
      </c>
      <c r="S231" s="20" t="str">
        <v>$10k-30k</v>
      </c>
      <c r="T231" s="89">
        <v>0.51061025550649086</v>
      </c>
      <c r="U231" s="91">
        <v>72.92480285610236</v>
      </c>
      <c r="V231" s="49">
        <v>317</v>
      </c>
      <c r="W231" s="20">
        <v>4</v>
      </c>
      <c r="X231" s="20" t="str">
        <v>Warm</v>
      </c>
      <c r="Y231" s="20">
        <v>1</v>
      </c>
    </row>
    <row r="232" spans="1:25" ht="15" customHeight="1" x14ac:dyDescent="0.25">
      <c r="A232" s="3"/>
      <c r="B232" s="3"/>
      <c r="C232" s="3"/>
      <c r="D232" s="3"/>
      <c r="E232" s="3"/>
      <c r="F232" s="3"/>
      <c r="G232" s="3"/>
      <c r="H232" s="3"/>
      <c r="I232" s="3"/>
      <c r="J232" s="3"/>
      <c r="K232" s="20">
        <v>26849</v>
      </c>
      <c r="L232" s="20" t="str">
        <v>2+ Cars</v>
      </c>
      <c r="M232" s="20" t="str">
        <v>41-50</v>
      </c>
      <c r="N232" s="20" t="str">
        <v>0-1 Miles</v>
      </c>
      <c r="O232" s="20">
        <v>3</v>
      </c>
      <c r="P232" s="20" t="str">
        <v>Partial High School</v>
      </c>
      <c r="Q232" s="20" t="str">
        <v>Europe</v>
      </c>
      <c r="R232" s="20" t="str">
        <v>Married</v>
      </c>
      <c r="S232" s="20" t="str">
        <v>$10k-30k</v>
      </c>
      <c r="T232" s="89">
        <v>0.44019534228571627</v>
      </c>
      <c r="U232" s="91">
        <v>38.783883918134308</v>
      </c>
      <c r="V232" s="49">
        <v>785</v>
      </c>
      <c r="W232" s="20">
        <v>8</v>
      </c>
      <c r="X232" s="20" t="str">
        <v>Cold</v>
      </c>
      <c r="Y232" s="20">
        <v>0</v>
      </c>
    </row>
    <row r="233" spans="1:25" ht="15" customHeight="1" x14ac:dyDescent="0.25">
      <c r="A233" s="3"/>
      <c r="B233" s="3"/>
      <c r="C233" s="3"/>
      <c r="D233" s="3"/>
      <c r="E233" s="3"/>
      <c r="F233" s="3"/>
      <c r="G233" s="3"/>
      <c r="H233" s="3"/>
      <c r="I233" s="3"/>
      <c r="J233" s="3"/>
      <c r="K233" s="20">
        <v>20962</v>
      </c>
      <c r="L233" s="20" t="str">
        <v>0-1 Cars</v>
      </c>
      <c r="M233" s="20" t="str">
        <v>41-50</v>
      </c>
      <c r="N233" s="20" t="str">
        <v>0-1 Miles</v>
      </c>
      <c r="O233" s="20">
        <v>1</v>
      </c>
      <c r="P233" s="20" t="str">
        <v>Graduate Degree</v>
      </c>
      <c r="Q233" s="20" t="str">
        <v>Europe</v>
      </c>
      <c r="R233" s="20" t="str">
        <v>Married</v>
      </c>
      <c r="S233" s="20" t="str">
        <v>$10k-30k</v>
      </c>
      <c r="T233" s="89">
        <v>0.51721314857297462</v>
      </c>
      <c r="U233" s="91">
        <v>76.12623883930236</v>
      </c>
      <c r="V233" s="49">
        <v>267</v>
      </c>
      <c r="W233" s="20">
        <v>3</v>
      </c>
      <c r="X233" s="20" t="str">
        <v>Hot</v>
      </c>
      <c r="Y233" s="20">
        <v>0</v>
      </c>
    </row>
    <row r="234" spans="1:25" ht="15" customHeight="1" x14ac:dyDescent="0.25">
      <c r="A234" s="3"/>
      <c r="B234" s="3"/>
      <c r="C234" s="3"/>
      <c r="D234" s="3"/>
      <c r="E234" s="3"/>
      <c r="F234" s="3"/>
      <c r="G234" s="3"/>
      <c r="H234" s="3"/>
      <c r="I234" s="3"/>
      <c r="J234" s="3"/>
      <c r="K234" s="20">
        <v>28915</v>
      </c>
      <c r="L234" s="20" t="str">
        <v>2+ Cars</v>
      </c>
      <c r="M234" s="20" t="str">
        <v>51-60</v>
      </c>
      <c r="N234" s="20" t="str">
        <v>10+ Miles</v>
      </c>
      <c r="O234" s="20">
        <v>5</v>
      </c>
      <c r="P234" s="20" t="str">
        <v>High School</v>
      </c>
      <c r="Q234" s="20" t="str">
        <v>Europe</v>
      </c>
      <c r="R234" s="20" t="str">
        <v>Single</v>
      </c>
      <c r="S234" s="20" t="str">
        <v>$70k-90k</v>
      </c>
      <c r="T234" s="89">
        <v>0.39706804405850565</v>
      </c>
      <c r="U234" s="91">
        <v>17.873461318133625</v>
      </c>
      <c r="V234" s="49">
        <v>975</v>
      </c>
      <c r="W234" s="20">
        <v>10</v>
      </c>
      <c r="X234" s="20" t="str">
        <v>Cold</v>
      </c>
      <c r="Y234" s="20">
        <v>0</v>
      </c>
    </row>
    <row r="235" spans="1:25" ht="15" customHeight="1" x14ac:dyDescent="0.25">
      <c r="A235" s="3"/>
      <c r="B235" s="3"/>
      <c r="C235" s="3"/>
      <c r="D235" s="3"/>
      <c r="E235" s="3"/>
      <c r="F235" s="3"/>
      <c r="G235" s="3"/>
      <c r="H235" s="3"/>
      <c r="I235" s="3"/>
      <c r="J235" s="3"/>
      <c r="K235" s="20">
        <v>22830</v>
      </c>
      <c r="L235" s="20" t="str">
        <v>2+ Cars</v>
      </c>
      <c r="M235" s="20" t="str">
        <v>51-60</v>
      </c>
      <c r="N235" s="20" t="str">
        <v>10+ Miles</v>
      </c>
      <c r="O235" s="20">
        <v>4</v>
      </c>
      <c r="P235" s="20" t="str">
        <v>Partial College</v>
      </c>
      <c r="Q235" s="20" t="str">
        <v>Europe</v>
      </c>
      <c r="R235" s="20" t="str">
        <v>Married</v>
      </c>
      <c r="S235" s="20" t="str">
        <v>$100k+</v>
      </c>
      <c r="T235" s="89">
        <v>0.41618056504153017</v>
      </c>
      <c r="U235" s="91">
        <v>27.140234502044052</v>
      </c>
      <c r="V235" s="49">
        <v>916</v>
      </c>
      <c r="W235" s="20">
        <v>10</v>
      </c>
      <c r="X235" s="20" t="str">
        <v>Cold</v>
      </c>
      <c r="Y235" s="20">
        <v>0</v>
      </c>
    </row>
    <row r="236" spans="1:25" ht="15" customHeight="1" x14ac:dyDescent="0.25">
      <c r="A236" s="3"/>
      <c r="B236" s="3"/>
      <c r="C236" s="3"/>
      <c r="D236" s="3"/>
      <c r="E236" s="3"/>
      <c r="F236" s="3"/>
      <c r="G236" s="3"/>
      <c r="H236" s="3"/>
      <c r="I236" s="3"/>
      <c r="J236" s="3"/>
      <c r="K236" s="20">
        <v>14777</v>
      </c>
      <c r="L236" s="20" t="str">
        <v>0-1 Cars</v>
      </c>
      <c r="M236" s="20" t="str">
        <v>31-40</v>
      </c>
      <c r="N236" s="20" t="str">
        <v>0-1 Miles</v>
      </c>
      <c r="O236" s="20">
        <v>0</v>
      </c>
      <c r="P236" s="20" t="str">
        <v>Bachelors</v>
      </c>
      <c r="Q236" s="20" t="str">
        <v>Europe</v>
      </c>
      <c r="R236" s="20" t="str">
        <v>Married</v>
      </c>
      <c r="S236" s="20" t="str">
        <v>$40k-60k</v>
      </c>
      <c r="T236" s="89">
        <v>0.54301769146254275</v>
      </c>
      <c r="U236" s="91">
        <v>88.637662438758653</v>
      </c>
      <c r="V236" s="49">
        <v>84</v>
      </c>
      <c r="W236" s="20">
        <v>1</v>
      </c>
      <c r="X236" s="20" t="str">
        <v>Hot</v>
      </c>
      <c r="Y236" s="20">
        <v>1</v>
      </c>
    </row>
    <row r="237" spans="1:25" ht="15" customHeight="1" x14ac:dyDescent="0.25">
      <c r="A237" s="3"/>
      <c r="B237" s="3"/>
      <c r="C237" s="3"/>
      <c r="D237" s="3"/>
      <c r="E237" s="3"/>
      <c r="F237" s="3"/>
      <c r="G237" s="3"/>
      <c r="H237" s="3"/>
      <c r="I237" s="3"/>
      <c r="J237" s="3"/>
      <c r="K237" s="20">
        <v>12591</v>
      </c>
      <c r="L237" s="20" t="str">
        <v>0-1 Cars</v>
      </c>
      <c r="M237" s="20" t="str">
        <v>41-50</v>
      </c>
      <c r="N237" s="20" t="str">
        <v>0-1 Miles</v>
      </c>
      <c r="O237" s="20">
        <v>4</v>
      </c>
      <c r="P237" s="20" t="str">
        <v>Graduate Degree</v>
      </c>
      <c r="Q237" s="20" t="str">
        <v>Europe</v>
      </c>
      <c r="R237" s="20" t="str">
        <v>Married</v>
      </c>
      <c r="S237" s="20" t="str">
        <v>$10k-30k</v>
      </c>
      <c r="T237" s="89">
        <v>0.49699828569784849</v>
      </c>
      <c r="U237" s="91">
        <v>66.324991302463758</v>
      </c>
      <c r="V237" s="49">
        <v>397</v>
      </c>
      <c r="W237" s="20">
        <v>4</v>
      </c>
      <c r="X237" s="20" t="str">
        <v>Warm</v>
      </c>
      <c r="Y237" s="20">
        <v>0</v>
      </c>
    </row>
    <row r="238" spans="1:25" ht="15" customHeight="1" x14ac:dyDescent="0.25">
      <c r="A238" s="3"/>
      <c r="B238" s="3"/>
      <c r="C238" s="3"/>
      <c r="D238" s="3"/>
      <c r="E238" s="3"/>
      <c r="F238" s="3"/>
      <c r="G238" s="3"/>
      <c r="H238" s="3"/>
      <c r="I238" s="3"/>
      <c r="J238" s="3"/>
      <c r="K238" s="20">
        <v>24174</v>
      </c>
      <c r="L238" s="20" t="str">
        <v>0-1 Cars</v>
      </c>
      <c r="M238" s="20" t="str">
        <v>25-30</v>
      </c>
      <c r="N238" s="20" t="str">
        <v>0-1 Miles</v>
      </c>
      <c r="O238" s="20">
        <v>0</v>
      </c>
      <c r="P238" s="20" t="str">
        <v>Bachelors</v>
      </c>
      <c r="Q238" s="20" t="str">
        <v>Pacific</v>
      </c>
      <c r="R238" s="20" t="str">
        <v>Married</v>
      </c>
      <c r="S238" s="20" t="str">
        <v>$10k-30k</v>
      </c>
      <c r="T238" s="89">
        <v>0.49997554179478271</v>
      </c>
      <c r="U238" s="91">
        <v>67.76852441801708</v>
      </c>
      <c r="V238" s="49">
        <v>376</v>
      </c>
      <c r="W238" s="20">
        <v>4</v>
      </c>
      <c r="X238" s="20" t="str">
        <v>Warm</v>
      </c>
      <c r="Y238" s="20">
        <v>1</v>
      </c>
    </row>
    <row r="239" spans="1:25" ht="15" customHeight="1" x14ac:dyDescent="0.25">
      <c r="A239" s="3"/>
      <c r="B239" s="3"/>
      <c r="C239" s="3"/>
      <c r="D239" s="3"/>
      <c r="E239" s="3"/>
      <c r="F239" s="3"/>
      <c r="G239" s="3"/>
      <c r="H239" s="3"/>
      <c r="I239" s="3"/>
      <c r="J239" s="3"/>
      <c r="K239" s="20">
        <v>24611</v>
      </c>
      <c r="L239" s="20" t="str">
        <v>2+ Cars</v>
      </c>
      <c r="M239" s="20" t="str">
        <v>31-40</v>
      </c>
      <c r="N239" s="20" t="str">
        <v>10+ Miles</v>
      </c>
      <c r="O239" s="20">
        <v>0</v>
      </c>
      <c r="P239" s="20" t="str">
        <v>Bachelors</v>
      </c>
      <c r="Q239" s="20" t="str">
        <v>Pacific</v>
      </c>
      <c r="R239" s="20" t="str">
        <v>Single</v>
      </c>
      <c r="S239" s="20" t="str">
        <v>$70k-90k</v>
      </c>
      <c r="T239" s="89">
        <v>0.48374381756216484</v>
      </c>
      <c r="U239" s="91">
        <v>59.898515695407994</v>
      </c>
      <c r="V239" s="49">
        <v>490</v>
      </c>
      <c r="W239" s="20">
        <v>5</v>
      </c>
      <c r="X239" s="20" t="str">
        <v>Warm</v>
      </c>
      <c r="Y239" s="20">
        <v>1</v>
      </c>
    </row>
    <row r="240" spans="1:25" ht="15" customHeight="1" x14ac:dyDescent="0.25">
      <c r="A240" s="3"/>
      <c r="B240" s="3"/>
      <c r="C240" s="3"/>
      <c r="D240" s="3"/>
      <c r="E240" s="3"/>
      <c r="F240" s="3"/>
      <c r="G240" s="3"/>
      <c r="H240" s="3"/>
      <c r="I240" s="3"/>
      <c r="J240" s="3"/>
      <c r="K240" s="20">
        <v>11340</v>
      </c>
      <c r="L240" s="20" t="str">
        <v>0-1 Cars</v>
      </c>
      <c r="M240" s="20" t="str">
        <v>61+</v>
      </c>
      <c r="N240" s="20" t="str">
        <v>0-1 Miles</v>
      </c>
      <c r="O240" s="20">
        <v>1</v>
      </c>
      <c r="P240" s="20" t="str">
        <v>Graduate Degree</v>
      </c>
      <c r="Q240" s="20" t="str">
        <v>Europe</v>
      </c>
      <c r="R240" s="20" t="str">
        <v>Married</v>
      </c>
      <c r="S240" s="20" t="str">
        <v>$10k-30k</v>
      </c>
      <c r="T240" s="89">
        <v>0.49065179787075902</v>
      </c>
      <c r="U240" s="91">
        <v>63.247874303595729</v>
      </c>
      <c r="V240" s="49">
        <v>452</v>
      </c>
      <c r="W240" s="20">
        <v>5</v>
      </c>
      <c r="X240" s="20" t="str">
        <v>Warm</v>
      </c>
      <c r="Y240" s="20">
        <v>1</v>
      </c>
    </row>
    <row r="241" spans="1:25" ht="15" customHeight="1" x14ac:dyDescent="0.25">
      <c r="A241" s="3"/>
      <c r="B241" s="3"/>
      <c r="C241" s="3"/>
      <c r="D241" s="3"/>
      <c r="E241" s="3"/>
      <c r="F241" s="3"/>
      <c r="G241" s="3"/>
      <c r="H241" s="3"/>
      <c r="I241" s="3"/>
      <c r="J241" s="3"/>
      <c r="K241" s="20">
        <v>25693</v>
      </c>
      <c r="L241" s="20" t="str">
        <v>0-1 Cars</v>
      </c>
      <c r="M241" s="20" t="str">
        <v>41-50</v>
      </c>
      <c r="N241" s="20" t="str">
        <v>0-1 Miles</v>
      </c>
      <c r="O241" s="20">
        <v>5</v>
      </c>
      <c r="P241" s="20" t="str">
        <v>Graduate Degree</v>
      </c>
      <c r="Q241" s="20" t="str">
        <v>Europe</v>
      </c>
      <c r="R241" s="20" t="str">
        <v>Single</v>
      </c>
      <c r="S241" s="20" t="str">
        <v>$10k-30k</v>
      </c>
      <c r="T241" s="89">
        <v>0.4779863712114541</v>
      </c>
      <c r="U241" s="91">
        <v>57.106997533154228</v>
      </c>
      <c r="V241" s="49">
        <v>521</v>
      </c>
      <c r="W241" s="20">
        <v>6</v>
      </c>
      <c r="X241" s="20" t="str">
        <v>Warm</v>
      </c>
      <c r="Y241" s="20">
        <v>1</v>
      </c>
    </row>
    <row r="242" spans="1:25" ht="15" customHeight="1" x14ac:dyDescent="0.25">
      <c r="A242" s="3"/>
      <c r="B242" s="3"/>
      <c r="C242" s="3"/>
      <c r="D242" s="3"/>
      <c r="E242" s="3"/>
      <c r="F242" s="3"/>
      <c r="G242" s="3"/>
      <c r="H242" s="3"/>
      <c r="I242" s="3"/>
      <c r="J242" s="3"/>
      <c r="K242" s="20">
        <v>25555</v>
      </c>
      <c r="L242" s="20" t="str">
        <v>0-1 Cars</v>
      </c>
      <c r="M242" s="20" t="str">
        <v>25-30</v>
      </c>
      <c r="N242" s="20" t="str">
        <v>0-1 Miles</v>
      </c>
      <c r="O242" s="20">
        <v>0</v>
      </c>
      <c r="P242" s="20" t="str">
        <v>Partial College</v>
      </c>
      <c r="Q242" s="20" t="str">
        <v>Pacific</v>
      </c>
      <c r="R242" s="20" t="str">
        <v>Married</v>
      </c>
      <c r="S242" s="20" t="str">
        <v>$10k-30k</v>
      </c>
      <c r="T242" s="89">
        <v>0.48721618358784141</v>
      </c>
      <c r="U242" s="91">
        <v>61.582104605528279</v>
      </c>
      <c r="V242" s="49">
        <v>468</v>
      </c>
      <c r="W242" s="20">
        <v>5</v>
      </c>
      <c r="X242" s="20" t="str">
        <v>Warm</v>
      </c>
      <c r="Y242" s="20">
        <v>1</v>
      </c>
    </row>
    <row r="243" spans="1:25" ht="15" customHeight="1" x14ac:dyDescent="0.25">
      <c r="A243" s="3"/>
      <c r="B243" s="3"/>
      <c r="C243" s="3"/>
      <c r="D243" s="3"/>
      <c r="E243" s="3"/>
      <c r="F243" s="3"/>
      <c r="G243" s="3"/>
      <c r="H243" s="3"/>
      <c r="I243" s="3"/>
      <c r="J243" s="3"/>
      <c r="K243" s="20">
        <v>22006</v>
      </c>
      <c r="L243" s="20" t="str">
        <v>2+ Cars</v>
      </c>
      <c r="M243" s="20" t="str">
        <v>41-50</v>
      </c>
      <c r="N243" s="20" t="str">
        <v>5-10 Miles</v>
      </c>
      <c r="O243" s="20">
        <v>5</v>
      </c>
      <c r="P243" s="20" t="str">
        <v>Partial College</v>
      </c>
      <c r="Q243" s="20" t="str">
        <v>Pacific</v>
      </c>
      <c r="R243" s="20" t="str">
        <v>Married</v>
      </c>
      <c r="S243" s="20" t="str">
        <v>$70k-90k</v>
      </c>
      <c r="T243" s="89">
        <v>0.41312809252067262</v>
      </c>
      <c r="U243" s="91">
        <v>25.660232438159859</v>
      </c>
      <c r="V243" s="49">
        <v>931</v>
      </c>
      <c r="W243" s="20">
        <v>10</v>
      </c>
      <c r="X243" s="20" t="str">
        <v>Cold</v>
      </c>
      <c r="Y243" s="20">
        <v>0</v>
      </c>
    </row>
    <row r="244" spans="1:25" ht="15" customHeight="1" x14ac:dyDescent="0.25">
      <c r="A244" s="3"/>
      <c r="B244" s="3"/>
      <c r="C244" s="3"/>
      <c r="D244" s="3"/>
      <c r="E244" s="3"/>
      <c r="F244" s="3"/>
      <c r="G244" s="3"/>
      <c r="H244" s="3"/>
      <c r="I244" s="3"/>
      <c r="J244" s="3"/>
      <c r="K244" s="20">
        <v>20060</v>
      </c>
      <c r="L244" s="20" t="str">
        <v>0-1 Cars</v>
      </c>
      <c r="M244" s="20" t="str">
        <v>31-40</v>
      </c>
      <c r="N244" s="20" t="str">
        <v>2-5 Miles</v>
      </c>
      <c r="O244" s="20">
        <v>0</v>
      </c>
      <c r="P244" s="20" t="str">
        <v>High School</v>
      </c>
      <c r="Q244" s="20" t="str">
        <v>Europe</v>
      </c>
      <c r="R244" s="20" t="str">
        <v>Single</v>
      </c>
      <c r="S244" s="20" t="str">
        <v>$10k-30k</v>
      </c>
      <c r="T244" s="89">
        <v>0.53392383828606993</v>
      </c>
      <c r="U244" s="91">
        <v>84.228475663816454</v>
      </c>
      <c r="V244" s="49">
        <v>165</v>
      </c>
      <c r="W244" s="20">
        <v>2</v>
      </c>
      <c r="X244" s="20" t="str">
        <v>Hot</v>
      </c>
      <c r="Y244" s="20">
        <v>1</v>
      </c>
    </row>
    <row r="245" spans="1:25" ht="15" customHeight="1" x14ac:dyDescent="0.25">
      <c r="A245" s="3"/>
      <c r="B245" s="3"/>
      <c r="C245" s="3"/>
      <c r="D245" s="3"/>
      <c r="E245" s="3"/>
      <c r="F245" s="3"/>
      <c r="G245" s="3"/>
      <c r="H245" s="3"/>
      <c r="I245" s="3"/>
      <c r="J245" s="3"/>
      <c r="K245" s="20">
        <v>17702</v>
      </c>
      <c r="L245" s="20" t="str">
        <v>0-1 Cars</v>
      </c>
      <c r="M245" s="20" t="str">
        <v>31-40</v>
      </c>
      <c r="N245" s="20" t="str">
        <v>0-1 Miles</v>
      </c>
      <c r="O245" s="20">
        <v>1</v>
      </c>
      <c r="P245" s="20" t="str">
        <v>Graduate Degree</v>
      </c>
      <c r="Q245" s="20" t="str">
        <v>Europe</v>
      </c>
      <c r="R245" s="20" t="str">
        <v>Married</v>
      </c>
      <c r="S245" s="20" t="str">
        <v>$10k-30k</v>
      </c>
      <c r="T245" s="89">
        <v>0.54024351530704395</v>
      </c>
      <c r="U245" s="91">
        <v>87.292593348812147</v>
      </c>
      <c r="V245" s="49">
        <v>111</v>
      </c>
      <c r="W245" s="20">
        <v>2</v>
      </c>
      <c r="X245" s="20" t="str">
        <v>Hot</v>
      </c>
      <c r="Y245" s="20">
        <v>0</v>
      </c>
    </row>
    <row r="246" spans="1:25" ht="15" customHeight="1" x14ac:dyDescent="0.25">
      <c r="A246" s="3"/>
      <c r="B246" s="3"/>
      <c r="C246" s="3"/>
      <c r="D246" s="3"/>
      <c r="E246" s="3"/>
      <c r="F246" s="3"/>
      <c r="G246" s="3"/>
      <c r="H246" s="3"/>
      <c r="I246" s="3"/>
      <c r="J246" s="3"/>
      <c r="K246" s="20">
        <v>12503</v>
      </c>
      <c r="L246" s="20" t="str">
        <v>2+ Cars</v>
      </c>
      <c r="M246" s="20" t="str">
        <v>25-30</v>
      </c>
      <c r="N246" s="20" t="str">
        <v>0-1 Miles</v>
      </c>
      <c r="O246" s="20">
        <v>3</v>
      </c>
      <c r="P246" s="20" t="str">
        <v>Partial College</v>
      </c>
      <c r="Q246" s="20" t="str">
        <v>Europe</v>
      </c>
      <c r="R246" s="20" t="str">
        <v>Single</v>
      </c>
      <c r="S246" s="20" t="str">
        <v>$10k-30k</v>
      </c>
      <c r="T246" s="89">
        <v>0.45499362110230884</v>
      </c>
      <c r="U246" s="91">
        <v>45.95888157686435</v>
      </c>
      <c r="V246" s="49">
        <v>694</v>
      </c>
      <c r="W246" s="20">
        <v>7</v>
      </c>
      <c r="X246" s="20" t="str">
        <v>Cold</v>
      </c>
      <c r="Y246" s="20">
        <v>0</v>
      </c>
    </row>
    <row r="247" spans="1:25" ht="15" customHeight="1" x14ac:dyDescent="0.25">
      <c r="A247" s="3"/>
      <c r="B247" s="3"/>
      <c r="C247" s="3"/>
      <c r="D247" s="3"/>
      <c r="E247" s="3"/>
      <c r="F247" s="3"/>
      <c r="G247" s="3"/>
      <c r="H247" s="3"/>
      <c r="I247" s="3"/>
      <c r="J247" s="3"/>
      <c r="K247" s="20">
        <v>23908</v>
      </c>
      <c r="L247" s="20" t="str">
        <v>0-1 Cars</v>
      </c>
      <c r="M247" s="20" t="str">
        <v>31-40</v>
      </c>
      <c r="N247" s="20" t="str">
        <v>0-1 Miles</v>
      </c>
      <c r="O247" s="20">
        <v>1</v>
      </c>
      <c r="P247" s="20" t="str">
        <v>Bachelors</v>
      </c>
      <c r="Q247" s="20" t="str">
        <v>Europe</v>
      </c>
      <c r="R247" s="20" t="str">
        <v>Single</v>
      </c>
      <c r="S247" s="20" t="str">
        <v>$10k-30k</v>
      </c>
      <c r="T247" s="89">
        <v>0.55141189041019878</v>
      </c>
      <c r="U247" s="91">
        <v>92.707619394078009</v>
      </c>
      <c r="V247" s="49">
        <v>33</v>
      </c>
      <c r="W247" s="20">
        <v>1</v>
      </c>
      <c r="X247" s="20" t="str">
        <v>Hot</v>
      </c>
      <c r="Y247" s="20">
        <v>1</v>
      </c>
    </row>
    <row r="248" spans="1:25" ht="15" customHeight="1" x14ac:dyDescent="0.25">
      <c r="A248" s="3"/>
      <c r="B248" s="3"/>
      <c r="C248" s="3"/>
      <c r="D248" s="3"/>
      <c r="E248" s="3"/>
      <c r="F248" s="3"/>
      <c r="G248" s="3"/>
      <c r="H248" s="3"/>
      <c r="I248" s="3"/>
      <c r="J248" s="3"/>
      <c r="K248" s="20">
        <v>22527</v>
      </c>
      <c r="L248" s="20" t="str">
        <v>0-1 Cars</v>
      </c>
      <c r="M248" s="20" t="str">
        <v>25-30</v>
      </c>
      <c r="N248" s="20" t="str">
        <v>2-5 Miles</v>
      </c>
      <c r="O248" s="20">
        <v>0</v>
      </c>
      <c r="P248" s="20" t="str">
        <v>High School</v>
      </c>
      <c r="Q248" s="20" t="str">
        <v>Europe</v>
      </c>
      <c r="R248" s="20" t="str">
        <v>Single</v>
      </c>
      <c r="S248" s="20" t="str">
        <v>$10k-30k</v>
      </c>
      <c r="T248" s="89">
        <v>0.49303661041275448</v>
      </c>
      <c r="U248" s="91">
        <v>64.404159072750218</v>
      </c>
      <c r="V248" s="49">
        <v>430</v>
      </c>
      <c r="W248" s="20">
        <v>5</v>
      </c>
      <c r="X248" s="20" t="str">
        <v>Warm</v>
      </c>
      <c r="Y248" s="20">
        <v>0</v>
      </c>
    </row>
    <row r="249" spans="1:25" ht="15" customHeight="1" x14ac:dyDescent="0.25">
      <c r="A249" s="3"/>
      <c r="B249" s="3"/>
      <c r="C249" s="3"/>
      <c r="D249" s="3"/>
      <c r="E249" s="3"/>
      <c r="F249" s="3"/>
      <c r="G249" s="3"/>
      <c r="H249" s="3"/>
      <c r="I249" s="3"/>
      <c r="J249" s="3"/>
      <c r="K249" s="20">
        <v>19057</v>
      </c>
      <c r="L249" s="20" t="str">
        <v>2+ Cars</v>
      </c>
      <c r="M249" s="20" t="str">
        <v>51-60</v>
      </c>
      <c r="N249" s="20" t="str">
        <v>10+ Miles</v>
      </c>
      <c r="O249" s="20">
        <v>3</v>
      </c>
      <c r="P249" s="20" t="str">
        <v>Bachelors</v>
      </c>
      <c r="Q249" s="20" t="str">
        <v>Europe</v>
      </c>
      <c r="R249" s="20" t="str">
        <v>Married</v>
      </c>
      <c r="S249" s="20" t="str">
        <v>$100k+</v>
      </c>
      <c r="T249" s="89">
        <v>0.44509655241467661</v>
      </c>
      <c r="U249" s="91">
        <v>41.16025292942799</v>
      </c>
      <c r="V249" s="49">
        <v>754</v>
      </c>
      <c r="W249" s="20">
        <v>8</v>
      </c>
      <c r="X249" s="20" t="str">
        <v>Cold</v>
      </c>
      <c r="Y249" s="20">
        <v>1</v>
      </c>
    </row>
    <row r="250" spans="1:25" ht="15" customHeight="1" x14ac:dyDescent="0.25">
      <c r="A250" s="3"/>
      <c r="B250" s="3"/>
      <c r="C250" s="3"/>
      <c r="D250" s="3"/>
      <c r="E250" s="3"/>
      <c r="F250" s="3"/>
      <c r="G250" s="3"/>
      <c r="H250" s="3"/>
      <c r="I250" s="3"/>
      <c r="J250" s="3"/>
      <c r="K250" s="20">
        <v>18494</v>
      </c>
      <c r="L250" s="20" t="str">
        <v>2+ Cars</v>
      </c>
      <c r="M250" s="20" t="str">
        <v>41-50</v>
      </c>
      <c r="N250" s="20" t="str">
        <v>2-5 Miles</v>
      </c>
      <c r="O250" s="20">
        <v>5</v>
      </c>
      <c r="P250" s="20" t="str">
        <v>Bachelors</v>
      </c>
      <c r="Q250" s="20" t="str">
        <v>Pacific</v>
      </c>
      <c r="R250" s="20" t="str">
        <v>Married</v>
      </c>
      <c r="S250" s="20" t="str">
        <v>$100k+</v>
      </c>
      <c r="T250" s="89">
        <v>0.45252937406221816</v>
      </c>
      <c r="U250" s="91">
        <v>44.764082711245038</v>
      </c>
      <c r="V250" s="49">
        <v>718</v>
      </c>
      <c r="W250" s="20">
        <v>8</v>
      </c>
      <c r="X250" s="20" t="str">
        <v>Cold</v>
      </c>
      <c r="Y250" s="20">
        <v>1</v>
      </c>
    </row>
    <row r="251" spans="1:25" ht="15" customHeight="1" x14ac:dyDescent="0.25">
      <c r="A251" s="3"/>
      <c r="B251" s="3"/>
      <c r="C251" s="3"/>
      <c r="D251" s="3"/>
      <c r="E251" s="3"/>
      <c r="F251" s="3"/>
      <c r="G251" s="3"/>
      <c r="H251" s="3"/>
      <c r="I251" s="3"/>
      <c r="J251" s="3"/>
      <c r="K251" s="20">
        <v>11249</v>
      </c>
      <c r="L251" s="20" t="str">
        <v>2+ Cars</v>
      </c>
      <c r="M251" s="20" t="str">
        <v>51-60</v>
      </c>
      <c r="N251" s="20" t="str">
        <v>0-1 Miles</v>
      </c>
      <c r="O251" s="20">
        <v>3</v>
      </c>
      <c r="P251" s="20" t="str">
        <v>Partial College</v>
      </c>
      <c r="Q251" s="20" t="str">
        <v>Europe</v>
      </c>
      <c r="R251" s="20" t="str">
        <v>Married</v>
      </c>
      <c r="S251" s="20" t="str">
        <v>$100k+</v>
      </c>
      <c r="T251" s="89">
        <v>0.46828098948141955</v>
      </c>
      <c r="U251" s="91">
        <v>52.401308982942574</v>
      </c>
      <c r="V251" s="49">
        <v>590</v>
      </c>
      <c r="W251" s="20">
        <v>6</v>
      </c>
      <c r="X251" s="20" t="str">
        <v>Warm</v>
      </c>
      <c r="Y251" s="20">
        <v>1</v>
      </c>
    </row>
    <row r="252" spans="1:25" ht="15" customHeight="1" x14ac:dyDescent="0.25">
      <c r="A252" s="3"/>
      <c r="B252" s="3"/>
      <c r="C252" s="3"/>
      <c r="D252" s="3"/>
      <c r="E252" s="3"/>
      <c r="F252" s="3"/>
      <c r="G252" s="3"/>
      <c r="H252" s="3"/>
      <c r="I252" s="3"/>
      <c r="J252" s="3"/>
      <c r="K252" s="20">
        <v>21568</v>
      </c>
      <c r="L252" s="20" t="str">
        <v>2+ Cars</v>
      </c>
      <c r="M252" s="20" t="str">
        <v>31-40</v>
      </c>
      <c r="N252" s="20" t="str">
        <v>10+ Miles</v>
      </c>
      <c r="O252" s="20">
        <v>0</v>
      </c>
      <c r="P252" s="20" t="str">
        <v>High School</v>
      </c>
      <c r="Q252" s="20" t="str">
        <v>Pacific</v>
      </c>
      <c r="R252" s="20" t="str">
        <v>Married</v>
      </c>
      <c r="S252" s="20" t="str">
        <v>$100k+</v>
      </c>
      <c r="T252" s="89">
        <v>0.45949967063647595</v>
      </c>
      <c r="U252" s="91">
        <v>48.143655580549122</v>
      </c>
      <c r="V252" s="49">
        <v>653</v>
      </c>
      <c r="W252" s="20">
        <v>7</v>
      </c>
      <c r="X252" s="20" t="str">
        <v>Cold</v>
      </c>
      <c r="Y252" s="20">
        <v>1</v>
      </c>
    </row>
    <row r="253" spans="1:25" ht="15" customHeight="1" x14ac:dyDescent="0.25">
      <c r="A253" s="3"/>
      <c r="B253" s="3"/>
      <c r="C253" s="3"/>
      <c r="D253" s="3"/>
      <c r="E253" s="3"/>
      <c r="F253" s="3"/>
      <c r="G253" s="3"/>
      <c r="H253" s="3"/>
      <c r="I253" s="3"/>
      <c r="J253" s="3"/>
      <c r="K253" s="20">
        <v>13981</v>
      </c>
      <c r="L253" s="20" t="str">
        <v>2+ Cars</v>
      </c>
      <c r="M253" s="20" t="str">
        <v>61+</v>
      </c>
      <c r="N253" s="20" t="str">
        <v>1-2 Miles</v>
      </c>
      <c r="O253" s="20">
        <v>5</v>
      </c>
      <c r="P253" s="20" t="str">
        <v>High School</v>
      </c>
      <c r="Q253" s="20" t="str">
        <v>Pacific</v>
      </c>
      <c r="R253" s="20" t="str">
        <v>Married</v>
      </c>
      <c r="S253" s="20" t="str">
        <v>$10k-30k</v>
      </c>
      <c r="T253" s="89">
        <v>0.38637814041982266</v>
      </c>
      <c r="U253" s="91">
        <v>12.690423849370683</v>
      </c>
      <c r="V253" s="49">
        <v>990</v>
      </c>
      <c r="W253" s="20">
        <v>10</v>
      </c>
      <c r="X253" s="20" t="str">
        <v>Cold</v>
      </c>
      <c r="Y253" s="20">
        <v>0</v>
      </c>
    </row>
    <row r="254" spans="1:25" ht="15" customHeight="1" x14ac:dyDescent="0.25">
      <c r="A254" s="3"/>
      <c r="B254" s="3"/>
      <c r="C254" s="3"/>
      <c r="D254" s="3"/>
      <c r="E254" s="3"/>
      <c r="F254" s="3"/>
      <c r="G254" s="3"/>
      <c r="H254" s="3"/>
      <c r="I254" s="3"/>
      <c r="J254" s="3"/>
      <c r="K254" s="20">
        <v>23432</v>
      </c>
      <c r="L254" s="20" t="str">
        <v>0-1 Cars</v>
      </c>
      <c r="M254" s="20" t="str">
        <v>31-40</v>
      </c>
      <c r="N254" s="20" t="str">
        <v>5-10 Miles</v>
      </c>
      <c r="O254" s="20">
        <v>0</v>
      </c>
      <c r="P254" s="20" t="str">
        <v>Bachelors</v>
      </c>
      <c r="Q254" s="20" t="str">
        <v>Pacific</v>
      </c>
      <c r="R254" s="20" t="str">
        <v>Single</v>
      </c>
      <c r="S254" s="20" t="str">
        <v>$70k-90k</v>
      </c>
      <c r="T254" s="89">
        <v>0.53667259067848294</v>
      </c>
      <c r="U254" s="91">
        <v>85.561217952593864</v>
      </c>
      <c r="V254" s="49">
        <v>132</v>
      </c>
      <c r="W254" s="20">
        <v>2</v>
      </c>
      <c r="X254" s="20" t="str">
        <v>Hot</v>
      </c>
      <c r="Y254" s="20">
        <v>1</v>
      </c>
    </row>
    <row r="255" spans="1:25" ht="15" customHeight="1" x14ac:dyDescent="0.25">
      <c r="A255" s="3"/>
      <c r="B255" s="3"/>
      <c r="C255" s="3"/>
      <c r="D255" s="3"/>
      <c r="E255" s="3"/>
      <c r="F255" s="3"/>
      <c r="G255" s="3"/>
      <c r="H255" s="3"/>
      <c r="I255" s="3"/>
      <c r="J255" s="3"/>
      <c r="K255" s="20">
        <v>22931</v>
      </c>
      <c r="L255" s="20" t="str">
        <v>0-1 Cars</v>
      </c>
      <c r="M255" s="20" t="str">
        <v>61+</v>
      </c>
      <c r="N255" s="20" t="str">
        <v>1-2 Miles</v>
      </c>
      <c r="O255" s="20">
        <v>5</v>
      </c>
      <c r="P255" s="20" t="str">
        <v>Graduate Degree</v>
      </c>
      <c r="Q255" s="20" t="str">
        <v>Pacific</v>
      </c>
      <c r="R255" s="20" t="str">
        <v>Married</v>
      </c>
      <c r="S255" s="20" t="str">
        <v>$100k+</v>
      </c>
      <c r="T255" s="89">
        <v>0.44432147222541463</v>
      </c>
      <c r="U255" s="91">
        <v>40.784452566952908</v>
      </c>
      <c r="V255" s="49">
        <v>766</v>
      </c>
      <c r="W255" s="20">
        <v>8</v>
      </c>
      <c r="X255" s="20" t="str">
        <v>Cold</v>
      </c>
      <c r="Y255" s="20">
        <v>1</v>
      </c>
    </row>
    <row r="256" spans="1:25" ht="15" customHeight="1" x14ac:dyDescent="0.25">
      <c r="A256" s="3"/>
      <c r="B256" s="3"/>
      <c r="C256" s="3"/>
      <c r="D256" s="3"/>
      <c r="E256" s="3"/>
      <c r="F256" s="3"/>
      <c r="G256" s="3"/>
      <c r="H256" s="3"/>
      <c r="I256" s="3"/>
      <c r="J256" s="3"/>
      <c r="K256" s="20">
        <v>18172</v>
      </c>
      <c r="L256" s="20" t="str">
        <v>2+ Cars</v>
      </c>
      <c r="M256" s="20" t="str">
        <v>51-60</v>
      </c>
      <c r="N256" s="20" t="str">
        <v>0-1 Miles</v>
      </c>
      <c r="O256" s="20">
        <v>4</v>
      </c>
      <c r="P256" s="20" t="str">
        <v>High School</v>
      </c>
      <c r="Q256" s="20" t="str">
        <v>Europe</v>
      </c>
      <c r="R256" s="20" t="str">
        <v>Married</v>
      </c>
      <c r="S256" s="20" t="str">
        <v>$100k+</v>
      </c>
      <c r="T256" s="89">
        <v>0.45117068406143812</v>
      </c>
      <c r="U256" s="91">
        <v>44.105317074013897</v>
      </c>
      <c r="V256" s="49">
        <v>723</v>
      </c>
      <c r="W256" s="20">
        <v>8</v>
      </c>
      <c r="X256" s="20" t="str">
        <v>Cold</v>
      </c>
      <c r="Y256" s="20">
        <v>0</v>
      </c>
    </row>
    <row r="257" spans="1:25" ht="15" customHeight="1" x14ac:dyDescent="0.25">
      <c r="A257" s="3"/>
      <c r="B257" s="3"/>
      <c r="C257" s="3"/>
      <c r="D257" s="3"/>
      <c r="E257" s="3"/>
      <c r="F257" s="3"/>
      <c r="G257" s="3"/>
      <c r="H257" s="3"/>
      <c r="I257" s="3"/>
      <c r="J257" s="3"/>
      <c r="K257" s="20">
        <v>12666</v>
      </c>
      <c r="L257" s="20" t="str">
        <v>2+ Cars</v>
      </c>
      <c r="M257" s="20" t="str">
        <v>31-40</v>
      </c>
      <c r="N257" s="20" t="str">
        <v>2-5 Miles</v>
      </c>
      <c r="O257" s="20">
        <v>0</v>
      </c>
      <c r="P257" s="20" t="str">
        <v>Bachelors</v>
      </c>
      <c r="Q257" s="20" t="str">
        <v>Pacific</v>
      </c>
      <c r="R257" s="20" t="str">
        <v>Single</v>
      </c>
      <c r="S257" s="20" t="str">
        <v>$40k-60k</v>
      </c>
      <c r="T257" s="89">
        <v>0.5284192671121356</v>
      </c>
      <c r="U257" s="91">
        <v>81.559564922588379</v>
      </c>
      <c r="V257" s="49">
        <v>203</v>
      </c>
      <c r="W257" s="20">
        <v>3</v>
      </c>
      <c r="X257" s="20" t="str">
        <v>Hot</v>
      </c>
      <c r="Y257" s="20">
        <v>0</v>
      </c>
    </row>
    <row r="258" spans="1:25" ht="15" customHeight="1" x14ac:dyDescent="0.25">
      <c r="A258" s="3"/>
      <c r="B258" s="3"/>
      <c r="C258" s="3"/>
      <c r="D258" s="3"/>
      <c r="E258" s="3"/>
      <c r="F258" s="3"/>
      <c r="G258" s="3"/>
      <c r="H258" s="3"/>
      <c r="I258" s="3"/>
      <c r="J258" s="3"/>
      <c r="K258" s="20">
        <v>20598</v>
      </c>
      <c r="L258" s="20" t="str">
        <v>0-1 Cars</v>
      </c>
      <c r="M258" s="20" t="str">
        <v>51-60</v>
      </c>
      <c r="N258" s="20" t="str">
        <v>10+ Miles</v>
      </c>
      <c r="O258" s="20">
        <v>3</v>
      </c>
      <c r="P258" s="20" t="str">
        <v>Partial High School</v>
      </c>
      <c r="Q258" s="20" t="str">
        <v>Europe</v>
      </c>
      <c r="R258" s="20" t="str">
        <v>Married</v>
      </c>
      <c r="S258" s="20" t="str">
        <v>$100k+</v>
      </c>
      <c r="T258" s="89">
        <v>0.44807354647843395</v>
      </c>
      <c r="U258" s="91">
        <v>42.603658997271651</v>
      </c>
      <c r="V258" s="49">
        <v>733</v>
      </c>
      <c r="W258" s="20">
        <v>8</v>
      </c>
      <c r="X258" s="20" t="str">
        <v>Cold</v>
      </c>
      <c r="Y258" s="20">
        <v>1</v>
      </c>
    </row>
    <row r="259" spans="1:25" ht="15" customHeight="1" x14ac:dyDescent="0.25">
      <c r="A259" s="3"/>
      <c r="B259" s="3"/>
      <c r="C259" s="3"/>
      <c r="D259" s="3"/>
      <c r="E259" s="3"/>
      <c r="F259" s="3"/>
      <c r="G259" s="3"/>
      <c r="H259" s="3"/>
      <c r="I259" s="3"/>
      <c r="J259" s="3"/>
      <c r="K259" s="20">
        <v>21375</v>
      </c>
      <c r="L259" s="20" t="str">
        <v>2+ Cars</v>
      </c>
      <c r="M259" s="20" t="str">
        <v>51-60</v>
      </c>
      <c r="N259" s="20" t="str">
        <v>5-10 Miles</v>
      </c>
      <c r="O259" s="20">
        <v>2</v>
      </c>
      <c r="P259" s="20" t="str">
        <v>Partial High School</v>
      </c>
      <c r="Q259" s="20" t="str">
        <v>Pacific</v>
      </c>
      <c r="R259" s="20" t="str">
        <v>Single</v>
      </c>
      <c r="S259" s="20" t="str">
        <v>$10k-30k</v>
      </c>
      <c r="T259" s="89">
        <v>0.42370192573083737</v>
      </c>
      <c r="U259" s="91">
        <v>30.786992750424545</v>
      </c>
      <c r="V259" s="49">
        <v>858</v>
      </c>
      <c r="W259" s="20">
        <v>9</v>
      </c>
      <c r="X259" s="20" t="str">
        <v>Cold</v>
      </c>
      <c r="Y259" s="20">
        <v>0</v>
      </c>
    </row>
    <row r="260" spans="1:25" ht="15" customHeight="1" x14ac:dyDescent="0.25">
      <c r="A260" s="3"/>
      <c r="B260" s="3"/>
      <c r="C260" s="3"/>
      <c r="D260" s="3"/>
      <c r="E260" s="3"/>
      <c r="F260" s="3"/>
      <c r="G260" s="3"/>
      <c r="H260" s="3"/>
      <c r="I260" s="3"/>
      <c r="J260" s="3"/>
      <c r="K260" s="20">
        <v>20839</v>
      </c>
      <c r="L260" s="20" t="str">
        <v>0-1 Cars</v>
      </c>
      <c r="M260" s="20" t="str">
        <v>41-50</v>
      </c>
      <c r="N260" s="20" t="str">
        <v>0-1 Miles</v>
      </c>
      <c r="O260" s="20">
        <v>3</v>
      </c>
      <c r="P260" s="20" t="str">
        <v>Graduate Degree</v>
      </c>
      <c r="Q260" s="20" t="str">
        <v>Europe</v>
      </c>
      <c r="R260" s="20" t="str">
        <v>Single</v>
      </c>
      <c r="S260" s="20" t="str">
        <v>$10k-30k</v>
      </c>
      <c r="T260" s="89">
        <v>0.52283295757187886</v>
      </c>
      <c r="U260" s="91">
        <v>78.851023046262753</v>
      </c>
      <c r="V260" s="49">
        <v>230</v>
      </c>
      <c r="W260" s="20">
        <v>3</v>
      </c>
      <c r="X260" s="20" t="str">
        <v>Hot</v>
      </c>
      <c r="Y260" s="20">
        <v>1</v>
      </c>
    </row>
    <row r="261" spans="1:25" ht="15" customHeight="1" x14ac:dyDescent="0.25">
      <c r="A261" s="3"/>
      <c r="B261" s="3"/>
      <c r="C261" s="3"/>
      <c r="D261" s="3"/>
      <c r="E261" s="3"/>
      <c r="F261" s="3"/>
      <c r="G261" s="3"/>
      <c r="H261" s="3"/>
      <c r="I261" s="3"/>
      <c r="J261" s="3"/>
      <c r="K261" s="20">
        <v>21738</v>
      </c>
      <c r="L261" s="20" t="str">
        <v>0-1 Cars</v>
      </c>
      <c r="M261" s="20" t="str">
        <v>41-50</v>
      </c>
      <c r="N261" s="20" t="str">
        <v>0-1 Miles</v>
      </c>
      <c r="O261" s="20">
        <v>1</v>
      </c>
      <c r="P261" s="20" t="str">
        <v>Graduate Degree</v>
      </c>
      <c r="Q261" s="20" t="str">
        <v>Europe</v>
      </c>
      <c r="R261" s="20" t="str">
        <v>Married</v>
      </c>
      <c r="S261" s="20" t="str">
        <v>$10k-30k</v>
      </c>
      <c r="T261" s="89">
        <v>0.51721314857297462</v>
      </c>
      <c r="U261" s="91">
        <v>76.12623883930236</v>
      </c>
      <c r="V261" s="49">
        <v>268</v>
      </c>
      <c r="W261" s="20">
        <v>3</v>
      </c>
      <c r="X261" s="20" t="str">
        <v>Hot</v>
      </c>
      <c r="Y261" s="20">
        <v>0</v>
      </c>
    </row>
    <row r="262" spans="1:25" ht="15" customHeight="1" x14ac:dyDescent="0.25">
      <c r="A262" s="3"/>
      <c r="B262" s="3"/>
      <c r="C262" s="3"/>
      <c r="D262" s="3"/>
      <c r="E262" s="3"/>
      <c r="F262" s="3"/>
      <c r="G262" s="3"/>
      <c r="H262" s="3"/>
      <c r="I262" s="3"/>
      <c r="J262" s="3"/>
      <c r="K262" s="20">
        <v>14164</v>
      </c>
      <c r="L262" s="20" t="str">
        <v>0-1 Cars</v>
      </c>
      <c r="M262" s="20" t="str">
        <v>31-40</v>
      </c>
      <c r="N262" s="20" t="str">
        <v>0-1 Miles</v>
      </c>
      <c r="O262" s="20">
        <v>0</v>
      </c>
      <c r="P262" s="20" t="str">
        <v>Graduate Degree</v>
      </c>
      <c r="Q262" s="20" t="str">
        <v>Europe</v>
      </c>
      <c r="R262" s="20" t="str">
        <v>Single</v>
      </c>
      <c r="S262" s="20" t="str">
        <v>$40k-60k</v>
      </c>
      <c r="T262" s="89">
        <v>0.5512054017750383</v>
      </c>
      <c r="U262" s="91">
        <v>92.607502651300493</v>
      </c>
      <c r="V262" s="49">
        <v>39</v>
      </c>
      <c r="W262" s="20">
        <v>1</v>
      </c>
      <c r="X262" s="20" t="str">
        <v>Hot</v>
      </c>
      <c r="Y262" s="20">
        <v>1</v>
      </c>
    </row>
    <row r="263" spans="1:25" ht="15" customHeight="1" x14ac:dyDescent="0.25">
      <c r="A263" s="3"/>
      <c r="B263" s="3"/>
      <c r="C263" s="3"/>
      <c r="D263" s="3"/>
      <c r="E263" s="3"/>
      <c r="F263" s="3"/>
      <c r="G263" s="3"/>
      <c r="H263" s="3"/>
      <c r="I263" s="3"/>
      <c r="J263" s="3"/>
      <c r="K263" s="20">
        <v>14193</v>
      </c>
      <c r="L263" s="20" t="str">
        <v>2+ Cars</v>
      </c>
      <c r="M263" s="20" t="str">
        <v>51-60</v>
      </c>
      <c r="N263" s="20" t="str">
        <v>10+ Miles</v>
      </c>
      <c r="O263" s="20">
        <v>3</v>
      </c>
      <c r="P263" s="20" t="str">
        <v>Partial College</v>
      </c>
      <c r="Q263" s="20" t="str">
        <v>Europe</v>
      </c>
      <c r="R263" s="20" t="str">
        <v>Single</v>
      </c>
      <c r="S263" s="20" t="str">
        <v>$100k+</v>
      </c>
      <c r="T263" s="89">
        <v>0.44201523691556038</v>
      </c>
      <c r="U263" s="91">
        <v>39.666266245842976</v>
      </c>
      <c r="V263" s="49">
        <v>779</v>
      </c>
      <c r="W263" s="20">
        <v>8</v>
      </c>
      <c r="X263" s="20" t="str">
        <v>Cold</v>
      </c>
      <c r="Y263" s="20">
        <v>0</v>
      </c>
    </row>
    <row r="264" spans="1:25" ht="15" customHeight="1" x14ac:dyDescent="0.25">
      <c r="A264" s="3"/>
      <c r="B264" s="3"/>
      <c r="C264" s="3"/>
      <c r="D264" s="3"/>
      <c r="E264" s="3"/>
      <c r="F264" s="3"/>
      <c r="G264" s="3"/>
      <c r="H264" s="3"/>
      <c r="I264" s="3"/>
      <c r="J264" s="3"/>
      <c r="K264" s="20">
        <v>12705</v>
      </c>
      <c r="L264" s="20" t="str">
        <v>2+ Cars</v>
      </c>
      <c r="M264" s="20" t="str">
        <v>31-40</v>
      </c>
      <c r="N264" s="20" t="str">
        <v>0-1 Miles</v>
      </c>
      <c r="O264" s="20">
        <v>0</v>
      </c>
      <c r="P264" s="20" t="str">
        <v>Bachelors</v>
      </c>
      <c r="Q264" s="20" t="str">
        <v>Pacific</v>
      </c>
      <c r="R264" s="20" t="str">
        <v>Married</v>
      </c>
      <c r="S264" s="20" t="str">
        <v>$100k+</v>
      </c>
      <c r="T264" s="89">
        <v>0.50915650037087778</v>
      </c>
      <c r="U264" s="91">
        <v>72.219944553074896</v>
      </c>
      <c r="V264" s="49">
        <v>324</v>
      </c>
      <c r="W264" s="20">
        <v>4</v>
      </c>
      <c r="X264" s="20" t="str">
        <v>Warm</v>
      </c>
      <c r="Y264" s="20">
        <v>1</v>
      </c>
    </row>
    <row r="265" spans="1:25" ht="15" customHeight="1" x14ac:dyDescent="0.25">
      <c r="A265" s="3"/>
      <c r="B265" s="3"/>
      <c r="C265" s="3"/>
      <c r="D265" s="3"/>
      <c r="E265" s="3"/>
      <c r="F265" s="3"/>
      <c r="G265" s="3"/>
      <c r="H265" s="3"/>
      <c r="I265" s="3"/>
      <c r="J265" s="3"/>
      <c r="K265" s="20">
        <v>22672</v>
      </c>
      <c r="L265" s="20" t="str">
        <v>0-1 Cars</v>
      </c>
      <c r="M265" s="20" t="str">
        <v>41-50</v>
      </c>
      <c r="N265" s="20" t="str">
        <v>0-1 Miles</v>
      </c>
      <c r="O265" s="20">
        <v>2</v>
      </c>
      <c r="P265" s="20" t="str">
        <v>Partial College</v>
      </c>
      <c r="Q265" s="20" t="str">
        <v>Europe</v>
      </c>
      <c r="R265" s="20" t="str">
        <v>Single</v>
      </c>
      <c r="S265" s="20" t="str">
        <v>$10k-30k</v>
      </c>
      <c r="T265" s="89">
        <v>0.50034911340263566</v>
      </c>
      <c r="U265" s="91">
        <v>67.949651929191404</v>
      </c>
      <c r="V265" s="49">
        <v>371</v>
      </c>
      <c r="W265" s="20">
        <v>4</v>
      </c>
      <c r="X265" s="20" t="str">
        <v>Warm</v>
      </c>
      <c r="Y265" s="20">
        <v>0</v>
      </c>
    </row>
    <row r="266" spans="1:25" ht="15" customHeight="1" x14ac:dyDescent="0.25">
      <c r="A266" s="3"/>
      <c r="B266" s="3"/>
      <c r="C266" s="3"/>
      <c r="D266" s="3"/>
      <c r="E266" s="3"/>
      <c r="F266" s="3"/>
      <c r="G266" s="3"/>
      <c r="H266" s="3"/>
      <c r="I266" s="3"/>
      <c r="J266" s="3"/>
      <c r="K266" s="20">
        <v>26219</v>
      </c>
      <c r="L266" s="20" t="str">
        <v>0-1 Cars</v>
      </c>
      <c r="M266" s="20" t="str">
        <v>31-40</v>
      </c>
      <c r="N266" s="20" t="str">
        <v>1-2 Miles</v>
      </c>
      <c r="O266" s="20">
        <v>1</v>
      </c>
      <c r="P266" s="20" t="str">
        <v>Bachelors</v>
      </c>
      <c r="Q266" s="20" t="str">
        <v>Europe</v>
      </c>
      <c r="R266" s="20" t="str">
        <v>Married</v>
      </c>
      <c r="S266" s="20" t="str">
        <v>$40k-60k</v>
      </c>
      <c r="T266" s="89">
        <v>0.53945608369932752</v>
      </c>
      <c r="U266" s="91">
        <v>86.910804357551868</v>
      </c>
      <c r="V266" s="49">
        <v>116</v>
      </c>
      <c r="W266" s="20">
        <v>2</v>
      </c>
      <c r="X266" s="20" t="str">
        <v>Hot</v>
      </c>
      <c r="Y266" s="20">
        <v>1</v>
      </c>
    </row>
    <row r="267" spans="1:25" ht="15" customHeight="1" x14ac:dyDescent="0.25">
      <c r="A267" s="3"/>
      <c r="B267" s="3"/>
      <c r="C267" s="3"/>
      <c r="D267" s="3"/>
      <c r="E267" s="3"/>
      <c r="F267" s="3"/>
      <c r="G267" s="3"/>
      <c r="H267" s="3"/>
      <c r="I267" s="3"/>
      <c r="J267" s="3"/>
      <c r="K267" s="20">
        <v>28468</v>
      </c>
      <c r="L267" s="20" t="str">
        <v>0-1 Cars</v>
      </c>
      <c r="M267" s="20" t="str">
        <v>51-60</v>
      </c>
      <c r="N267" s="20" t="str">
        <v>1-2 Miles</v>
      </c>
      <c r="O267" s="20">
        <v>2</v>
      </c>
      <c r="P267" s="20" t="str">
        <v>Partial College</v>
      </c>
      <c r="Q267" s="20" t="str">
        <v>Europe</v>
      </c>
      <c r="R267" s="20" t="str">
        <v>Married</v>
      </c>
      <c r="S267" s="20" t="str">
        <v>$10k-30k</v>
      </c>
      <c r="T267" s="89">
        <v>0.47566929357870996</v>
      </c>
      <c r="U267" s="91">
        <v>55.983554273564181</v>
      </c>
      <c r="V267" s="49">
        <v>534</v>
      </c>
      <c r="W267" s="20">
        <v>6</v>
      </c>
      <c r="X267" s="20" t="str">
        <v>Warm</v>
      </c>
      <c r="Y267" s="20">
        <v>0</v>
      </c>
    </row>
    <row r="268" spans="1:25" ht="15" customHeight="1" x14ac:dyDescent="0.25">
      <c r="A268" s="3"/>
      <c r="B268" s="3"/>
      <c r="C268" s="3"/>
      <c r="D268" s="3"/>
      <c r="E268" s="3"/>
      <c r="F268" s="3"/>
      <c r="G268" s="3"/>
      <c r="H268" s="3"/>
      <c r="I268" s="3"/>
      <c r="J268" s="3"/>
      <c r="K268" s="20">
        <v>23419</v>
      </c>
      <c r="L268" s="20" t="str">
        <v>2+ Cars</v>
      </c>
      <c r="M268" s="20" t="str">
        <v>31-40</v>
      </c>
      <c r="N268" s="20" t="str">
        <v>10+ Miles</v>
      </c>
      <c r="O268" s="20">
        <v>5</v>
      </c>
      <c r="P268" s="20" t="str">
        <v>Bachelors</v>
      </c>
      <c r="Q268" s="20" t="str">
        <v>Pacific</v>
      </c>
      <c r="R268" s="20" t="str">
        <v>Single</v>
      </c>
      <c r="S268" s="20" t="str">
        <v>$70k-90k</v>
      </c>
      <c r="T268" s="89">
        <v>0.44438053657190252</v>
      </c>
      <c r="U268" s="91">
        <v>40.813090123591586</v>
      </c>
      <c r="V268" s="49">
        <v>765</v>
      </c>
      <c r="W268" s="20">
        <v>8</v>
      </c>
      <c r="X268" s="20" t="str">
        <v>Cold</v>
      </c>
      <c r="Y268" s="20">
        <v>0</v>
      </c>
    </row>
    <row r="269" spans="1:25" ht="15" customHeight="1" x14ac:dyDescent="0.25">
      <c r="A269" s="3"/>
      <c r="B269" s="3"/>
      <c r="C269" s="3"/>
      <c r="D269" s="3"/>
      <c r="E269" s="3"/>
      <c r="F269" s="3"/>
      <c r="G269" s="3"/>
      <c r="H269" s="3"/>
      <c r="I269" s="3"/>
      <c r="J269" s="3"/>
      <c r="K269" s="20">
        <v>17964</v>
      </c>
      <c r="L269" s="20" t="str">
        <v>0-1 Cars</v>
      </c>
      <c r="M269" s="20" t="str">
        <v>31-40</v>
      </c>
      <c r="N269" s="20" t="str">
        <v>0-1 Miles</v>
      </c>
      <c r="O269" s="20">
        <v>0</v>
      </c>
      <c r="P269" s="20" t="str">
        <v>Graduate Degree</v>
      </c>
      <c r="Q269" s="20" t="str">
        <v>Europe</v>
      </c>
      <c r="R269" s="20" t="str">
        <v>Married</v>
      </c>
      <c r="S269" s="20" t="str">
        <v>$40k-60k</v>
      </c>
      <c r="T269" s="89">
        <v>0.54152735906721317</v>
      </c>
      <c r="U269" s="91">
        <v>87.915069522396678</v>
      </c>
      <c r="V269" s="49">
        <v>101</v>
      </c>
      <c r="W269" s="20">
        <v>2</v>
      </c>
      <c r="X269" s="20" t="str">
        <v>Hot</v>
      </c>
      <c r="Y269" s="20">
        <v>1</v>
      </c>
    </row>
    <row r="270" spans="1:25" ht="15" customHeight="1" x14ac:dyDescent="0.25">
      <c r="A270" s="3"/>
      <c r="B270" s="3"/>
      <c r="C270" s="3"/>
      <c r="D270" s="3"/>
      <c r="E270" s="3"/>
      <c r="F270" s="3"/>
      <c r="G270" s="3"/>
      <c r="H270" s="3"/>
      <c r="I270" s="3"/>
      <c r="J270" s="3"/>
      <c r="K270" s="20">
        <v>20919</v>
      </c>
      <c r="L270" s="20" t="str">
        <v>2+ Cars</v>
      </c>
      <c r="M270" s="20" t="str">
        <v>41-50</v>
      </c>
      <c r="N270" s="20" t="str">
        <v>0-1 Miles</v>
      </c>
      <c r="O270" s="20">
        <v>2</v>
      </c>
      <c r="P270" s="20" t="str">
        <v>Partial College</v>
      </c>
      <c r="Q270" s="20" t="str">
        <v>Europe</v>
      </c>
      <c r="R270" s="20" t="str">
        <v>Single</v>
      </c>
      <c r="S270" s="20" t="str">
        <v>$10k-30k</v>
      </c>
      <c r="T270" s="89">
        <v>0.46163566388392346</v>
      </c>
      <c r="U270" s="91">
        <v>49.17929943747626</v>
      </c>
      <c r="V270" s="49">
        <v>636</v>
      </c>
      <c r="W270" s="20">
        <v>7</v>
      </c>
      <c r="X270" s="20" t="str">
        <v>Cold</v>
      </c>
      <c r="Y270" s="20">
        <v>0</v>
      </c>
    </row>
    <row r="271" spans="1:25" ht="15" customHeight="1" x14ac:dyDescent="0.25">
      <c r="A271" s="3"/>
      <c r="B271" s="3"/>
      <c r="C271" s="3"/>
      <c r="D271" s="3"/>
      <c r="E271" s="3"/>
      <c r="F271" s="3"/>
      <c r="G271" s="3"/>
      <c r="H271" s="3"/>
      <c r="I271" s="3"/>
      <c r="J271" s="3"/>
      <c r="K271" s="20">
        <v>20927</v>
      </c>
      <c r="L271" s="20" t="str">
        <v>2+ Cars</v>
      </c>
      <c r="M271" s="20" t="str">
        <v>25-30</v>
      </c>
      <c r="N271" s="20" t="str">
        <v>0-1 Miles</v>
      </c>
      <c r="O271" s="20">
        <v>5</v>
      </c>
      <c r="P271" s="20" t="str">
        <v>High School</v>
      </c>
      <c r="Q271" s="20" t="str">
        <v>Europe</v>
      </c>
      <c r="R271" s="20" t="str">
        <v>Single</v>
      </c>
      <c r="S271" s="20" t="str">
        <v>$10k-30k</v>
      </c>
      <c r="T271" s="89">
        <v>0.40919335848810789</v>
      </c>
      <c r="U271" s="91">
        <v>23.752462769722303</v>
      </c>
      <c r="V271" s="49">
        <v>950</v>
      </c>
      <c r="W271" s="20">
        <v>10</v>
      </c>
      <c r="X271" s="20" t="str">
        <v>Cold</v>
      </c>
      <c r="Y271" s="20">
        <v>0</v>
      </c>
    </row>
    <row r="272" spans="1:25" ht="15" customHeight="1" x14ac:dyDescent="0.25">
      <c r="A272" s="3"/>
      <c r="B272" s="3"/>
      <c r="C272" s="3"/>
      <c r="D272" s="3"/>
      <c r="E272" s="3"/>
      <c r="F272" s="3"/>
      <c r="G272" s="3"/>
      <c r="H272" s="3"/>
      <c r="I272" s="3"/>
      <c r="J272" s="3"/>
      <c r="K272" s="20">
        <v>13133</v>
      </c>
      <c r="L272" s="20" t="str">
        <v>0-1 Cars</v>
      </c>
      <c r="M272" s="20" t="str">
        <v>41-50</v>
      </c>
      <c r="N272" s="20" t="str">
        <v>5-10 Miles</v>
      </c>
      <c r="O272" s="20">
        <v>5</v>
      </c>
      <c r="P272" s="20" t="str">
        <v>Bachelors</v>
      </c>
      <c r="Q272" s="20" t="str">
        <v>Pacific</v>
      </c>
      <c r="R272" s="20" t="str">
        <v>Single</v>
      </c>
      <c r="S272" s="20" t="str">
        <v>$100k+</v>
      </c>
      <c r="T272" s="89">
        <v>0.47342587319700508</v>
      </c>
      <c r="U272" s="91">
        <v>54.895823991834966</v>
      </c>
      <c r="V272" s="49">
        <v>551</v>
      </c>
      <c r="W272" s="20">
        <v>6</v>
      </c>
      <c r="X272" s="20" t="str">
        <v>Warm</v>
      </c>
      <c r="Y272" s="20">
        <v>1</v>
      </c>
    </row>
    <row r="273" spans="1:25" ht="15" customHeight="1" x14ac:dyDescent="0.25">
      <c r="A273" s="3"/>
      <c r="B273" s="3"/>
      <c r="C273" s="3"/>
      <c r="D273" s="3"/>
      <c r="E273" s="3"/>
      <c r="F273" s="3"/>
      <c r="G273" s="3"/>
      <c r="H273" s="3"/>
      <c r="I273" s="3"/>
      <c r="J273" s="3"/>
      <c r="K273" s="20">
        <v>19626</v>
      </c>
      <c r="L273" s="20" t="str">
        <v>2+ Cars</v>
      </c>
      <c r="M273" s="20" t="str">
        <v>41-50</v>
      </c>
      <c r="N273" s="20" t="str">
        <v>5-10 Miles</v>
      </c>
      <c r="O273" s="20">
        <v>5</v>
      </c>
      <c r="P273" s="20" t="str">
        <v>Partial College</v>
      </c>
      <c r="Q273" s="20" t="str">
        <v>Pacific</v>
      </c>
      <c r="R273" s="20" t="str">
        <v>Married</v>
      </c>
      <c r="S273" s="20" t="str">
        <v>$70k-90k</v>
      </c>
      <c r="T273" s="89">
        <v>0.41312809252067262</v>
      </c>
      <c r="U273" s="91">
        <v>25.660232438159859</v>
      </c>
      <c r="V273" s="49">
        <v>929</v>
      </c>
      <c r="W273" s="20">
        <v>10</v>
      </c>
      <c r="X273" s="20" t="str">
        <v>Cold</v>
      </c>
      <c r="Y273" s="20">
        <v>0</v>
      </c>
    </row>
    <row r="274" spans="1:25" ht="15" customHeight="1" x14ac:dyDescent="0.25">
      <c r="A274" s="3"/>
      <c r="B274" s="3"/>
      <c r="C274" s="3"/>
      <c r="D274" s="3"/>
      <c r="E274" s="3"/>
      <c r="F274" s="3"/>
      <c r="G274" s="3"/>
      <c r="H274" s="3"/>
      <c r="I274" s="3"/>
      <c r="J274" s="3"/>
      <c r="K274" s="20">
        <v>21039</v>
      </c>
      <c r="L274" s="20" t="str">
        <v>0-1 Cars</v>
      </c>
      <c r="M274" s="20" t="str">
        <v>31-40</v>
      </c>
      <c r="N274" s="20" t="str">
        <v>0-1 Miles</v>
      </c>
      <c r="O274" s="20">
        <v>0</v>
      </c>
      <c r="P274" s="20" t="str">
        <v>Graduate Degree</v>
      </c>
      <c r="Q274" s="20" t="str">
        <v>Europe</v>
      </c>
      <c r="R274" s="20" t="str">
        <v>Single</v>
      </c>
      <c r="S274" s="20" t="str">
        <v>$40k-60k</v>
      </c>
      <c r="T274" s="89">
        <v>0.5512054017750383</v>
      </c>
      <c r="U274" s="91">
        <v>92.607502651300493</v>
      </c>
      <c r="V274" s="49">
        <v>41</v>
      </c>
      <c r="W274" s="20">
        <v>1</v>
      </c>
      <c r="X274" s="20" t="str">
        <v>Hot</v>
      </c>
      <c r="Y274" s="20">
        <v>1</v>
      </c>
    </row>
    <row r="275" spans="1:25" ht="15" customHeight="1" x14ac:dyDescent="0.25">
      <c r="A275" s="3"/>
      <c r="B275" s="3"/>
      <c r="C275" s="3"/>
      <c r="D275" s="3"/>
      <c r="E275" s="3"/>
      <c r="F275" s="3"/>
      <c r="G275" s="3"/>
      <c r="H275" s="3"/>
      <c r="I275" s="3"/>
      <c r="J275" s="3"/>
      <c r="K275" s="20">
        <v>12231</v>
      </c>
      <c r="L275" s="20" t="str">
        <v>0-1 Cars</v>
      </c>
      <c r="M275" s="20" t="str">
        <v>51-60</v>
      </c>
      <c r="N275" s="20" t="str">
        <v>0-1 Miles</v>
      </c>
      <c r="O275" s="20">
        <v>2</v>
      </c>
      <c r="P275" s="20" t="str">
        <v>Partial College</v>
      </c>
      <c r="Q275" s="20" t="str">
        <v>Europe</v>
      </c>
      <c r="R275" s="20" t="str">
        <v>Single</v>
      </c>
      <c r="S275" s="20" t="str">
        <v>$10k-30k</v>
      </c>
      <c r="T275" s="89">
        <v>0.49845048312883361</v>
      </c>
      <c r="U275" s="91">
        <v>67.029094346910327</v>
      </c>
      <c r="V275" s="49">
        <v>385</v>
      </c>
      <c r="W275" s="20">
        <v>4</v>
      </c>
      <c r="X275" s="20" t="str">
        <v>Warm</v>
      </c>
      <c r="Y275" s="20">
        <v>1</v>
      </c>
    </row>
    <row r="276" spans="1:25" ht="15" customHeight="1" x14ac:dyDescent="0.25">
      <c r="A276" s="3"/>
      <c r="B276" s="3"/>
      <c r="C276" s="3"/>
      <c r="D276" s="3"/>
      <c r="E276" s="3"/>
      <c r="F276" s="3"/>
      <c r="G276" s="3"/>
      <c r="H276" s="3"/>
      <c r="I276" s="3"/>
      <c r="J276" s="3"/>
      <c r="K276" s="20">
        <v>25665</v>
      </c>
      <c r="L276" s="20" t="str">
        <v>0-1 Cars</v>
      </c>
      <c r="M276" s="20" t="str">
        <v>25-30</v>
      </c>
      <c r="N276" s="20" t="str">
        <v>1-2 Miles</v>
      </c>
      <c r="O276" s="20">
        <v>0</v>
      </c>
      <c r="P276" s="20" t="str">
        <v>High School</v>
      </c>
      <c r="Q276" s="20" t="str">
        <v>Europe</v>
      </c>
      <c r="R276" s="20" t="str">
        <v>Single</v>
      </c>
      <c r="S276" s="20" t="str">
        <v>$10k-30k</v>
      </c>
      <c r="T276" s="89">
        <v>0.47416694215478394</v>
      </c>
      <c r="U276" s="91">
        <v>55.255133888811571</v>
      </c>
      <c r="V276" s="49">
        <v>545</v>
      </c>
      <c r="W276" s="20">
        <v>6</v>
      </c>
      <c r="X276" s="20" t="str">
        <v>Warm</v>
      </c>
      <c r="Y276" s="20">
        <v>0</v>
      </c>
    </row>
    <row r="277" spans="1:25" ht="15" customHeight="1" x14ac:dyDescent="0.25">
      <c r="A277" s="3"/>
      <c r="B277" s="3"/>
      <c r="C277" s="3"/>
      <c r="D277" s="3"/>
      <c r="E277" s="3"/>
      <c r="F277" s="3"/>
      <c r="G277" s="3"/>
      <c r="H277" s="3"/>
      <c r="I277" s="3"/>
      <c r="J277" s="3"/>
      <c r="K277" s="20">
        <v>24061</v>
      </c>
      <c r="L277" s="20" t="str">
        <v>0-1 Cars</v>
      </c>
      <c r="M277" s="20" t="str">
        <v>31-40</v>
      </c>
      <c r="N277" s="20" t="str">
        <v>0-1 Miles</v>
      </c>
      <c r="O277" s="20">
        <v>4</v>
      </c>
      <c r="P277" s="20" t="str">
        <v>Partial High School</v>
      </c>
      <c r="Q277" s="20" t="str">
        <v>Europe</v>
      </c>
      <c r="R277" s="20" t="str">
        <v>Married</v>
      </c>
      <c r="S277" s="20" t="str">
        <v>$10k-30k</v>
      </c>
      <c r="T277" s="89">
        <v>0.48578252937229266</v>
      </c>
      <c r="U277" s="91">
        <v>60.886992304464115</v>
      </c>
      <c r="V277" s="49">
        <v>476</v>
      </c>
      <c r="W277" s="20">
        <v>5</v>
      </c>
      <c r="X277" s="20" t="str">
        <v>Warm</v>
      </c>
      <c r="Y277" s="20">
        <v>1</v>
      </c>
    </row>
    <row r="278" spans="1:25" ht="15" customHeight="1" x14ac:dyDescent="0.25">
      <c r="A278" s="3"/>
      <c r="B278" s="3"/>
      <c r="C278" s="3"/>
      <c r="D278" s="3"/>
      <c r="E278" s="3"/>
      <c r="F278" s="3"/>
      <c r="G278" s="3"/>
      <c r="H278" s="3"/>
      <c r="I278" s="3"/>
      <c r="J278" s="3"/>
      <c r="K278" s="20">
        <v>26879</v>
      </c>
      <c r="L278" s="20" t="str">
        <v>0-1 Cars</v>
      </c>
      <c r="M278" s="20" t="str">
        <v>25-30</v>
      </c>
      <c r="N278" s="20" t="str">
        <v>2-5 Miles</v>
      </c>
      <c r="O278" s="20">
        <v>0</v>
      </c>
      <c r="P278" s="20" t="str">
        <v>High School</v>
      </c>
      <c r="Q278" s="20" t="str">
        <v>Europe</v>
      </c>
      <c r="R278" s="20" t="str">
        <v>Single</v>
      </c>
      <c r="S278" s="20" t="str">
        <v>$10k-30k</v>
      </c>
      <c r="T278" s="89">
        <v>0.49303661041275448</v>
      </c>
      <c r="U278" s="91">
        <v>64.404159072750218</v>
      </c>
      <c r="V278" s="49">
        <v>433</v>
      </c>
      <c r="W278" s="20">
        <v>5</v>
      </c>
      <c r="X278" s="20" t="str">
        <v>Warm</v>
      </c>
      <c r="Y278" s="20">
        <v>0</v>
      </c>
    </row>
    <row r="279" spans="1:25" ht="15" customHeight="1" x14ac:dyDescent="0.25">
      <c r="A279" s="3"/>
      <c r="B279" s="3"/>
      <c r="C279" s="3"/>
      <c r="D279" s="3"/>
      <c r="E279" s="3"/>
      <c r="F279" s="3"/>
      <c r="G279" s="3"/>
      <c r="H279" s="3"/>
      <c r="I279" s="3"/>
      <c r="J279" s="3"/>
      <c r="K279" s="20">
        <v>12284</v>
      </c>
      <c r="L279" s="20" t="str">
        <v>0-1 Cars</v>
      </c>
      <c r="M279" s="20" t="str">
        <v>31-40</v>
      </c>
      <c r="N279" s="20" t="str">
        <v>0-1 Miles</v>
      </c>
      <c r="O279" s="20">
        <v>0</v>
      </c>
      <c r="P279" s="20" t="str">
        <v>Bachelors</v>
      </c>
      <c r="Q279" s="20" t="str">
        <v>Europe</v>
      </c>
      <c r="R279" s="20" t="str">
        <v>Married</v>
      </c>
      <c r="S279" s="20" t="str">
        <v>$10k-30k</v>
      </c>
      <c r="T279" s="89">
        <v>0.53219230862329037</v>
      </c>
      <c r="U279" s="91">
        <v>83.388937401938662</v>
      </c>
      <c r="V279" s="49">
        <v>175</v>
      </c>
      <c r="W279" s="20">
        <v>2</v>
      </c>
      <c r="X279" s="20" t="str">
        <v>Hot</v>
      </c>
      <c r="Y279" s="20">
        <v>1</v>
      </c>
    </row>
    <row r="280" spans="1:25" ht="15" customHeight="1" x14ac:dyDescent="0.25">
      <c r="A280" s="3"/>
      <c r="B280" s="3"/>
      <c r="C280" s="3"/>
      <c r="D280" s="3"/>
      <c r="E280" s="3"/>
      <c r="F280" s="3"/>
      <c r="G280" s="3"/>
      <c r="H280" s="3"/>
      <c r="I280" s="3"/>
      <c r="J280" s="3"/>
      <c r="K280" s="20">
        <v>26654</v>
      </c>
      <c r="L280" s="20" t="str">
        <v>0-1 Cars</v>
      </c>
      <c r="M280" s="20" t="str">
        <v>31-40</v>
      </c>
      <c r="N280" s="20" t="str">
        <v>0-1 Miles</v>
      </c>
      <c r="O280" s="20">
        <v>1</v>
      </c>
      <c r="P280" s="20" t="str">
        <v>Graduate Degree</v>
      </c>
      <c r="Q280" s="20" t="str">
        <v>Pacific</v>
      </c>
      <c r="R280" s="20" t="str">
        <v>Married</v>
      </c>
      <c r="S280" s="20" t="str">
        <v>$70k-90k</v>
      </c>
      <c r="T280" s="89">
        <v>0.55677422633048967</v>
      </c>
      <c r="U280" s="91">
        <v>95.307566871096171</v>
      </c>
      <c r="V280" s="49">
        <v>13</v>
      </c>
      <c r="W280" s="20">
        <v>1</v>
      </c>
      <c r="X280" s="20" t="str">
        <v>Hot</v>
      </c>
      <c r="Y280" s="20">
        <v>1</v>
      </c>
    </row>
    <row r="281" spans="1:25" ht="15" customHeight="1" x14ac:dyDescent="0.25">
      <c r="A281" s="3"/>
      <c r="B281" s="3"/>
      <c r="C281" s="3"/>
      <c r="D281" s="3"/>
      <c r="E281" s="3"/>
      <c r="F281" s="3"/>
      <c r="G281" s="3"/>
      <c r="H281" s="3"/>
      <c r="I281" s="3"/>
      <c r="J281" s="3"/>
      <c r="K281" s="20">
        <v>14545</v>
      </c>
      <c r="L281" s="20" t="str">
        <v>0-1 Cars</v>
      </c>
      <c r="M281" s="20" t="str">
        <v>41-50</v>
      </c>
      <c r="N281" s="20" t="str">
        <v>1-2 Miles</v>
      </c>
      <c r="O281" s="20">
        <v>2</v>
      </c>
      <c r="P281" s="20" t="str">
        <v>Partial College</v>
      </c>
      <c r="Q281" s="20" t="str">
        <v>Europe</v>
      </c>
      <c r="R281" s="20" t="str">
        <v>Married</v>
      </c>
      <c r="S281" s="20" t="str">
        <v>$10k-30k</v>
      </c>
      <c r="T281" s="89">
        <v>0.47756792385251196</v>
      </c>
      <c r="U281" s="91">
        <v>56.90411185584523</v>
      </c>
      <c r="V281" s="49">
        <v>527</v>
      </c>
      <c r="W281" s="20">
        <v>6</v>
      </c>
      <c r="X281" s="20" t="str">
        <v>Warm</v>
      </c>
      <c r="Y281" s="20">
        <v>0</v>
      </c>
    </row>
    <row r="282" spans="1:25" ht="15" customHeight="1" x14ac:dyDescent="0.25">
      <c r="A282" s="3"/>
      <c r="B282" s="3"/>
      <c r="C282" s="3"/>
      <c r="D282" s="3"/>
      <c r="E282" s="3"/>
      <c r="F282" s="3"/>
      <c r="G282" s="3"/>
      <c r="H282" s="3"/>
      <c r="I282" s="3"/>
      <c r="J282" s="3"/>
      <c r="K282" s="20">
        <v>24201</v>
      </c>
      <c r="L282" s="20" t="str">
        <v>0-1 Cars</v>
      </c>
      <c r="M282" s="20" t="str">
        <v>31-40</v>
      </c>
      <c r="N282" s="20" t="str">
        <v>0-1 Miles</v>
      </c>
      <c r="O282" s="20">
        <v>2</v>
      </c>
      <c r="P282" s="20" t="str">
        <v>High School</v>
      </c>
      <c r="Q282" s="20" t="str">
        <v>Europe</v>
      </c>
      <c r="R282" s="20" t="str">
        <v>Married</v>
      </c>
      <c r="S282" s="20" t="str">
        <v>$10k-30k</v>
      </c>
      <c r="T282" s="89">
        <v>0.51274776117510368</v>
      </c>
      <c r="U282" s="91">
        <v>73.961180015763858</v>
      </c>
      <c r="V282" s="49">
        <v>299</v>
      </c>
      <c r="W282" s="20">
        <v>3</v>
      </c>
      <c r="X282" s="20" t="str">
        <v>Hot</v>
      </c>
      <c r="Y282" s="20">
        <v>1</v>
      </c>
    </row>
    <row r="283" spans="1:25" ht="15" customHeight="1" x14ac:dyDescent="0.25">
      <c r="A283" s="3"/>
      <c r="B283" s="3"/>
      <c r="C283" s="3"/>
      <c r="D283" s="3"/>
      <c r="E283" s="3"/>
      <c r="F283" s="3"/>
      <c r="G283" s="3"/>
      <c r="H283" s="3"/>
      <c r="I283" s="3"/>
      <c r="J283" s="3"/>
      <c r="K283" s="20">
        <v>20625</v>
      </c>
      <c r="L283" s="20" t="str">
        <v>2+ Cars</v>
      </c>
      <c r="M283" s="20" t="str">
        <v>31-40</v>
      </c>
      <c r="N283" s="20" t="str">
        <v>10+ Miles</v>
      </c>
      <c r="O283" s="20">
        <v>0</v>
      </c>
      <c r="P283" s="20" t="str">
        <v>High School</v>
      </c>
      <c r="Q283" s="20" t="str">
        <v>Pacific</v>
      </c>
      <c r="R283" s="20" t="str">
        <v>Married</v>
      </c>
      <c r="S283" s="20" t="str">
        <v>$100k+</v>
      </c>
      <c r="T283" s="89">
        <v>0.45949967063647595</v>
      </c>
      <c r="U283" s="91">
        <v>48.143655580549122</v>
      </c>
      <c r="V283" s="49">
        <v>652</v>
      </c>
      <c r="W283" s="20">
        <v>7</v>
      </c>
      <c r="X283" s="20" t="str">
        <v>Cold</v>
      </c>
      <c r="Y283" s="20">
        <v>1</v>
      </c>
    </row>
    <row r="284" spans="1:25" ht="15" customHeight="1" x14ac:dyDescent="0.25">
      <c r="A284" s="3"/>
      <c r="B284" s="3"/>
      <c r="C284" s="3"/>
      <c r="D284" s="3"/>
      <c r="E284" s="3"/>
      <c r="F284" s="3"/>
      <c r="G284" s="3"/>
      <c r="H284" s="3"/>
      <c r="I284" s="3"/>
      <c r="J284" s="3"/>
      <c r="K284" s="20">
        <v>16390</v>
      </c>
      <c r="L284" s="20" t="str">
        <v>0-1 Cars</v>
      </c>
      <c r="M284" s="20" t="str">
        <v>31-40</v>
      </c>
      <c r="N284" s="20" t="str">
        <v>0-1 Miles</v>
      </c>
      <c r="O284" s="20">
        <v>1</v>
      </c>
      <c r="P284" s="20" t="str">
        <v>Bachelors</v>
      </c>
      <c r="Q284" s="20" t="str">
        <v>Europe</v>
      </c>
      <c r="R284" s="20" t="str">
        <v>Single</v>
      </c>
      <c r="S284" s="20" t="str">
        <v>$10k-30k</v>
      </c>
      <c r="T284" s="89">
        <v>0.55141189041019878</v>
      </c>
      <c r="U284" s="91">
        <v>92.707619394078009</v>
      </c>
      <c r="V284" s="49">
        <v>32</v>
      </c>
      <c r="W284" s="20">
        <v>1</v>
      </c>
      <c r="X284" s="20" t="str">
        <v>Hot</v>
      </c>
      <c r="Y284" s="20">
        <v>1</v>
      </c>
    </row>
    <row r="285" spans="1:25" ht="15" customHeight="1" x14ac:dyDescent="0.25">
      <c r="A285" s="3"/>
      <c r="B285" s="3"/>
      <c r="C285" s="3"/>
      <c r="D285" s="3"/>
      <c r="E285" s="3"/>
      <c r="F285" s="3"/>
      <c r="G285" s="3"/>
      <c r="H285" s="3"/>
      <c r="I285" s="3"/>
      <c r="J285" s="3"/>
      <c r="K285" s="20">
        <v>14804</v>
      </c>
      <c r="L285" s="20" t="str">
        <v>2+ Cars</v>
      </c>
      <c r="M285" s="20" t="str">
        <v>41-50</v>
      </c>
      <c r="N285" s="20" t="str">
        <v>0-1 Miles</v>
      </c>
      <c r="O285" s="20">
        <v>3</v>
      </c>
      <c r="P285" s="20" t="str">
        <v>Partial High School</v>
      </c>
      <c r="Q285" s="20" t="str">
        <v>Europe</v>
      </c>
      <c r="R285" s="20" t="str">
        <v>Single</v>
      </c>
      <c r="S285" s="20" t="str">
        <v>$10k-30k</v>
      </c>
      <c r="T285" s="89">
        <v>0.4498733849935414</v>
      </c>
      <c r="U285" s="91">
        <v>43.47631704703813</v>
      </c>
      <c r="V285" s="49">
        <v>726</v>
      </c>
      <c r="W285" s="20">
        <v>8</v>
      </c>
      <c r="X285" s="20" t="str">
        <v>Cold</v>
      </c>
      <c r="Y285" s="20">
        <v>0</v>
      </c>
    </row>
    <row r="286" spans="1:25" ht="15" customHeight="1" x14ac:dyDescent="0.25">
      <c r="A286" s="3"/>
      <c r="B286" s="3"/>
      <c r="C286" s="3"/>
      <c r="D286" s="3"/>
      <c r="E286" s="3"/>
      <c r="F286" s="3"/>
      <c r="G286" s="3"/>
      <c r="H286" s="3"/>
      <c r="I286" s="3"/>
      <c r="J286" s="3"/>
      <c r="K286" s="20">
        <v>12629</v>
      </c>
      <c r="L286" s="20" t="str">
        <v>0-1 Cars</v>
      </c>
      <c r="M286" s="20" t="str">
        <v>31-40</v>
      </c>
      <c r="N286" s="20" t="str">
        <v>0-1 Miles</v>
      </c>
      <c r="O286" s="20">
        <v>1</v>
      </c>
      <c r="P286" s="20" t="str">
        <v>Partial College</v>
      </c>
      <c r="Q286" s="20" t="str">
        <v>Europe</v>
      </c>
      <c r="R286" s="20" t="str">
        <v>Single</v>
      </c>
      <c r="S286" s="20" t="str">
        <v>$10k-30k</v>
      </c>
      <c r="T286" s="89">
        <v>0.53865253220325737</v>
      </c>
      <c r="U286" s="91">
        <v>86.521199581589144</v>
      </c>
      <c r="V286" s="49">
        <v>119</v>
      </c>
      <c r="W286" s="20">
        <v>2</v>
      </c>
      <c r="X286" s="20" t="str">
        <v>Hot</v>
      </c>
      <c r="Y286" s="20">
        <v>0</v>
      </c>
    </row>
    <row r="287" spans="1:25" ht="15" customHeight="1" x14ac:dyDescent="0.25">
      <c r="A287" s="3"/>
      <c r="B287" s="3"/>
      <c r="C287" s="3"/>
      <c r="D287" s="3"/>
      <c r="E287" s="3"/>
      <c r="F287" s="3"/>
      <c r="G287" s="3"/>
      <c r="H287" s="3"/>
      <c r="I287" s="3"/>
      <c r="J287" s="3"/>
      <c r="K287" s="20">
        <v>14696</v>
      </c>
      <c r="L287" s="20" t="str">
        <v>2+ Cars</v>
      </c>
      <c r="M287" s="20" t="str">
        <v>31-40</v>
      </c>
      <c r="N287" s="20" t="str">
        <v>0-1 Miles</v>
      </c>
      <c r="O287" s="20">
        <v>0</v>
      </c>
      <c r="P287" s="20" t="str">
        <v>Partial High School</v>
      </c>
      <c r="Q287" s="20" t="str">
        <v>Europe</v>
      </c>
      <c r="R287" s="20" t="str">
        <v>Single</v>
      </c>
      <c r="S287" s="20" t="str">
        <v>$10k-30k</v>
      </c>
      <c r="T287" s="89">
        <v>0.46742044635744834</v>
      </c>
      <c r="U287" s="91">
        <v>51.984071615255822</v>
      </c>
      <c r="V287" s="49">
        <v>595</v>
      </c>
      <c r="W287" s="20">
        <v>6</v>
      </c>
      <c r="X287" s="20" t="str">
        <v>Warm</v>
      </c>
      <c r="Y287" s="20">
        <v>0</v>
      </c>
    </row>
    <row r="288" spans="1:25" ht="15" customHeight="1" x14ac:dyDescent="0.25">
      <c r="A288" s="3"/>
      <c r="B288" s="3"/>
      <c r="C288" s="3"/>
      <c r="D288" s="3"/>
      <c r="E288" s="3"/>
      <c r="F288" s="3"/>
      <c r="G288" s="3"/>
      <c r="H288" s="3"/>
      <c r="I288" s="3"/>
      <c r="J288" s="3"/>
      <c r="K288" s="20">
        <v>22005</v>
      </c>
      <c r="L288" s="20" t="str">
        <v>2+ Cars</v>
      </c>
      <c r="M288" s="20" t="str">
        <v>41-50</v>
      </c>
      <c r="N288" s="20" t="str">
        <v>5-10 Miles</v>
      </c>
      <c r="O288" s="20">
        <v>5</v>
      </c>
      <c r="P288" s="20" t="str">
        <v>Partial College</v>
      </c>
      <c r="Q288" s="20" t="str">
        <v>Pacific</v>
      </c>
      <c r="R288" s="20" t="str">
        <v>Married</v>
      </c>
      <c r="S288" s="20" t="str">
        <v>$70k-90k</v>
      </c>
      <c r="T288" s="89">
        <v>0.41312809252067262</v>
      </c>
      <c r="U288" s="91">
        <v>25.660232438159859</v>
      </c>
      <c r="V288" s="49">
        <v>930</v>
      </c>
      <c r="W288" s="20">
        <v>10</v>
      </c>
      <c r="X288" s="20" t="str">
        <v>Cold</v>
      </c>
      <c r="Y288" s="20">
        <v>0</v>
      </c>
    </row>
    <row r="289" spans="1:25" ht="15" customHeight="1" x14ac:dyDescent="0.25">
      <c r="A289" s="3"/>
      <c r="B289" s="3"/>
      <c r="C289" s="3"/>
      <c r="D289" s="3"/>
      <c r="E289" s="3"/>
      <c r="F289" s="3"/>
      <c r="G289" s="3"/>
      <c r="H289" s="3"/>
      <c r="I289" s="3"/>
      <c r="J289" s="3"/>
      <c r="K289" s="20">
        <v>14544</v>
      </c>
      <c r="L289" s="20" t="str">
        <v>0-1 Cars</v>
      </c>
      <c r="M289" s="20" t="str">
        <v>41-50</v>
      </c>
      <c r="N289" s="20" t="str">
        <v>0-1 Miles</v>
      </c>
      <c r="O289" s="20">
        <v>1</v>
      </c>
      <c r="P289" s="20" t="str">
        <v>Partial College</v>
      </c>
      <c r="Q289" s="20" t="str">
        <v>Europe</v>
      </c>
      <c r="R289" s="20" t="str">
        <v>Single</v>
      </c>
      <c r="S289" s="20" t="str">
        <v>$10k-30k</v>
      </c>
      <c r="T289" s="89">
        <v>0.51562216546918804</v>
      </c>
      <c r="U289" s="91">
        <v>75.354845072079357</v>
      </c>
      <c r="V289" s="49">
        <v>280</v>
      </c>
      <c r="W289" s="20">
        <v>3</v>
      </c>
      <c r="X289" s="20" t="str">
        <v>Hot</v>
      </c>
      <c r="Y289" s="20">
        <v>0</v>
      </c>
    </row>
    <row r="290" spans="1:25" ht="15" customHeight="1" x14ac:dyDescent="0.25">
      <c r="A290" s="3"/>
      <c r="B290" s="3"/>
      <c r="C290" s="3"/>
      <c r="D290" s="3"/>
      <c r="E290" s="3"/>
      <c r="F290" s="3"/>
      <c r="G290" s="3"/>
      <c r="H290" s="3"/>
      <c r="I290" s="3"/>
      <c r="J290" s="3"/>
      <c r="K290" s="20">
        <v>14312</v>
      </c>
      <c r="L290" s="20" t="str">
        <v>0-1 Cars</v>
      </c>
      <c r="M290" s="20" t="str">
        <v>41-50</v>
      </c>
      <c r="N290" s="20" t="str">
        <v>5-10 Miles</v>
      </c>
      <c r="O290" s="20">
        <v>1</v>
      </c>
      <c r="P290" s="20" t="str">
        <v>Partial College</v>
      </c>
      <c r="Q290" s="20" t="str">
        <v>Pacific</v>
      </c>
      <c r="R290" s="20" t="str">
        <v>Married</v>
      </c>
      <c r="S290" s="20" t="str">
        <v>$40k-60k</v>
      </c>
      <c r="T290" s="89">
        <v>0.50371149496934486</v>
      </c>
      <c r="U290" s="91">
        <v>69.579914486607564</v>
      </c>
      <c r="V290" s="49">
        <v>342</v>
      </c>
      <c r="W290" s="20">
        <v>4</v>
      </c>
      <c r="X290" s="20" t="str">
        <v>Warm</v>
      </c>
      <c r="Y290" s="20">
        <v>0</v>
      </c>
    </row>
    <row r="291" spans="1:25" ht="15" customHeight="1" x14ac:dyDescent="0.25">
      <c r="A291" s="3"/>
      <c r="B291" s="3"/>
      <c r="C291" s="3"/>
      <c r="D291" s="3"/>
      <c r="E291" s="3"/>
      <c r="F291" s="3"/>
      <c r="G291" s="3"/>
      <c r="H291" s="3"/>
      <c r="I291" s="3"/>
      <c r="J291" s="3"/>
      <c r="K291" s="20">
        <v>29120</v>
      </c>
      <c r="L291" s="20" t="str">
        <v>2+ Cars</v>
      </c>
      <c r="M291" s="20" t="str">
        <v>41-50</v>
      </c>
      <c r="N291" s="20" t="str">
        <v>2-5 Miles</v>
      </c>
      <c r="O291" s="20">
        <v>1</v>
      </c>
      <c r="P291" s="20" t="str">
        <v>Bachelors</v>
      </c>
      <c r="Q291" s="20" t="str">
        <v>Pacific</v>
      </c>
      <c r="R291" s="20" t="str">
        <v>Single</v>
      </c>
      <c r="S291" s="20" t="str">
        <v>$100k+</v>
      </c>
      <c r="T291" s="89">
        <v>0.51111223683938889</v>
      </c>
      <c r="U291" s="91">
        <v>73.1681902752008</v>
      </c>
      <c r="V291" s="49">
        <v>316</v>
      </c>
      <c r="W291" s="20">
        <v>4</v>
      </c>
      <c r="X291" s="20" t="str">
        <v>Warm</v>
      </c>
      <c r="Y291" s="20">
        <v>0</v>
      </c>
    </row>
    <row r="292" spans="1:25" ht="15" customHeight="1" x14ac:dyDescent="0.25">
      <c r="A292" s="3"/>
      <c r="B292" s="3"/>
      <c r="C292" s="3"/>
      <c r="D292" s="3"/>
      <c r="E292" s="3"/>
      <c r="F292" s="3"/>
      <c r="G292" s="3"/>
      <c r="H292" s="3"/>
      <c r="I292" s="3"/>
      <c r="J292" s="3"/>
      <c r="K292" s="20">
        <v>24187</v>
      </c>
      <c r="L292" s="20" t="str">
        <v>0-1 Cars</v>
      </c>
      <c r="M292" s="20" t="str">
        <v>41-50</v>
      </c>
      <c r="N292" s="20" t="str">
        <v>0-1 Miles</v>
      </c>
      <c r="O292" s="20">
        <v>3</v>
      </c>
      <c r="P292" s="20" t="str">
        <v>Graduate Degree</v>
      </c>
      <c r="Q292" s="20" t="str">
        <v>Europe</v>
      </c>
      <c r="R292" s="20" t="str">
        <v>Single</v>
      </c>
      <c r="S292" s="20" t="str">
        <v>$10k-30k</v>
      </c>
      <c r="T292" s="89">
        <v>0.52283295757187886</v>
      </c>
      <c r="U292" s="91">
        <v>78.851023046262753</v>
      </c>
      <c r="V292" s="49">
        <v>231</v>
      </c>
      <c r="W292" s="20">
        <v>3</v>
      </c>
      <c r="X292" s="20" t="str">
        <v>Hot</v>
      </c>
      <c r="Y292" s="20">
        <v>1</v>
      </c>
    </row>
    <row r="293" spans="1:25" ht="15" customHeight="1" x14ac:dyDescent="0.25">
      <c r="A293" s="3"/>
      <c r="B293" s="3"/>
      <c r="C293" s="3"/>
      <c r="D293" s="3"/>
      <c r="E293" s="3"/>
      <c r="F293" s="3"/>
      <c r="G293" s="3"/>
      <c r="H293" s="3"/>
      <c r="I293" s="3"/>
      <c r="J293" s="3"/>
      <c r="K293" s="20">
        <v>15758</v>
      </c>
      <c r="L293" s="20" t="str">
        <v>0-1 Cars</v>
      </c>
      <c r="M293" s="20" t="str">
        <v>41-50</v>
      </c>
      <c r="N293" s="20" t="str">
        <v>5-10 Miles</v>
      </c>
      <c r="O293" s="20">
        <v>0</v>
      </c>
      <c r="P293" s="20" t="str">
        <v>Graduate Degree</v>
      </c>
      <c r="Q293" s="20" t="str">
        <v>Pacific</v>
      </c>
      <c r="R293" s="20" t="str">
        <v>Married</v>
      </c>
      <c r="S293" s="20" t="str">
        <v>$100k+</v>
      </c>
      <c r="T293" s="89">
        <v>0.50162077908411273</v>
      </c>
      <c r="U293" s="91">
        <v>68.566223518385598</v>
      </c>
      <c r="V293" s="49">
        <v>362</v>
      </c>
      <c r="W293" s="20">
        <v>4</v>
      </c>
      <c r="X293" s="20" t="str">
        <v>Warm</v>
      </c>
      <c r="Y293" s="20">
        <v>0</v>
      </c>
    </row>
    <row r="294" spans="1:25" ht="15" customHeight="1" x14ac:dyDescent="0.25">
      <c r="A294" s="3"/>
      <c r="B294" s="3"/>
      <c r="C294" s="3"/>
      <c r="D294" s="3"/>
      <c r="E294" s="3"/>
      <c r="F294" s="3"/>
      <c r="G294" s="3"/>
      <c r="H294" s="3"/>
      <c r="I294" s="3"/>
      <c r="J294" s="3"/>
      <c r="K294" s="20">
        <v>29094</v>
      </c>
      <c r="L294" s="20" t="str">
        <v>2+ Cars</v>
      </c>
      <c r="M294" s="20" t="str">
        <v>51-60</v>
      </c>
      <c r="N294" s="20" t="str">
        <v>5-10 Miles</v>
      </c>
      <c r="O294" s="20">
        <v>3</v>
      </c>
      <c r="P294" s="20" t="str">
        <v>High School</v>
      </c>
      <c r="Q294" s="20" t="str">
        <v>Pacific</v>
      </c>
      <c r="R294" s="20" t="str">
        <v>Married</v>
      </c>
      <c r="S294" s="20" t="str">
        <v>$10k-30k</v>
      </c>
      <c r="T294" s="89">
        <v>0.447262122374881</v>
      </c>
      <c r="U294" s="91">
        <v>42.210237159814341</v>
      </c>
      <c r="V294" s="49">
        <v>737</v>
      </c>
      <c r="W294" s="20">
        <v>8</v>
      </c>
      <c r="X294" s="20" t="str">
        <v>Cold</v>
      </c>
      <c r="Y294" s="20">
        <v>1</v>
      </c>
    </row>
    <row r="295" spans="1:25" ht="15" customHeight="1" x14ac:dyDescent="0.25">
      <c r="A295" s="3"/>
      <c r="B295" s="3"/>
      <c r="C295" s="3"/>
      <c r="D295" s="3"/>
      <c r="E295" s="3"/>
      <c r="F295" s="3"/>
      <c r="G295" s="3"/>
      <c r="H295" s="3"/>
      <c r="I295" s="3"/>
      <c r="J295" s="3"/>
      <c r="K295" s="20">
        <v>28319</v>
      </c>
      <c r="L295" s="20" t="str">
        <v>0-1 Cars</v>
      </c>
      <c r="M295" s="20" t="str">
        <v>41-50</v>
      </c>
      <c r="N295" s="20" t="str">
        <v>0-1 Miles</v>
      </c>
      <c r="O295" s="20">
        <v>1</v>
      </c>
      <c r="P295" s="20" t="str">
        <v>Partial College</v>
      </c>
      <c r="Q295" s="20" t="str">
        <v>Pacific</v>
      </c>
      <c r="R295" s="20" t="str">
        <v>Single</v>
      </c>
      <c r="S295" s="20" t="str">
        <v>$40k-60k</v>
      </c>
      <c r="T295" s="89">
        <v>0.53511800935324827</v>
      </c>
      <c r="U295" s="91">
        <v>84.807473716044029</v>
      </c>
      <c r="V295" s="49">
        <v>148</v>
      </c>
      <c r="W295" s="20">
        <v>2</v>
      </c>
      <c r="X295" s="20" t="str">
        <v>Hot</v>
      </c>
      <c r="Y295" s="20">
        <v>1</v>
      </c>
    </row>
    <row r="296" spans="1:25" ht="15" customHeight="1" x14ac:dyDescent="0.25">
      <c r="A296" s="3"/>
      <c r="B296" s="3"/>
      <c r="C296" s="3"/>
      <c r="D296" s="3"/>
      <c r="E296" s="3"/>
      <c r="F296" s="3"/>
      <c r="G296" s="3"/>
      <c r="H296" s="3"/>
      <c r="I296" s="3"/>
      <c r="J296" s="3"/>
      <c r="K296" s="20">
        <v>16406</v>
      </c>
      <c r="L296" s="20" t="str">
        <v>0-1 Cars</v>
      </c>
      <c r="M296" s="20" t="str">
        <v>31-40</v>
      </c>
      <c r="N296" s="20" t="str">
        <v>0-1 Miles</v>
      </c>
      <c r="O296" s="20">
        <v>0</v>
      </c>
      <c r="P296" s="20" t="str">
        <v>Bachelors</v>
      </c>
      <c r="Q296" s="20" t="str">
        <v>Europe</v>
      </c>
      <c r="R296" s="20" t="str">
        <v>Married</v>
      </c>
      <c r="S296" s="20" t="str">
        <v>$40k-60k</v>
      </c>
      <c r="T296" s="89">
        <v>0.54301769146254275</v>
      </c>
      <c r="U296" s="91">
        <v>88.637662438758653</v>
      </c>
      <c r="V296" s="49">
        <v>86</v>
      </c>
      <c r="W296" s="20">
        <v>1</v>
      </c>
      <c r="X296" s="20" t="str">
        <v>Hot</v>
      </c>
      <c r="Y296" s="20">
        <v>1</v>
      </c>
    </row>
    <row r="297" spans="1:25" ht="15" customHeight="1" x14ac:dyDescent="0.25">
      <c r="A297" s="3"/>
      <c r="B297" s="3"/>
      <c r="C297" s="3"/>
      <c r="D297" s="3"/>
      <c r="E297" s="3"/>
      <c r="F297" s="3"/>
      <c r="G297" s="3"/>
      <c r="H297" s="3"/>
      <c r="I297" s="3"/>
      <c r="J297" s="3"/>
      <c r="K297" s="20">
        <v>20923</v>
      </c>
      <c r="L297" s="20" t="str">
        <v>0-1 Cars</v>
      </c>
      <c r="M297" s="20" t="str">
        <v>41-50</v>
      </c>
      <c r="N297" s="20" t="str">
        <v>0-1 Miles</v>
      </c>
      <c r="O297" s="20">
        <v>1</v>
      </c>
      <c r="P297" s="20" t="str">
        <v>Bachelors</v>
      </c>
      <c r="Q297" s="20" t="str">
        <v>Europe</v>
      </c>
      <c r="R297" s="20" t="str">
        <v>Married</v>
      </c>
      <c r="S297" s="20" t="str">
        <v>$40k-60k</v>
      </c>
      <c r="T297" s="89">
        <v>0.52952886380755659</v>
      </c>
      <c r="U297" s="91">
        <v>82.097556792484326</v>
      </c>
      <c r="V297" s="49">
        <v>198</v>
      </c>
      <c r="W297" s="20">
        <v>2</v>
      </c>
      <c r="X297" s="20" t="str">
        <v>Hot</v>
      </c>
      <c r="Y297" s="20">
        <v>1</v>
      </c>
    </row>
    <row r="298" spans="1:25" ht="15" customHeight="1" x14ac:dyDescent="0.25">
      <c r="A298" s="3"/>
      <c r="B298" s="3"/>
      <c r="C298" s="3"/>
      <c r="D298" s="3"/>
      <c r="E298" s="3"/>
      <c r="F298" s="3"/>
      <c r="G298" s="3"/>
      <c r="H298" s="3"/>
      <c r="I298" s="3"/>
      <c r="J298" s="3"/>
      <c r="K298" s="20">
        <v>11378</v>
      </c>
      <c r="L298" s="20" t="str">
        <v>0-1 Cars</v>
      </c>
      <c r="M298" s="20" t="str">
        <v>41-50</v>
      </c>
      <c r="N298" s="20" t="str">
        <v>2-5 Miles</v>
      </c>
      <c r="O298" s="20">
        <v>1</v>
      </c>
      <c r="P298" s="20" t="str">
        <v>High School</v>
      </c>
      <c r="Q298" s="20" t="str">
        <v>Europe</v>
      </c>
      <c r="R298" s="20" t="str">
        <v>Single</v>
      </c>
      <c r="S298" s="20" t="str">
        <v>$10k-30k</v>
      </c>
      <c r="T298" s="89">
        <v>0.52043501063108377</v>
      </c>
      <c r="U298" s="91">
        <v>77.688370017542127</v>
      </c>
      <c r="V298" s="49">
        <v>254</v>
      </c>
      <c r="W298" s="20">
        <v>3</v>
      </c>
      <c r="X298" s="20" t="str">
        <v>Hot</v>
      </c>
      <c r="Y298" s="20">
        <v>1</v>
      </c>
    </row>
    <row r="299" spans="1:25" ht="15" customHeight="1" x14ac:dyDescent="0.25">
      <c r="A299" s="3"/>
      <c r="B299" s="3"/>
      <c r="C299" s="3"/>
      <c r="D299" s="3"/>
      <c r="E299" s="3"/>
      <c r="F299" s="3"/>
      <c r="G299" s="3"/>
      <c r="H299" s="3"/>
      <c r="I299" s="3"/>
      <c r="J299" s="3"/>
      <c r="K299" s="20">
        <v>20851</v>
      </c>
      <c r="L299" s="20" t="str">
        <v>0-1 Cars</v>
      </c>
      <c r="M299" s="20" t="str">
        <v>31-40</v>
      </c>
      <c r="N299" s="20" t="str">
        <v>2-5 Miles</v>
      </c>
      <c r="O299" s="20">
        <v>0</v>
      </c>
      <c r="P299" s="20" t="str">
        <v>Partial College</v>
      </c>
      <c r="Q299" s="20" t="str">
        <v>Europe</v>
      </c>
      <c r="R299" s="20" t="str">
        <v>Single</v>
      </c>
      <c r="S299" s="20" t="str">
        <v>$10k-30k</v>
      </c>
      <c r="T299" s="89">
        <v>0.53487751453984622</v>
      </c>
      <c r="U299" s="91">
        <v>84.69086895785</v>
      </c>
      <c r="V299" s="49">
        <v>153</v>
      </c>
      <c r="W299" s="20">
        <v>2</v>
      </c>
      <c r="X299" s="20" t="str">
        <v>Hot</v>
      </c>
      <c r="Y299" s="20">
        <v>1</v>
      </c>
    </row>
    <row r="300" spans="1:25" ht="15" customHeight="1" x14ac:dyDescent="0.25">
      <c r="A300" s="3"/>
      <c r="B300" s="3"/>
      <c r="C300" s="3"/>
      <c r="D300" s="3"/>
      <c r="E300" s="3"/>
      <c r="F300" s="3"/>
      <c r="G300" s="3"/>
      <c r="H300" s="3"/>
      <c r="I300" s="3"/>
      <c r="J300" s="3"/>
      <c r="K300" s="20">
        <v>21557</v>
      </c>
      <c r="L300" s="20" t="str">
        <v>2+ Cars</v>
      </c>
      <c r="M300" s="20" t="str">
        <v>31-40</v>
      </c>
      <c r="N300" s="20" t="str">
        <v>10+ Miles</v>
      </c>
      <c r="O300" s="20">
        <v>0</v>
      </c>
      <c r="P300" s="20" t="str">
        <v>Partial College</v>
      </c>
      <c r="Q300" s="20" t="str">
        <v>Pacific</v>
      </c>
      <c r="R300" s="20" t="str">
        <v>Single</v>
      </c>
      <c r="S300" s="20" t="str">
        <v>$100k+</v>
      </c>
      <c r="T300" s="89">
        <v>0.47013138959807738</v>
      </c>
      <c r="U300" s="91">
        <v>53.298482003486512</v>
      </c>
      <c r="V300" s="49">
        <v>578</v>
      </c>
      <c r="W300" s="20">
        <v>6</v>
      </c>
      <c r="X300" s="20" t="str">
        <v>Warm</v>
      </c>
      <c r="Y300" s="20">
        <v>1</v>
      </c>
    </row>
    <row r="301" spans="1:25" ht="15" customHeight="1" x14ac:dyDescent="0.25">
      <c r="A301" s="3"/>
      <c r="B301" s="3"/>
      <c r="C301" s="3"/>
      <c r="D301" s="3"/>
      <c r="E301" s="3"/>
      <c r="F301" s="3"/>
      <c r="G301" s="3"/>
      <c r="H301" s="3"/>
      <c r="I301" s="3"/>
      <c r="J301" s="3"/>
      <c r="K301" s="20">
        <v>26663</v>
      </c>
      <c r="L301" s="20" t="str">
        <v>0-1 Cars</v>
      </c>
      <c r="M301" s="20" t="str">
        <v>31-40</v>
      </c>
      <c r="N301" s="20" t="str">
        <v>0-1 Miles</v>
      </c>
      <c r="O301" s="20">
        <v>2</v>
      </c>
      <c r="P301" s="20" t="str">
        <v>Bachelors</v>
      </c>
      <c r="Q301" s="20" t="str">
        <v>Pacific</v>
      </c>
      <c r="R301" s="20" t="str">
        <v>Single</v>
      </c>
      <c r="S301" s="20" t="str">
        <v>$40k-60k</v>
      </c>
      <c r="T301" s="89">
        <v>0.55563468222770662</v>
      </c>
      <c r="U301" s="91">
        <v>94.755054895154728</v>
      </c>
      <c r="V301" s="49">
        <v>15</v>
      </c>
      <c r="W301" s="20">
        <v>1</v>
      </c>
      <c r="X301" s="20" t="str">
        <v>Hot</v>
      </c>
      <c r="Y301" s="20">
        <v>1</v>
      </c>
    </row>
    <row r="302" spans="1:25" ht="15" customHeight="1" x14ac:dyDescent="0.25">
      <c r="A302" s="3"/>
      <c r="B302" s="3"/>
      <c r="C302" s="3"/>
      <c r="D302" s="3"/>
      <c r="E302" s="3"/>
      <c r="F302" s="3"/>
      <c r="G302" s="3"/>
      <c r="H302" s="3"/>
      <c r="I302" s="3"/>
      <c r="J302" s="3"/>
      <c r="K302" s="20">
        <v>11896</v>
      </c>
      <c r="L302" s="20" t="str">
        <v>0-1 Cars</v>
      </c>
      <c r="M302" s="20" t="str">
        <v>31-40</v>
      </c>
      <c r="N302" s="20" t="str">
        <v>2-5 Miles</v>
      </c>
      <c r="O302" s="20">
        <v>1</v>
      </c>
      <c r="P302" s="20" t="str">
        <v>Graduate Degree</v>
      </c>
      <c r="Q302" s="20" t="str">
        <v>Pacific</v>
      </c>
      <c r="R302" s="20" t="str">
        <v>Married</v>
      </c>
      <c r="S302" s="20" t="str">
        <v>$100k+</v>
      </c>
      <c r="T302" s="89">
        <v>0.56168767798901564</v>
      </c>
      <c r="U302" s="91">
        <v>97.689871231159898</v>
      </c>
      <c r="V302" s="49">
        <v>3</v>
      </c>
      <c r="W302" s="20">
        <v>1</v>
      </c>
      <c r="X302" s="20" t="str">
        <v>Hot</v>
      </c>
      <c r="Y302" s="20">
        <v>1</v>
      </c>
    </row>
    <row r="303" spans="1:25" ht="15" customHeight="1" x14ac:dyDescent="0.25">
      <c r="A303" s="3"/>
      <c r="B303" s="3"/>
      <c r="C303" s="3"/>
      <c r="D303" s="3"/>
      <c r="E303" s="3"/>
      <c r="F303" s="3"/>
      <c r="G303" s="3"/>
      <c r="H303" s="3"/>
      <c r="I303" s="3"/>
      <c r="J303" s="3"/>
      <c r="K303" s="20">
        <v>14189</v>
      </c>
      <c r="L303" s="20" t="str">
        <v>2+ Cars</v>
      </c>
      <c r="M303" s="20" t="str">
        <v>51-60</v>
      </c>
      <c r="N303" s="20" t="str">
        <v>2-5 Miles</v>
      </c>
      <c r="O303" s="20">
        <v>4</v>
      </c>
      <c r="P303" s="20" t="str">
        <v>High School</v>
      </c>
      <c r="Q303" s="20" t="str">
        <v>Europe</v>
      </c>
      <c r="R303" s="20" t="str">
        <v>Married</v>
      </c>
      <c r="S303" s="20" t="str">
        <v>$70k-90k</v>
      </c>
      <c r="T303" s="89">
        <v>0.45779027523425636</v>
      </c>
      <c r="U303" s="91">
        <v>47.314849192942923</v>
      </c>
      <c r="V303" s="49">
        <v>661</v>
      </c>
      <c r="W303" s="20">
        <v>7</v>
      </c>
      <c r="X303" s="20" t="str">
        <v>Cold</v>
      </c>
      <c r="Y303" s="20">
        <v>1</v>
      </c>
    </row>
    <row r="304" spans="1:25" ht="15" customHeight="1" x14ac:dyDescent="0.25">
      <c r="A304" s="3"/>
      <c r="B304" s="3"/>
      <c r="C304" s="3"/>
      <c r="D304" s="3"/>
      <c r="E304" s="3"/>
      <c r="F304" s="3"/>
      <c r="G304" s="3"/>
      <c r="H304" s="3"/>
      <c r="I304" s="3"/>
      <c r="J304" s="3"/>
      <c r="K304" s="20">
        <v>13136</v>
      </c>
      <c r="L304" s="20" t="str">
        <v>2+ Cars</v>
      </c>
      <c r="M304" s="20" t="str">
        <v>61+</v>
      </c>
      <c r="N304" s="20" t="str">
        <v>5-10 Miles</v>
      </c>
      <c r="O304" s="20">
        <v>2</v>
      </c>
      <c r="P304" s="20" t="str">
        <v>Partial College</v>
      </c>
      <c r="Q304" s="20" t="str">
        <v>Pacific</v>
      </c>
      <c r="R304" s="20" t="str">
        <v>Married</v>
      </c>
      <c r="S304" s="20" t="str">
        <v>$10k-30k</v>
      </c>
      <c r="T304" s="89">
        <v>0.41233825984261235</v>
      </c>
      <c r="U304" s="91">
        <v>25.27727927947787</v>
      </c>
      <c r="V304" s="49">
        <v>936</v>
      </c>
      <c r="W304" s="20">
        <v>10</v>
      </c>
      <c r="X304" s="20" t="str">
        <v>Cold</v>
      </c>
      <c r="Y304" s="20">
        <v>0</v>
      </c>
    </row>
    <row r="305" spans="1:25" ht="15" customHeight="1" x14ac:dyDescent="0.25">
      <c r="A305" s="3"/>
      <c r="B305" s="3"/>
      <c r="C305" s="3"/>
      <c r="D305" s="3"/>
      <c r="E305" s="3"/>
      <c r="F305" s="3"/>
      <c r="G305" s="3"/>
      <c r="H305" s="3"/>
      <c r="I305" s="3"/>
      <c r="J305" s="3"/>
      <c r="K305" s="20">
        <v>25906</v>
      </c>
      <c r="L305" s="20" t="str">
        <v>2+ Cars</v>
      </c>
      <c r="M305" s="20" t="str">
        <v>61+</v>
      </c>
      <c r="N305" s="20" t="str">
        <v>1-2 Miles</v>
      </c>
      <c r="O305" s="20">
        <v>5</v>
      </c>
      <c r="P305" s="20" t="str">
        <v>High School</v>
      </c>
      <c r="Q305" s="20" t="str">
        <v>Pacific</v>
      </c>
      <c r="R305" s="20" t="str">
        <v>Single</v>
      </c>
      <c r="S305" s="20" t="str">
        <v>$10k-30k</v>
      </c>
      <c r="T305" s="89">
        <v>0.39605618312764779</v>
      </c>
      <c r="U305" s="91">
        <v>17.382856978274507</v>
      </c>
      <c r="V305" s="49">
        <v>976</v>
      </c>
      <c r="W305" s="20">
        <v>10</v>
      </c>
      <c r="X305" s="20" t="str">
        <v>Cold</v>
      </c>
      <c r="Y305" s="20">
        <v>0</v>
      </c>
    </row>
    <row r="306" spans="1:25" ht="15" customHeight="1" x14ac:dyDescent="0.25">
      <c r="A306" s="3"/>
      <c r="B306" s="3"/>
      <c r="C306" s="3"/>
      <c r="D306" s="3"/>
      <c r="E306" s="3"/>
      <c r="F306" s="3"/>
      <c r="G306" s="3"/>
      <c r="H306" s="3"/>
      <c r="I306" s="3"/>
      <c r="J306" s="3"/>
      <c r="K306" s="20">
        <v>17926</v>
      </c>
      <c r="L306" s="20" t="str">
        <v>0-1 Cars</v>
      </c>
      <c r="M306" s="20" t="str">
        <v>25-30</v>
      </c>
      <c r="N306" s="20" t="str">
        <v>0-1 Miles</v>
      </c>
      <c r="O306" s="20">
        <v>0</v>
      </c>
      <c r="P306" s="20" t="str">
        <v>Bachelors</v>
      </c>
      <c r="Q306" s="20" t="str">
        <v>Pacific</v>
      </c>
      <c r="R306" s="20" t="str">
        <v>Single</v>
      </c>
      <c r="S306" s="20" t="str">
        <v>$40k-60k</v>
      </c>
      <c r="T306" s="89">
        <v>0.52047896734186028</v>
      </c>
      <c r="U306" s="91">
        <v>77.709682583740928</v>
      </c>
      <c r="V306" s="49">
        <v>251</v>
      </c>
      <c r="W306" s="20">
        <v>3</v>
      </c>
      <c r="X306" s="20" t="str">
        <v>Hot</v>
      </c>
      <c r="Y306" s="20">
        <v>1</v>
      </c>
    </row>
    <row r="307" spans="1:25" ht="15" customHeight="1" x14ac:dyDescent="0.25">
      <c r="A307" s="3"/>
      <c r="B307" s="3"/>
      <c r="C307" s="3"/>
      <c r="D307" s="3"/>
      <c r="E307" s="3"/>
      <c r="F307" s="3"/>
      <c r="G307" s="3"/>
      <c r="H307" s="3"/>
      <c r="I307" s="3"/>
      <c r="J307" s="3"/>
      <c r="K307" s="20">
        <v>26928</v>
      </c>
      <c r="L307" s="20" t="str">
        <v>0-1 Cars</v>
      </c>
      <c r="M307" s="20" t="str">
        <v>61+</v>
      </c>
      <c r="N307" s="20" t="str">
        <v>0-1 Miles</v>
      </c>
      <c r="O307" s="20">
        <v>1</v>
      </c>
      <c r="P307" s="20" t="str">
        <v>Bachelors</v>
      </c>
      <c r="Q307" s="20" t="str">
        <v>Europe</v>
      </c>
      <c r="R307" s="20" t="str">
        <v>Single</v>
      </c>
      <c r="S307" s="20" t="str">
        <v>$10k-30k</v>
      </c>
      <c r="T307" s="89">
        <v>0.50182017297391379</v>
      </c>
      <c r="U307" s="91">
        <v>68.662900348861555</v>
      </c>
      <c r="V307" s="49">
        <v>361</v>
      </c>
      <c r="W307" s="20">
        <v>4</v>
      </c>
      <c r="X307" s="20" t="str">
        <v>Warm</v>
      </c>
      <c r="Y307" s="20">
        <v>1</v>
      </c>
    </row>
    <row r="308" spans="1:25" ht="15" customHeight="1" x14ac:dyDescent="0.25">
      <c r="A308" s="3"/>
      <c r="B308" s="3"/>
      <c r="C308" s="3"/>
      <c r="D308" s="3"/>
      <c r="E308" s="3"/>
      <c r="F308" s="3"/>
      <c r="G308" s="3"/>
      <c r="H308" s="3"/>
      <c r="I308" s="3"/>
      <c r="J308" s="3"/>
      <c r="K308" s="20">
        <v>20897</v>
      </c>
      <c r="L308" s="20" t="str">
        <v>2+ Cars</v>
      </c>
      <c r="M308" s="20" t="str">
        <v>31-40</v>
      </c>
      <c r="N308" s="20" t="str">
        <v>0-1 Miles</v>
      </c>
      <c r="O308" s="20">
        <v>1</v>
      </c>
      <c r="P308" s="20" t="str">
        <v>Bachelors</v>
      </c>
      <c r="Q308" s="20" t="str">
        <v>Europe</v>
      </c>
      <c r="R308" s="20" t="str">
        <v>Married</v>
      </c>
      <c r="S308" s="20" t="str">
        <v>$10k-30k</v>
      </c>
      <c r="T308" s="89">
        <v>0.5030203981836614</v>
      </c>
      <c r="U308" s="91">
        <v>69.244833773459021</v>
      </c>
      <c r="V308" s="49">
        <v>350</v>
      </c>
      <c r="W308" s="20">
        <v>4</v>
      </c>
      <c r="X308" s="20" t="str">
        <v>Warm</v>
      </c>
      <c r="Y308" s="20">
        <v>0</v>
      </c>
    </row>
    <row r="309" spans="1:25" ht="15" customHeight="1" x14ac:dyDescent="0.25">
      <c r="A309" s="3"/>
      <c r="B309" s="3"/>
      <c r="C309" s="3"/>
      <c r="D309" s="3"/>
      <c r="E309" s="3"/>
      <c r="F309" s="3"/>
      <c r="G309" s="3"/>
      <c r="H309" s="3"/>
      <c r="I309" s="3"/>
      <c r="J309" s="3"/>
      <c r="K309" s="20">
        <v>28207</v>
      </c>
      <c r="L309" s="20" t="str">
        <v>0-1 Cars</v>
      </c>
      <c r="M309" s="20" t="str">
        <v>31-40</v>
      </c>
      <c r="N309" s="20" t="str">
        <v>0-1 Miles</v>
      </c>
      <c r="O309" s="20">
        <v>4</v>
      </c>
      <c r="P309" s="20" t="str">
        <v>Graduate Degree</v>
      </c>
      <c r="Q309" s="20" t="str">
        <v>Pacific</v>
      </c>
      <c r="R309" s="20" t="str">
        <v>Married</v>
      </c>
      <c r="S309" s="20" t="str">
        <v>$70k-90k</v>
      </c>
      <c r="T309" s="89">
        <v>0.5365593634553637</v>
      </c>
      <c r="U309" s="91">
        <v>85.50631933425764</v>
      </c>
      <c r="V309" s="49">
        <v>134</v>
      </c>
      <c r="W309" s="20">
        <v>2</v>
      </c>
      <c r="X309" s="20" t="str">
        <v>Hot</v>
      </c>
      <c r="Y309" s="20">
        <v>1</v>
      </c>
    </row>
    <row r="310" spans="1:25" ht="15" customHeight="1" x14ac:dyDescent="0.25">
      <c r="A310" s="3"/>
      <c r="B310" s="3"/>
      <c r="C310" s="3"/>
      <c r="D310" s="3"/>
      <c r="E310" s="3"/>
      <c r="F310" s="3"/>
      <c r="G310" s="3"/>
      <c r="H310" s="3"/>
      <c r="I310" s="3"/>
      <c r="J310" s="3"/>
      <c r="K310" s="20">
        <v>25923</v>
      </c>
      <c r="L310" s="20" t="str">
        <v>2+ Cars</v>
      </c>
      <c r="M310" s="20" t="str">
        <v>51-60</v>
      </c>
      <c r="N310" s="20" t="str">
        <v>5-10 Miles</v>
      </c>
      <c r="O310" s="20">
        <v>2</v>
      </c>
      <c r="P310" s="20" t="str">
        <v>Partial High School</v>
      </c>
      <c r="Q310" s="20" t="str">
        <v>Pacific</v>
      </c>
      <c r="R310" s="20" t="str">
        <v>Single</v>
      </c>
      <c r="S310" s="20" t="str">
        <v>$10k-30k</v>
      </c>
      <c r="T310" s="89">
        <v>0.42370192573083737</v>
      </c>
      <c r="U310" s="91">
        <v>30.786992750424545</v>
      </c>
      <c r="V310" s="49">
        <v>859</v>
      </c>
      <c r="W310" s="20">
        <v>9</v>
      </c>
      <c r="X310" s="20" t="str">
        <v>Cold</v>
      </c>
      <c r="Y310" s="20">
        <v>0</v>
      </c>
    </row>
    <row r="311" spans="1:25" ht="15" customHeight="1" x14ac:dyDescent="0.25">
      <c r="A311" s="3"/>
      <c r="B311" s="3"/>
      <c r="C311" s="3"/>
      <c r="D311" s="3"/>
      <c r="E311" s="3"/>
      <c r="F311" s="3"/>
      <c r="G311" s="3"/>
      <c r="H311" s="3"/>
      <c r="I311" s="3"/>
      <c r="J311" s="3"/>
      <c r="K311" s="20">
        <v>11000</v>
      </c>
      <c r="L311" s="20" t="str">
        <v>0-1 Cars</v>
      </c>
      <c r="M311" s="20" t="str">
        <v>31-40</v>
      </c>
      <c r="N311" s="20" t="str">
        <v>1-2 Miles</v>
      </c>
      <c r="O311" s="20">
        <v>2</v>
      </c>
      <c r="P311" s="20" t="str">
        <v>Bachelors</v>
      </c>
      <c r="Q311" s="20" t="str">
        <v>Pacific</v>
      </c>
      <c r="R311" s="20" t="str">
        <v>Married</v>
      </c>
      <c r="S311" s="20" t="str">
        <v>$70k-90k</v>
      </c>
      <c r="T311" s="89">
        <v>0.52988835981696847</v>
      </c>
      <c r="U311" s="91">
        <v>82.271859700127933</v>
      </c>
      <c r="V311" s="49">
        <v>187</v>
      </c>
      <c r="W311" s="20">
        <v>2</v>
      </c>
      <c r="X311" s="20" t="str">
        <v>Hot</v>
      </c>
      <c r="Y311" s="20">
        <v>1</v>
      </c>
    </row>
    <row r="312" spans="1:25" ht="15" customHeight="1" x14ac:dyDescent="0.25">
      <c r="A312" s="3"/>
      <c r="B312" s="3"/>
      <c r="C312" s="3"/>
      <c r="D312" s="3"/>
      <c r="E312" s="3"/>
      <c r="F312" s="3"/>
      <c r="G312" s="3"/>
      <c r="H312" s="3"/>
      <c r="I312" s="3"/>
      <c r="J312" s="3"/>
      <c r="K312" s="20">
        <v>20974</v>
      </c>
      <c r="L312" s="20" t="str">
        <v>0-1 Cars</v>
      </c>
      <c r="M312" s="20" t="str">
        <v>61+</v>
      </c>
      <c r="N312" s="20" t="str">
        <v>0-1 Miles</v>
      </c>
      <c r="O312" s="20">
        <v>2</v>
      </c>
      <c r="P312" s="20" t="str">
        <v>Bachelors</v>
      </c>
      <c r="Q312" s="20" t="str">
        <v>Europe</v>
      </c>
      <c r="R312" s="20" t="str">
        <v>Married</v>
      </c>
      <c r="S312" s="20" t="str">
        <v>$10k-30k</v>
      </c>
      <c r="T312" s="89">
        <v>0.47686907819953628</v>
      </c>
      <c r="U312" s="91">
        <v>56.565274077069773</v>
      </c>
      <c r="V312" s="49">
        <v>531</v>
      </c>
      <c r="W312" s="20">
        <v>6</v>
      </c>
      <c r="X312" s="20" t="str">
        <v>Warm</v>
      </c>
      <c r="Y312" s="20">
        <v>0</v>
      </c>
    </row>
    <row r="313" spans="1:25" ht="15" customHeight="1" x14ac:dyDescent="0.25">
      <c r="A313" s="3"/>
      <c r="B313" s="3"/>
      <c r="C313" s="3"/>
      <c r="D313" s="3"/>
      <c r="E313" s="3"/>
      <c r="F313" s="3"/>
      <c r="G313" s="3"/>
      <c r="H313" s="3"/>
      <c r="I313" s="3"/>
      <c r="J313" s="3"/>
      <c r="K313" s="20">
        <v>28758</v>
      </c>
      <c r="L313" s="20" t="str">
        <v>0-1 Cars</v>
      </c>
      <c r="M313" s="20" t="str">
        <v>31-40</v>
      </c>
      <c r="N313" s="20" t="str">
        <v>1-2 Miles</v>
      </c>
      <c r="O313" s="20">
        <v>2</v>
      </c>
      <c r="P313" s="20" t="str">
        <v>Partial College</v>
      </c>
      <c r="Q313" s="20" t="str">
        <v>Europe</v>
      </c>
      <c r="R313" s="20" t="str">
        <v>Married</v>
      </c>
      <c r="S313" s="20" t="str">
        <v>$40k-60k</v>
      </c>
      <c r="T313" s="89">
        <v>0.51142367342583384</v>
      </c>
      <c r="U313" s="91">
        <v>73.319191402175093</v>
      </c>
      <c r="V313" s="49">
        <v>311</v>
      </c>
      <c r="W313" s="20">
        <v>4</v>
      </c>
      <c r="X313" s="20" t="str">
        <v>Warm</v>
      </c>
      <c r="Y313" s="20">
        <v>1</v>
      </c>
    </row>
    <row r="314" spans="1:25" ht="15" customHeight="1" x14ac:dyDescent="0.25">
      <c r="A314" s="3"/>
      <c r="B314" s="3"/>
      <c r="C314" s="3"/>
      <c r="D314" s="3"/>
      <c r="E314" s="3"/>
      <c r="F314" s="3"/>
      <c r="G314" s="3"/>
      <c r="H314" s="3"/>
      <c r="I314" s="3"/>
      <c r="J314" s="3"/>
      <c r="K314" s="20">
        <v>11381</v>
      </c>
      <c r="L314" s="20" t="str">
        <v>0-1 Cars</v>
      </c>
      <c r="M314" s="20" t="str">
        <v>41-50</v>
      </c>
      <c r="N314" s="20" t="str">
        <v>2-5 Miles</v>
      </c>
      <c r="O314" s="20">
        <v>2</v>
      </c>
      <c r="P314" s="20" t="str">
        <v>Partial College</v>
      </c>
      <c r="Q314" s="20" t="str">
        <v>Europe</v>
      </c>
      <c r="R314" s="20" t="str">
        <v>Married</v>
      </c>
      <c r="S314" s="20" t="str">
        <v>$10k-30k</v>
      </c>
      <c r="T314" s="89">
        <v>0.49643759211048261</v>
      </c>
      <c r="U314" s="91">
        <v>66.053137039783934</v>
      </c>
      <c r="V314" s="49">
        <v>406</v>
      </c>
      <c r="W314" s="20">
        <v>5</v>
      </c>
      <c r="X314" s="20" t="str">
        <v>Warm</v>
      </c>
      <c r="Y314" s="20">
        <v>1</v>
      </c>
    </row>
    <row r="315" spans="1:25" ht="15" customHeight="1" x14ac:dyDescent="0.25">
      <c r="A315" s="3"/>
      <c r="B315" s="3"/>
      <c r="C315" s="3"/>
      <c r="D315" s="3"/>
      <c r="E315" s="3"/>
      <c r="F315" s="3"/>
      <c r="G315" s="3"/>
      <c r="H315" s="3"/>
      <c r="I315" s="3"/>
      <c r="J315" s="3"/>
      <c r="K315" s="20">
        <v>17522</v>
      </c>
      <c r="L315" s="20" t="str">
        <v>0-1 Cars</v>
      </c>
      <c r="M315" s="20" t="str">
        <v>41-50</v>
      </c>
      <c r="N315" s="20" t="str">
        <v>2-5 Miles</v>
      </c>
      <c r="O315" s="20">
        <v>4</v>
      </c>
      <c r="P315" s="20" t="str">
        <v>Bachelors</v>
      </c>
      <c r="Q315" s="20" t="str">
        <v>Pacific</v>
      </c>
      <c r="R315" s="20" t="str">
        <v>Married</v>
      </c>
      <c r="S315" s="20" t="str">
        <v>$100k+</v>
      </c>
      <c r="T315" s="89">
        <v>0.51993278077514993</v>
      </c>
      <c r="U315" s="91">
        <v>77.444862101173555</v>
      </c>
      <c r="V315" s="49">
        <v>257</v>
      </c>
      <c r="W315" s="20">
        <v>3</v>
      </c>
      <c r="X315" s="20" t="str">
        <v>Hot</v>
      </c>
      <c r="Y315" s="20">
        <v>0</v>
      </c>
    </row>
    <row r="316" spans="1:25" ht="15" customHeight="1" x14ac:dyDescent="0.25">
      <c r="A316" s="3"/>
      <c r="B316" s="3"/>
      <c r="C316" s="3"/>
      <c r="D316" s="3"/>
      <c r="E316" s="3"/>
      <c r="F316" s="3"/>
      <c r="G316" s="3"/>
      <c r="H316" s="3"/>
      <c r="I316" s="3"/>
      <c r="J316" s="3"/>
      <c r="K316" s="20">
        <v>21207</v>
      </c>
      <c r="L316" s="20" t="str">
        <v>0-1 Cars</v>
      </c>
      <c r="M316" s="20" t="str">
        <v>41-50</v>
      </c>
      <c r="N316" s="20" t="str">
        <v>5-10 Miles</v>
      </c>
      <c r="O316" s="20">
        <v>1</v>
      </c>
      <c r="P316" s="20" t="str">
        <v>Partial College</v>
      </c>
      <c r="Q316" s="20" t="str">
        <v>Pacific</v>
      </c>
      <c r="R316" s="20" t="str">
        <v>Married</v>
      </c>
      <c r="S316" s="20" t="str">
        <v>$40k-60k</v>
      </c>
      <c r="T316" s="89">
        <v>0.50371149496934486</v>
      </c>
      <c r="U316" s="91">
        <v>69.579914486607564</v>
      </c>
      <c r="V316" s="49">
        <v>343</v>
      </c>
      <c r="W316" s="20">
        <v>4</v>
      </c>
      <c r="X316" s="20" t="str">
        <v>Warm</v>
      </c>
      <c r="Y316" s="20">
        <v>0</v>
      </c>
    </row>
    <row r="317" spans="1:25" ht="15" customHeight="1" x14ac:dyDescent="0.25">
      <c r="A317" s="3"/>
      <c r="B317" s="3"/>
      <c r="C317" s="3"/>
      <c r="D317" s="3"/>
      <c r="E317" s="3"/>
      <c r="F317" s="3"/>
      <c r="G317" s="3"/>
      <c r="H317" s="3"/>
      <c r="I317" s="3"/>
      <c r="J317" s="3"/>
      <c r="K317" s="20">
        <v>28102</v>
      </c>
      <c r="L317" s="20" t="str">
        <v>2+ Cars</v>
      </c>
      <c r="M317" s="20" t="str">
        <v>51-60</v>
      </c>
      <c r="N317" s="20" t="str">
        <v>5-10 Miles</v>
      </c>
      <c r="O317" s="20">
        <v>4</v>
      </c>
      <c r="P317" s="20" t="str">
        <v>High School</v>
      </c>
      <c r="Q317" s="20" t="str">
        <v>Pacific</v>
      </c>
      <c r="R317" s="20" t="str">
        <v>Married</v>
      </c>
      <c r="S317" s="20" t="str">
        <v>$10k-30k</v>
      </c>
      <c r="T317" s="89">
        <v>0.43110549320867586</v>
      </c>
      <c r="U317" s="91">
        <v>34.376638544919217</v>
      </c>
      <c r="V317" s="49">
        <v>835</v>
      </c>
      <c r="W317" s="20">
        <v>9</v>
      </c>
      <c r="X317" s="20" t="str">
        <v>Cold</v>
      </c>
      <c r="Y317" s="20">
        <v>1</v>
      </c>
    </row>
    <row r="318" spans="1:25" ht="15" customHeight="1" x14ac:dyDescent="0.25">
      <c r="A318" s="3"/>
      <c r="B318" s="3"/>
      <c r="C318" s="3"/>
      <c r="D318" s="3"/>
      <c r="E318" s="3"/>
      <c r="F318" s="3"/>
      <c r="G318" s="3"/>
      <c r="H318" s="3"/>
      <c r="I318" s="3"/>
      <c r="J318" s="3"/>
      <c r="K318" s="20">
        <v>23105</v>
      </c>
      <c r="L318" s="20" t="str">
        <v>2+ Cars</v>
      </c>
      <c r="M318" s="20" t="str">
        <v>51-60</v>
      </c>
      <c r="N318" s="20" t="str">
        <v>5-10 Miles</v>
      </c>
      <c r="O318" s="20">
        <v>3</v>
      </c>
      <c r="P318" s="20" t="str">
        <v>Partial High School</v>
      </c>
      <c r="Q318" s="20" t="str">
        <v>Pacific</v>
      </c>
      <c r="R318" s="20" t="str">
        <v>Single</v>
      </c>
      <c r="S318" s="20" t="str">
        <v>$40k-60k</v>
      </c>
      <c r="T318" s="89">
        <v>0.44574212692772136</v>
      </c>
      <c r="U318" s="91">
        <v>41.47326200818911</v>
      </c>
      <c r="V318" s="49">
        <v>745</v>
      </c>
      <c r="W318" s="20">
        <v>8</v>
      </c>
      <c r="X318" s="20" t="str">
        <v>Cold</v>
      </c>
      <c r="Y318" s="20">
        <v>1</v>
      </c>
    </row>
    <row r="319" spans="1:25" ht="15" customHeight="1" x14ac:dyDescent="0.25">
      <c r="A319" s="3"/>
      <c r="B319" s="3"/>
      <c r="C319" s="3"/>
      <c r="D319" s="3"/>
      <c r="E319" s="3"/>
      <c r="F319" s="3"/>
      <c r="G319" s="3"/>
      <c r="H319" s="3"/>
      <c r="I319" s="3"/>
      <c r="J319" s="3"/>
      <c r="K319" s="20">
        <v>18740</v>
      </c>
      <c r="L319" s="20" t="str">
        <v>0-1 Cars</v>
      </c>
      <c r="M319" s="20" t="str">
        <v>41-50</v>
      </c>
      <c r="N319" s="20" t="str">
        <v>0-1 Miles</v>
      </c>
      <c r="O319" s="20">
        <v>5</v>
      </c>
      <c r="P319" s="20" t="str">
        <v>Bachelors</v>
      </c>
      <c r="Q319" s="20" t="str">
        <v>Pacific</v>
      </c>
      <c r="R319" s="20" t="str">
        <v>Married</v>
      </c>
      <c r="S319" s="20" t="str">
        <v>$70k-90k</v>
      </c>
      <c r="T319" s="89">
        <v>0.48632937192240439</v>
      </c>
      <c r="U319" s="91">
        <v>61.152130842896447</v>
      </c>
      <c r="V319" s="49">
        <v>469</v>
      </c>
      <c r="W319" s="20">
        <v>5</v>
      </c>
      <c r="X319" s="20" t="str">
        <v>Warm</v>
      </c>
      <c r="Y319" s="20">
        <v>1</v>
      </c>
    </row>
    <row r="320" spans="1:25" ht="15" customHeight="1" x14ac:dyDescent="0.25">
      <c r="A320" s="3"/>
      <c r="B320" s="3"/>
      <c r="C320" s="3"/>
      <c r="D320" s="3"/>
      <c r="E320" s="3"/>
      <c r="F320" s="3"/>
      <c r="G320" s="3"/>
      <c r="H320" s="3"/>
      <c r="I320" s="3"/>
      <c r="J320" s="3"/>
      <c r="K320" s="20">
        <v>21213</v>
      </c>
      <c r="L320" s="20" t="str">
        <v>0-1 Cars</v>
      </c>
      <c r="M320" s="20" t="str">
        <v>41-50</v>
      </c>
      <c r="N320" s="20" t="str">
        <v>5-10 Miles</v>
      </c>
      <c r="O320" s="20">
        <v>0</v>
      </c>
      <c r="P320" s="20" t="str">
        <v>Bachelors</v>
      </c>
      <c r="Q320" s="20" t="str">
        <v>Pacific</v>
      </c>
      <c r="R320" s="20" t="str">
        <v>Single</v>
      </c>
      <c r="S320" s="20" t="str">
        <v>$70k-90k</v>
      </c>
      <c r="T320" s="89">
        <v>0.51364222394441361</v>
      </c>
      <c r="U320" s="91">
        <v>74.394863443084063</v>
      </c>
      <c r="V320" s="49">
        <v>290</v>
      </c>
      <c r="W320" s="20">
        <v>3</v>
      </c>
      <c r="X320" s="20" t="str">
        <v>Hot</v>
      </c>
      <c r="Y320" s="20">
        <v>0</v>
      </c>
    </row>
    <row r="321" spans="1:25" ht="15" customHeight="1" x14ac:dyDescent="0.25">
      <c r="A321" s="3"/>
      <c r="B321" s="3"/>
      <c r="C321" s="3"/>
      <c r="D321" s="3"/>
      <c r="E321" s="3"/>
      <c r="F321" s="3"/>
      <c r="G321" s="3"/>
      <c r="H321" s="3"/>
      <c r="I321" s="3"/>
      <c r="J321" s="3"/>
      <c r="K321" s="20">
        <v>17352</v>
      </c>
      <c r="L321" s="20" t="str">
        <v>0-1 Cars</v>
      </c>
      <c r="M321" s="20" t="str">
        <v>61+</v>
      </c>
      <c r="N321" s="20" t="str">
        <v>5-10 Miles</v>
      </c>
      <c r="O321" s="20">
        <v>2</v>
      </c>
      <c r="P321" s="20" t="str">
        <v>Graduate Degree</v>
      </c>
      <c r="Q321" s="20" t="str">
        <v>Pacific</v>
      </c>
      <c r="R321" s="20" t="str">
        <v>Married</v>
      </c>
      <c r="S321" s="20" t="str">
        <v>$40k-60k</v>
      </c>
      <c r="T321" s="89">
        <v>0.4731461180121887</v>
      </c>
      <c r="U321" s="91">
        <v>54.760183704139855</v>
      </c>
      <c r="V321" s="49">
        <v>553</v>
      </c>
      <c r="W321" s="20">
        <v>6</v>
      </c>
      <c r="X321" s="20" t="str">
        <v>Warm</v>
      </c>
      <c r="Y321" s="20">
        <v>1</v>
      </c>
    </row>
    <row r="322" spans="1:25" ht="15" customHeight="1" x14ac:dyDescent="0.25">
      <c r="A322" s="3"/>
      <c r="B322" s="3"/>
      <c r="C322" s="3"/>
      <c r="D322" s="3"/>
      <c r="E322" s="3"/>
      <c r="F322" s="3"/>
      <c r="G322" s="3"/>
      <c r="H322" s="3"/>
      <c r="I322" s="3"/>
      <c r="J322" s="3"/>
      <c r="K322" s="20">
        <v>14154</v>
      </c>
      <c r="L322" s="20" t="str">
        <v>0-1 Cars</v>
      </c>
      <c r="M322" s="20" t="str">
        <v>31-40</v>
      </c>
      <c r="N322" s="20" t="str">
        <v>0-1 Miles</v>
      </c>
      <c r="O322" s="20">
        <v>0</v>
      </c>
      <c r="P322" s="20" t="str">
        <v>Bachelors</v>
      </c>
      <c r="Q322" s="20" t="str">
        <v>Europe</v>
      </c>
      <c r="R322" s="20" t="str">
        <v>Married</v>
      </c>
      <c r="S322" s="20" t="str">
        <v>$10k-30k</v>
      </c>
      <c r="T322" s="89">
        <v>0.53219230862329037</v>
      </c>
      <c r="U322" s="91">
        <v>83.388937401938662</v>
      </c>
      <c r="V322" s="49">
        <v>176</v>
      </c>
      <c r="W322" s="20">
        <v>2</v>
      </c>
      <c r="X322" s="20" t="str">
        <v>Hot</v>
      </c>
      <c r="Y322" s="20">
        <v>1</v>
      </c>
    </row>
    <row r="323" spans="1:25" ht="15" customHeight="1" x14ac:dyDescent="0.25">
      <c r="A323" s="3"/>
      <c r="B323" s="3"/>
      <c r="C323" s="3"/>
      <c r="D323" s="3"/>
      <c r="E323" s="3"/>
      <c r="F323" s="3"/>
      <c r="G323" s="3"/>
      <c r="H323" s="3"/>
      <c r="I323" s="3"/>
      <c r="J323" s="3"/>
      <c r="K323" s="20">
        <v>19066</v>
      </c>
      <c r="L323" s="20" t="str">
        <v>2+ Cars</v>
      </c>
      <c r="M323" s="20" t="str">
        <v>51-60</v>
      </c>
      <c r="N323" s="20" t="str">
        <v>10+ Miles</v>
      </c>
      <c r="O323" s="20">
        <v>4</v>
      </c>
      <c r="P323" s="20" t="str">
        <v>Partial College</v>
      </c>
      <c r="Q323" s="20" t="str">
        <v>Europe</v>
      </c>
      <c r="R323" s="20" t="str">
        <v>Married</v>
      </c>
      <c r="S323" s="20" t="str">
        <v>$100k+</v>
      </c>
      <c r="T323" s="89">
        <v>0.41618056504153017</v>
      </c>
      <c r="U323" s="91">
        <v>27.140234502044052</v>
      </c>
      <c r="V323" s="49">
        <v>915</v>
      </c>
      <c r="W323" s="20">
        <v>10</v>
      </c>
      <c r="X323" s="20" t="str">
        <v>Cold</v>
      </c>
      <c r="Y323" s="20">
        <v>0</v>
      </c>
    </row>
    <row r="324" spans="1:25" ht="15" customHeight="1" x14ac:dyDescent="0.25">
      <c r="A324" s="3"/>
      <c r="B324" s="3"/>
      <c r="C324" s="3"/>
      <c r="D324" s="3"/>
      <c r="E324" s="3"/>
      <c r="F324" s="3"/>
      <c r="G324" s="3"/>
      <c r="H324" s="3"/>
      <c r="I324" s="3"/>
      <c r="J324" s="3"/>
      <c r="K324" s="20">
        <v>11386</v>
      </c>
      <c r="L324" s="20" t="str">
        <v>0-1 Cars</v>
      </c>
      <c r="M324" s="20" t="str">
        <v>41-50</v>
      </c>
      <c r="N324" s="20" t="str">
        <v>0-1 Miles</v>
      </c>
      <c r="O324" s="20">
        <v>3</v>
      </c>
      <c r="P324" s="20" t="str">
        <v>Bachelors</v>
      </c>
      <c r="Q324" s="20" t="str">
        <v>Europe</v>
      </c>
      <c r="R324" s="20" t="str">
        <v>Married</v>
      </c>
      <c r="S324" s="20" t="str">
        <v>$10k-30k</v>
      </c>
      <c r="T324" s="89">
        <v>0.51464524725938332</v>
      </c>
      <c r="U324" s="91">
        <v>74.881182833720899</v>
      </c>
      <c r="V324" s="49">
        <v>284</v>
      </c>
      <c r="W324" s="20">
        <v>3</v>
      </c>
      <c r="X324" s="20" t="str">
        <v>Hot</v>
      </c>
      <c r="Y324" s="20">
        <v>0</v>
      </c>
    </row>
    <row r="325" spans="1:25" ht="15" customHeight="1" x14ac:dyDescent="0.25">
      <c r="A325" s="3"/>
      <c r="B325" s="3"/>
      <c r="C325" s="3"/>
      <c r="D325" s="3"/>
      <c r="E325" s="3"/>
      <c r="F325" s="3"/>
      <c r="G325" s="3"/>
      <c r="H325" s="3"/>
      <c r="I325" s="3"/>
      <c r="J325" s="3"/>
      <c r="K325" s="20">
        <v>20228</v>
      </c>
      <c r="L325" s="20" t="str">
        <v>0-1 Cars</v>
      </c>
      <c r="M325" s="20" t="str">
        <v>31-40</v>
      </c>
      <c r="N325" s="20" t="str">
        <v>2-5 Miles</v>
      </c>
      <c r="O325" s="20">
        <v>0</v>
      </c>
      <c r="P325" s="20" t="str">
        <v>Graduate Degree</v>
      </c>
      <c r="Q325" s="20" t="str">
        <v>Pacific</v>
      </c>
      <c r="R325" s="20" t="str">
        <v>Married</v>
      </c>
      <c r="S325" s="20" t="str">
        <v>$100k+</v>
      </c>
      <c r="T325" s="89">
        <v>0.55214613890993247</v>
      </c>
      <c r="U325" s="91">
        <v>93.063622367924424</v>
      </c>
      <c r="V325" s="49">
        <v>28</v>
      </c>
      <c r="W325" s="20">
        <v>1</v>
      </c>
      <c r="X325" s="20" t="str">
        <v>Hot</v>
      </c>
      <c r="Y325" s="20">
        <v>1</v>
      </c>
    </row>
    <row r="326" spans="1:25" ht="15" customHeight="1" x14ac:dyDescent="0.25">
      <c r="A326" s="3"/>
      <c r="B326" s="3"/>
      <c r="C326" s="3"/>
      <c r="D326" s="3"/>
      <c r="E326" s="3"/>
      <c r="F326" s="3"/>
      <c r="G326" s="3"/>
      <c r="H326" s="3"/>
      <c r="I326" s="3"/>
      <c r="J326" s="3"/>
      <c r="K326" s="20">
        <v>16675</v>
      </c>
      <c r="L326" s="20" t="str">
        <v>2+ Cars</v>
      </c>
      <c r="M326" s="20" t="str">
        <v>41-50</v>
      </c>
      <c r="N326" s="20" t="str">
        <v>0-1 Miles</v>
      </c>
      <c r="O326" s="20">
        <v>0</v>
      </c>
      <c r="P326" s="20" t="str">
        <v>Graduate Degree</v>
      </c>
      <c r="Q326" s="20" t="str">
        <v>Pacific</v>
      </c>
      <c r="R326" s="20" t="str">
        <v>Single</v>
      </c>
      <c r="S326" s="20" t="str">
        <v>$100k+</v>
      </c>
      <c r="T326" s="89">
        <v>0.49431384394930394</v>
      </c>
      <c r="U326" s="91">
        <v>65.023430256106934</v>
      </c>
      <c r="V326" s="49">
        <v>419</v>
      </c>
      <c r="W326" s="20">
        <v>5</v>
      </c>
      <c r="X326" s="20" t="str">
        <v>Warm</v>
      </c>
      <c r="Y326" s="20">
        <v>1</v>
      </c>
    </row>
    <row r="327" spans="1:25" ht="15" customHeight="1" x14ac:dyDescent="0.25">
      <c r="A327" s="3"/>
      <c r="B327" s="3"/>
      <c r="C327" s="3"/>
      <c r="D327" s="3"/>
      <c r="E327" s="3"/>
      <c r="F327" s="3"/>
      <c r="G327" s="3"/>
      <c r="H327" s="3"/>
      <c r="I327" s="3"/>
      <c r="J327" s="3"/>
      <c r="K327" s="20">
        <v>16410</v>
      </c>
      <c r="L327" s="20" t="str">
        <v>2+ Cars</v>
      </c>
      <c r="M327" s="20" t="str">
        <v>41-50</v>
      </c>
      <c r="N327" s="20" t="str">
        <v>0-1 Miles</v>
      </c>
      <c r="O327" s="20">
        <v>4</v>
      </c>
      <c r="P327" s="20" t="str">
        <v>Partial High School</v>
      </c>
      <c r="Q327" s="20" t="str">
        <v>Europe</v>
      </c>
      <c r="R327" s="20" t="str">
        <v>Single</v>
      </c>
      <c r="S327" s="20" t="str">
        <v>$10k-30k</v>
      </c>
      <c r="T327" s="89">
        <v>0.43371675582733621</v>
      </c>
      <c r="U327" s="91">
        <v>35.642718432142978</v>
      </c>
      <c r="V327" s="49">
        <v>814</v>
      </c>
      <c r="W327" s="20">
        <v>9</v>
      </c>
      <c r="X327" s="20" t="str">
        <v>Cold</v>
      </c>
      <c r="Y327" s="20">
        <v>1</v>
      </c>
    </row>
    <row r="328" spans="1:25" ht="15" customHeight="1" x14ac:dyDescent="0.25">
      <c r="A328" s="3"/>
      <c r="B328" s="3"/>
      <c r="C328" s="3"/>
      <c r="D328" s="3"/>
      <c r="E328" s="3"/>
      <c r="F328" s="3"/>
      <c r="G328" s="3"/>
      <c r="H328" s="3"/>
      <c r="I328" s="3"/>
      <c r="J328" s="3"/>
      <c r="K328" s="20">
        <v>27760</v>
      </c>
      <c r="L328" s="20" t="str">
        <v>0-1 Cars</v>
      </c>
      <c r="M328" s="20" t="str">
        <v>31-40</v>
      </c>
      <c r="N328" s="20" t="str">
        <v>0-1 Miles</v>
      </c>
      <c r="O328" s="20">
        <v>0</v>
      </c>
      <c r="P328" s="20" t="str">
        <v>Graduate Degree</v>
      </c>
      <c r="Q328" s="20" t="str">
        <v>Europe</v>
      </c>
      <c r="R328" s="20" t="str">
        <v>Single</v>
      </c>
      <c r="S328" s="20" t="str">
        <v>$40k-60k</v>
      </c>
      <c r="T328" s="89">
        <v>0.5512054017750383</v>
      </c>
      <c r="U328" s="91">
        <v>92.607502651300493</v>
      </c>
      <c r="V328" s="49">
        <v>45</v>
      </c>
      <c r="W328" s="20">
        <v>1</v>
      </c>
      <c r="X328" s="20" t="str">
        <v>Hot</v>
      </c>
      <c r="Y328" s="20">
        <v>1</v>
      </c>
    </row>
    <row r="329" spans="1:25" ht="15" customHeight="1" x14ac:dyDescent="0.25">
      <c r="A329" s="3"/>
      <c r="B329" s="3"/>
      <c r="C329" s="3"/>
      <c r="D329" s="3"/>
      <c r="E329" s="3"/>
      <c r="F329" s="3"/>
      <c r="G329" s="3"/>
      <c r="H329" s="3"/>
      <c r="I329" s="3"/>
      <c r="J329" s="3"/>
      <c r="K329" s="20">
        <v>22930</v>
      </c>
      <c r="L329" s="20" t="str">
        <v>0-1 Cars</v>
      </c>
      <c r="M329" s="20" t="str">
        <v>31-40</v>
      </c>
      <c r="N329" s="20" t="str">
        <v>1-2 Miles</v>
      </c>
      <c r="O329" s="20">
        <v>4</v>
      </c>
      <c r="P329" s="20" t="str">
        <v>Bachelors</v>
      </c>
      <c r="Q329" s="20" t="str">
        <v>Pacific</v>
      </c>
      <c r="R329" s="20" t="str">
        <v>Married</v>
      </c>
      <c r="S329" s="20" t="str">
        <v>$70k-90k</v>
      </c>
      <c r="T329" s="89">
        <v>0.52494654900839477</v>
      </c>
      <c r="U329" s="91">
        <v>79.875805306177313</v>
      </c>
      <c r="V329" s="49">
        <v>219</v>
      </c>
      <c r="W329" s="20">
        <v>3</v>
      </c>
      <c r="X329" s="20" t="str">
        <v>Hot</v>
      </c>
      <c r="Y329" s="20">
        <v>1</v>
      </c>
    </row>
    <row r="330" spans="1:25" ht="15" customHeight="1" x14ac:dyDescent="0.25">
      <c r="A330" s="3"/>
      <c r="B330" s="3"/>
      <c r="C330" s="3"/>
      <c r="D330" s="3"/>
      <c r="E330" s="3"/>
      <c r="F330" s="3"/>
      <c r="G330" s="3"/>
      <c r="H330" s="3"/>
      <c r="I330" s="3"/>
      <c r="J330" s="3"/>
      <c r="K330" s="20">
        <v>23780</v>
      </c>
      <c r="L330" s="20" t="str">
        <v>2+ Cars</v>
      </c>
      <c r="M330" s="20" t="str">
        <v>31-40</v>
      </c>
      <c r="N330" s="20" t="str">
        <v>0-1 Miles</v>
      </c>
      <c r="O330" s="20">
        <v>2</v>
      </c>
      <c r="P330" s="20" t="str">
        <v>Partial College</v>
      </c>
      <c r="Q330" s="20" t="str">
        <v>Europe</v>
      </c>
      <c r="R330" s="20" t="str">
        <v>Single</v>
      </c>
      <c r="S330" s="20" t="str">
        <v>$40k-60k</v>
      </c>
      <c r="T330" s="89">
        <v>0.49549141345724529</v>
      </c>
      <c r="U330" s="91">
        <v>65.594378983806095</v>
      </c>
      <c r="V330" s="49">
        <v>414</v>
      </c>
      <c r="W330" s="20">
        <v>5</v>
      </c>
      <c r="X330" s="20" t="str">
        <v>Warm</v>
      </c>
      <c r="Y330" s="20">
        <v>1</v>
      </c>
    </row>
    <row r="331" spans="1:25" ht="15" customHeight="1" x14ac:dyDescent="0.25">
      <c r="A331" s="3"/>
      <c r="B331" s="3"/>
      <c r="C331" s="3"/>
      <c r="D331" s="3"/>
      <c r="E331" s="3"/>
      <c r="F331" s="3"/>
      <c r="G331" s="3"/>
      <c r="H331" s="3"/>
      <c r="I331" s="3"/>
      <c r="J331" s="3"/>
      <c r="K331" s="20">
        <v>20994</v>
      </c>
      <c r="L331" s="20" t="str">
        <v>0-1 Cars</v>
      </c>
      <c r="M331" s="20" t="str">
        <v>25-30</v>
      </c>
      <c r="N331" s="20" t="str">
        <v>0-1 Miles</v>
      </c>
      <c r="O331" s="20">
        <v>0</v>
      </c>
      <c r="P331" s="20" t="str">
        <v>Bachelors</v>
      </c>
      <c r="Q331" s="20" t="str">
        <v>Pacific</v>
      </c>
      <c r="R331" s="20" t="str">
        <v>Married</v>
      </c>
      <c r="S331" s="20" t="str">
        <v>$10k-30k</v>
      </c>
      <c r="T331" s="89">
        <v>0.49997554179478271</v>
      </c>
      <c r="U331" s="91">
        <v>67.76852441801708</v>
      </c>
      <c r="V331" s="49">
        <v>375</v>
      </c>
      <c r="W331" s="20">
        <v>4</v>
      </c>
      <c r="X331" s="20" t="str">
        <v>Warm</v>
      </c>
      <c r="Y331" s="20">
        <v>1</v>
      </c>
    </row>
    <row r="332" spans="1:25" ht="15" customHeight="1" x14ac:dyDescent="0.25">
      <c r="A332" s="3"/>
      <c r="B332" s="3"/>
      <c r="C332" s="3"/>
      <c r="D332" s="3"/>
      <c r="E332" s="3"/>
      <c r="F332" s="3"/>
      <c r="G332" s="3"/>
      <c r="H332" s="3"/>
      <c r="I332" s="3"/>
      <c r="J332" s="3"/>
      <c r="K332" s="20">
        <v>28379</v>
      </c>
      <c r="L332" s="20" t="str">
        <v>2+ Cars</v>
      </c>
      <c r="M332" s="20" t="str">
        <v>31-40</v>
      </c>
      <c r="N332" s="20" t="str">
        <v>0-1 Miles</v>
      </c>
      <c r="O332" s="20">
        <v>1</v>
      </c>
      <c r="P332" s="20" t="str">
        <v>Bachelors</v>
      </c>
      <c r="Q332" s="20" t="str">
        <v>Europe</v>
      </c>
      <c r="R332" s="20" t="str">
        <v>Married</v>
      </c>
      <c r="S332" s="20" t="str">
        <v>$10k-30k</v>
      </c>
      <c r="T332" s="89">
        <v>0.5030203981836614</v>
      </c>
      <c r="U332" s="91">
        <v>69.244833773459021</v>
      </c>
      <c r="V332" s="49">
        <v>351</v>
      </c>
      <c r="W332" s="20">
        <v>4</v>
      </c>
      <c r="X332" s="20" t="str">
        <v>Warm</v>
      </c>
      <c r="Y332" s="20">
        <v>0</v>
      </c>
    </row>
    <row r="333" spans="1:25" ht="15" customHeight="1" x14ac:dyDescent="0.25">
      <c r="A333" s="3"/>
      <c r="B333" s="3"/>
      <c r="C333" s="3"/>
      <c r="D333" s="3"/>
      <c r="E333" s="3"/>
      <c r="F333" s="3"/>
      <c r="G333" s="3"/>
      <c r="H333" s="3"/>
      <c r="I333" s="3"/>
      <c r="J333" s="3"/>
      <c r="K333" s="20">
        <v>14865</v>
      </c>
      <c r="L333" s="20" t="str">
        <v>2+ Cars</v>
      </c>
      <c r="M333" s="20" t="str">
        <v>31-40</v>
      </c>
      <c r="N333" s="20" t="str">
        <v>1-2 Miles</v>
      </c>
      <c r="O333" s="20">
        <v>2</v>
      </c>
      <c r="P333" s="20" t="str">
        <v>Partial College</v>
      </c>
      <c r="Q333" s="20" t="str">
        <v>Europe</v>
      </c>
      <c r="R333" s="20" t="str">
        <v>Single</v>
      </c>
      <c r="S333" s="20" t="str">
        <v>$40k-60k</v>
      </c>
      <c r="T333" s="89">
        <v>0.48238826661494677</v>
      </c>
      <c r="U333" s="91">
        <v>59.241272039363778</v>
      </c>
      <c r="V333" s="49">
        <v>495</v>
      </c>
      <c r="W333" s="20">
        <v>5</v>
      </c>
      <c r="X333" s="20" t="str">
        <v>Warm</v>
      </c>
      <c r="Y333" s="20">
        <v>0</v>
      </c>
    </row>
    <row r="334" spans="1:25" ht="15" customHeight="1" x14ac:dyDescent="0.25">
      <c r="A334" s="3"/>
      <c r="B334" s="3"/>
      <c r="C334" s="3"/>
      <c r="D334" s="3"/>
      <c r="E334" s="3"/>
      <c r="F334" s="3"/>
      <c r="G334" s="3"/>
      <c r="H334" s="3"/>
      <c r="I334" s="3"/>
      <c r="J334" s="3"/>
      <c r="K334" s="20">
        <v>12663</v>
      </c>
      <c r="L334" s="20" t="str">
        <v>2+ Cars</v>
      </c>
      <c r="M334" s="20" t="str">
        <v>51-60</v>
      </c>
      <c r="N334" s="20" t="str">
        <v>10+ Miles</v>
      </c>
      <c r="O334" s="20">
        <v>5</v>
      </c>
      <c r="P334" s="20" t="str">
        <v>Partial High School</v>
      </c>
      <c r="Q334" s="20" t="str">
        <v>Europe</v>
      </c>
      <c r="R334" s="20" t="str">
        <v>Married</v>
      </c>
      <c r="S334" s="20" t="str">
        <v>$70k-90k</v>
      </c>
      <c r="T334" s="89">
        <v>0.3653665803564432</v>
      </c>
      <c r="U334" s="91">
        <v>2.5028948718806827</v>
      </c>
      <c r="V334" s="49">
        <v>998</v>
      </c>
      <c r="W334" s="20">
        <v>10</v>
      </c>
      <c r="X334" s="20" t="str">
        <v>Cold</v>
      </c>
      <c r="Y334" s="20">
        <v>0</v>
      </c>
    </row>
    <row r="335" spans="1:25" ht="15" customHeight="1" x14ac:dyDescent="0.25">
      <c r="A335" s="3"/>
      <c r="B335" s="3"/>
      <c r="C335" s="3"/>
      <c r="D335" s="3"/>
      <c r="E335" s="3"/>
      <c r="F335" s="3"/>
      <c r="G335" s="3"/>
      <c r="H335" s="3"/>
      <c r="I335" s="3"/>
      <c r="J335" s="3"/>
      <c r="K335" s="20">
        <v>24898</v>
      </c>
      <c r="L335" s="20" t="str">
        <v>2+ Cars</v>
      </c>
      <c r="M335" s="20" t="str">
        <v>31-40</v>
      </c>
      <c r="N335" s="20" t="str">
        <v>10+ Miles</v>
      </c>
      <c r="O335" s="20">
        <v>0</v>
      </c>
      <c r="P335" s="20" t="str">
        <v>Bachelors</v>
      </c>
      <c r="Q335" s="20" t="str">
        <v>Pacific</v>
      </c>
      <c r="R335" s="20" t="str">
        <v>Single</v>
      </c>
      <c r="S335" s="20" t="str">
        <v>$70k-90k</v>
      </c>
      <c r="T335" s="89">
        <v>0.48374381756216484</v>
      </c>
      <c r="U335" s="91">
        <v>59.898515695407994</v>
      </c>
      <c r="V335" s="49">
        <v>491</v>
      </c>
      <c r="W335" s="20">
        <v>5</v>
      </c>
      <c r="X335" s="20" t="str">
        <v>Warm</v>
      </c>
      <c r="Y335" s="20">
        <v>0</v>
      </c>
    </row>
    <row r="336" spans="1:25" ht="15" customHeight="1" x14ac:dyDescent="0.25">
      <c r="A336" s="3"/>
      <c r="B336" s="3"/>
      <c r="C336" s="3"/>
      <c r="D336" s="3"/>
      <c r="E336" s="3"/>
      <c r="F336" s="3"/>
      <c r="G336" s="3"/>
      <c r="H336" s="3"/>
      <c r="I336" s="3"/>
      <c r="J336" s="3"/>
      <c r="K336" s="20">
        <v>19508</v>
      </c>
      <c r="L336" s="20" t="str">
        <v>2+ Cars</v>
      </c>
      <c r="M336" s="20" t="str">
        <v>25-30</v>
      </c>
      <c r="N336" s="20" t="str">
        <v>0-1 Miles</v>
      </c>
      <c r="O336" s="20">
        <v>0</v>
      </c>
      <c r="P336" s="20" t="str">
        <v>Partial High School</v>
      </c>
      <c r="Q336" s="20" t="str">
        <v>Europe</v>
      </c>
      <c r="R336" s="20" t="str">
        <v>Married</v>
      </c>
      <c r="S336" s="20" t="str">
        <v>$10k-30k</v>
      </c>
      <c r="T336" s="89">
        <v>0.41685517577630776</v>
      </c>
      <c r="U336" s="91">
        <v>27.467321895285767</v>
      </c>
      <c r="V336" s="49">
        <v>912</v>
      </c>
      <c r="W336" s="20">
        <v>10</v>
      </c>
      <c r="X336" s="20" t="str">
        <v>Cold</v>
      </c>
      <c r="Y336" s="20">
        <v>0</v>
      </c>
    </row>
    <row r="337" spans="1:25" ht="15" customHeight="1" x14ac:dyDescent="0.25">
      <c r="A337" s="3"/>
      <c r="B337" s="3"/>
      <c r="C337" s="3"/>
      <c r="D337" s="3"/>
      <c r="E337" s="3"/>
      <c r="F337" s="3"/>
      <c r="G337" s="3"/>
      <c r="H337" s="3"/>
      <c r="I337" s="3"/>
      <c r="J337" s="3"/>
      <c r="K337" s="20">
        <v>11489</v>
      </c>
      <c r="L337" s="20" t="str">
        <v>2+ Cars</v>
      </c>
      <c r="M337" s="20" t="str">
        <v>31-40</v>
      </c>
      <c r="N337" s="20" t="str">
        <v>1-2 Miles</v>
      </c>
      <c r="O337" s="20">
        <v>0</v>
      </c>
      <c r="P337" s="20" t="str">
        <v>Partial High School</v>
      </c>
      <c r="Q337" s="20" t="str">
        <v>Europe</v>
      </c>
      <c r="R337" s="20" t="str">
        <v>Single</v>
      </c>
      <c r="S337" s="20" t="str">
        <v>$10k-30k</v>
      </c>
      <c r="T337" s="89">
        <v>0.45431729951514982</v>
      </c>
      <c r="U337" s="91">
        <v>45.630964670813512</v>
      </c>
      <c r="V337" s="49">
        <v>701</v>
      </c>
      <c r="W337" s="20">
        <v>8</v>
      </c>
      <c r="X337" s="20" t="str">
        <v>Cold</v>
      </c>
      <c r="Y337" s="20">
        <v>1</v>
      </c>
    </row>
    <row r="338" spans="1:25" ht="15" customHeight="1" x14ac:dyDescent="0.25">
      <c r="A338" s="3"/>
      <c r="B338" s="3"/>
      <c r="C338" s="3"/>
      <c r="D338" s="3"/>
      <c r="E338" s="3"/>
      <c r="F338" s="3"/>
      <c r="G338" s="3"/>
      <c r="H338" s="3"/>
      <c r="I338" s="3"/>
      <c r="J338" s="3"/>
      <c r="K338" s="20">
        <v>18160</v>
      </c>
      <c r="L338" s="20" t="str">
        <v>2+ Cars</v>
      </c>
      <c r="M338" s="20" t="str">
        <v>51-60</v>
      </c>
      <c r="N338" s="20" t="str">
        <v>5-10 Miles</v>
      </c>
      <c r="O338" s="20">
        <v>3</v>
      </c>
      <c r="P338" s="20" t="str">
        <v>High School</v>
      </c>
      <c r="Q338" s="20" t="str">
        <v>Europe</v>
      </c>
      <c r="R338" s="20" t="str">
        <v>Married</v>
      </c>
      <c r="S338" s="20" t="str">
        <v>$100k+</v>
      </c>
      <c r="T338" s="89">
        <v>0.44559884155156498</v>
      </c>
      <c r="U338" s="91">
        <v>41.40378958837637</v>
      </c>
      <c r="V338" s="49">
        <v>751</v>
      </c>
      <c r="W338" s="20">
        <v>8</v>
      </c>
      <c r="X338" s="20" t="str">
        <v>Cold</v>
      </c>
      <c r="Y338" s="20">
        <v>1</v>
      </c>
    </row>
    <row r="339" spans="1:25" ht="15" customHeight="1" x14ac:dyDescent="0.25">
      <c r="A339" s="3"/>
      <c r="B339" s="3"/>
      <c r="C339" s="3"/>
      <c r="D339" s="3"/>
      <c r="E339" s="3"/>
      <c r="F339" s="3"/>
      <c r="G339" s="3"/>
      <c r="H339" s="3"/>
      <c r="I339" s="3"/>
      <c r="J339" s="3"/>
      <c r="K339" s="20">
        <v>25241</v>
      </c>
      <c r="L339" s="20" t="str">
        <v>0-1 Cars</v>
      </c>
      <c r="M339" s="20" t="str">
        <v>41-50</v>
      </c>
      <c r="N339" s="20" t="str">
        <v>5-10 Miles</v>
      </c>
      <c r="O339" s="20">
        <v>2</v>
      </c>
      <c r="P339" s="20" t="str">
        <v>Bachelors</v>
      </c>
      <c r="Q339" s="20" t="str">
        <v>Pacific</v>
      </c>
      <c r="R339" s="20" t="str">
        <v>Married</v>
      </c>
      <c r="S339" s="20" t="str">
        <v>$70k-90k</v>
      </c>
      <c r="T339" s="89">
        <v>0.49823266824911938</v>
      </c>
      <c r="U339" s="91">
        <v>66.923486034527812</v>
      </c>
      <c r="V339" s="49">
        <v>390</v>
      </c>
      <c r="W339" s="20">
        <v>4</v>
      </c>
      <c r="X339" s="20" t="str">
        <v>Warm</v>
      </c>
      <c r="Y339" s="20">
        <v>0</v>
      </c>
    </row>
    <row r="340" spans="1:25" ht="15" customHeight="1" x14ac:dyDescent="0.25">
      <c r="A340" s="3"/>
      <c r="B340" s="3"/>
      <c r="C340" s="3"/>
      <c r="D340" s="3"/>
      <c r="E340" s="3"/>
      <c r="F340" s="3"/>
      <c r="G340" s="3"/>
      <c r="H340" s="3"/>
      <c r="I340" s="3"/>
      <c r="J340" s="3"/>
      <c r="K340" s="20">
        <v>24369</v>
      </c>
      <c r="L340" s="20" t="str">
        <v>2+ Cars</v>
      </c>
      <c r="M340" s="20" t="str">
        <v>31-40</v>
      </c>
      <c r="N340" s="20" t="str">
        <v>0-1 Miles</v>
      </c>
      <c r="O340" s="20">
        <v>5</v>
      </c>
      <c r="P340" s="20" t="str">
        <v>Graduate Degree</v>
      </c>
      <c r="Q340" s="20" t="str">
        <v>Pacific</v>
      </c>
      <c r="R340" s="20" t="str">
        <v>Married</v>
      </c>
      <c r="S340" s="20" t="str">
        <v>$70k-90k</v>
      </c>
      <c r="T340" s="89">
        <v>0.46915595674243199</v>
      </c>
      <c r="U340" s="91">
        <v>52.825539944329158</v>
      </c>
      <c r="V340" s="49">
        <v>584</v>
      </c>
      <c r="W340" s="20">
        <v>6</v>
      </c>
      <c r="X340" s="20" t="str">
        <v>Warm</v>
      </c>
      <c r="Y340" s="20">
        <v>0</v>
      </c>
    </row>
    <row r="341" spans="1:25" ht="15" customHeight="1" x14ac:dyDescent="0.25">
      <c r="A341" s="3"/>
      <c r="B341" s="3"/>
      <c r="C341" s="3"/>
      <c r="D341" s="3"/>
      <c r="E341" s="3"/>
      <c r="F341" s="3"/>
      <c r="G341" s="3"/>
      <c r="H341" s="3"/>
      <c r="I341" s="3"/>
      <c r="J341" s="3"/>
      <c r="K341" s="20">
        <v>27165</v>
      </c>
      <c r="L341" s="20" t="str">
        <v>2+ Cars</v>
      </c>
      <c r="M341" s="20" t="str">
        <v>31-40</v>
      </c>
      <c r="N341" s="20" t="str">
        <v>0-1 Miles</v>
      </c>
      <c r="O341" s="20">
        <v>0</v>
      </c>
      <c r="P341" s="20" t="str">
        <v>Partial High School</v>
      </c>
      <c r="Q341" s="20" t="str">
        <v>Europe</v>
      </c>
      <c r="R341" s="20" t="str">
        <v>Single</v>
      </c>
      <c r="S341" s="20" t="str">
        <v>$10k-30k</v>
      </c>
      <c r="T341" s="89">
        <v>0.46742044635744834</v>
      </c>
      <c r="U341" s="91">
        <v>51.984071615255822</v>
      </c>
      <c r="V341" s="49">
        <v>599</v>
      </c>
      <c r="W341" s="20">
        <v>6</v>
      </c>
      <c r="X341" s="20" t="str">
        <v>Warm</v>
      </c>
      <c r="Y341" s="20">
        <v>0</v>
      </c>
    </row>
    <row r="342" spans="1:25" ht="15" customHeight="1" x14ac:dyDescent="0.25">
      <c r="A342" s="3"/>
      <c r="B342" s="3"/>
      <c r="C342" s="3"/>
      <c r="D342" s="3"/>
      <c r="E342" s="3"/>
      <c r="F342" s="3"/>
      <c r="G342" s="3"/>
      <c r="H342" s="3"/>
      <c r="I342" s="3"/>
      <c r="J342" s="3"/>
      <c r="K342" s="20">
        <v>29424</v>
      </c>
      <c r="L342" s="20" t="str">
        <v>2+ Cars</v>
      </c>
      <c r="M342" s="20" t="str">
        <v>31-40</v>
      </c>
      <c r="N342" s="20" t="str">
        <v>0-1 Miles</v>
      </c>
      <c r="O342" s="20">
        <v>0</v>
      </c>
      <c r="P342" s="20" t="str">
        <v>Partial High School</v>
      </c>
      <c r="Q342" s="20" t="str">
        <v>Europe</v>
      </c>
      <c r="R342" s="20" t="str">
        <v>Married</v>
      </c>
      <c r="S342" s="20" t="str">
        <v>$10k-30k</v>
      </c>
      <c r="T342" s="89">
        <v>0.45774240364962321</v>
      </c>
      <c r="U342" s="91">
        <v>47.291638486351999</v>
      </c>
      <c r="V342" s="49">
        <v>664</v>
      </c>
      <c r="W342" s="20">
        <v>7</v>
      </c>
      <c r="X342" s="20" t="str">
        <v>Cold</v>
      </c>
      <c r="Y342" s="20">
        <v>0</v>
      </c>
    </row>
    <row r="343" spans="1:25" ht="15" customHeight="1" x14ac:dyDescent="0.25">
      <c r="A343" s="3"/>
      <c r="B343" s="3"/>
      <c r="C343" s="3"/>
      <c r="D343" s="3"/>
      <c r="E343" s="3"/>
      <c r="F343" s="3"/>
      <c r="G343" s="3"/>
      <c r="H343" s="3"/>
      <c r="I343" s="3"/>
      <c r="J343" s="3"/>
      <c r="K343" s="20">
        <v>15926</v>
      </c>
      <c r="L343" s="20" t="str">
        <v>2+ Cars</v>
      </c>
      <c r="M343" s="20" t="str">
        <v>41-50</v>
      </c>
      <c r="N343" s="20" t="str">
        <v>5-10 Miles</v>
      </c>
      <c r="O343" s="20">
        <v>3</v>
      </c>
      <c r="P343" s="20" t="str">
        <v>High School</v>
      </c>
      <c r="Q343" s="20" t="str">
        <v>Europe</v>
      </c>
      <c r="R343" s="20" t="str">
        <v>Single</v>
      </c>
      <c r="S343" s="20" t="str">
        <v>$100k+</v>
      </c>
      <c r="T343" s="89">
        <v>0.45717551453319216</v>
      </c>
      <c r="U343" s="91">
        <v>47.016780299561276</v>
      </c>
      <c r="V343" s="49">
        <v>672</v>
      </c>
      <c r="W343" s="20">
        <v>7</v>
      </c>
      <c r="X343" s="20" t="str">
        <v>Cold</v>
      </c>
      <c r="Y343" s="20">
        <v>1</v>
      </c>
    </row>
    <row r="344" spans="1:25" ht="15" customHeight="1" x14ac:dyDescent="0.25">
      <c r="A344" s="3"/>
      <c r="B344" s="3"/>
      <c r="C344" s="3"/>
      <c r="D344" s="3"/>
      <c r="E344" s="3"/>
      <c r="F344" s="3"/>
      <c r="G344" s="3"/>
      <c r="H344" s="3"/>
      <c r="I344" s="3"/>
      <c r="J344" s="3"/>
      <c r="K344" s="20">
        <v>14554</v>
      </c>
      <c r="L344" s="20" t="str">
        <v>0-1 Cars</v>
      </c>
      <c r="M344" s="20" t="str">
        <v>61+</v>
      </c>
      <c r="N344" s="20" t="str">
        <v>0-1 Miles</v>
      </c>
      <c r="O344" s="20">
        <v>1</v>
      </c>
      <c r="P344" s="20" t="str">
        <v>Bachelors</v>
      </c>
      <c r="Q344" s="20" t="str">
        <v>Europe</v>
      </c>
      <c r="R344" s="20" t="str">
        <v>Married</v>
      </c>
      <c r="S344" s="20" t="str">
        <v>$10k-30k</v>
      </c>
      <c r="T344" s="89">
        <v>0.49214213026608866</v>
      </c>
      <c r="U344" s="91">
        <v>63.970467219957726</v>
      </c>
      <c r="V344" s="49">
        <v>443</v>
      </c>
      <c r="W344" s="20">
        <v>5</v>
      </c>
      <c r="X344" s="20" t="str">
        <v>Warm</v>
      </c>
      <c r="Y344" s="20">
        <v>0</v>
      </c>
    </row>
    <row r="345" spans="1:25" ht="15" customHeight="1" x14ac:dyDescent="0.25">
      <c r="A345" s="3"/>
      <c r="B345" s="3"/>
      <c r="C345" s="3"/>
      <c r="D345" s="3"/>
      <c r="E345" s="3"/>
      <c r="F345" s="3"/>
      <c r="G345" s="3"/>
      <c r="H345" s="3"/>
      <c r="I345" s="3"/>
      <c r="J345" s="3"/>
      <c r="K345" s="20">
        <v>16468</v>
      </c>
      <c r="L345" s="20" t="str">
        <v>0-1 Cars</v>
      </c>
      <c r="M345" s="20" t="str">
        <v>25-30</v>
      </c>
      <c r="N345" s="20" t="str">
        <v>2-5 Miles</v>
      </c>
      <c r="O345" s="20">
        <v>0</v>
      </c>
      <c r="P345" s="20" t="str">
        <v>Partial College</v>
      </c>
      <c r="Q345" s="20" t="str">
        <v>Europe</v>
      </c>
      <c r="R345" s="20" t="str">
        <v>Single</v>
      </c>
      <c r="S345" s="20" t="str">
        <v>$10k-30k</v>
      </c>
      <c r="T345" s="89">
        <v>0.49399028666653072</v>
      </c>
      <c r="U345" s="91">
        <v>64.86655236678375</v>
      </c>
      <c r="V345" s="49">
        <v>421</v>
      </c>
      <c r="W345" s="20">
        <v>5</v>
      </c>
      <c r="X345" s="20" t="str">
        <v>Warm</v>
      </c>
      <c r="Y345" s="20">
        <v>0</v>
      </c>
    </row>
    <row r="346" spans="1:25" ht="15" customHeight="1" x14ac:dyDescent="0.25">
      <c r="A346" s="3"/>
      <c r="B346" s="3"/>
      <c r="C346" s="3"/>
      <c r="D346" s="3"/>
      <c r="E346" s="3"/>
      <c r="F346" s="3"/>
      <c r="G346" s="3"/>
      <c r="H346" s="3"/>
      <c r="I346" s="3"/>
      <c r="J346" s="3"/>
      <c r="K346" s="20">
        <v>19174</v>
      </c>
      <c r="L346" s="20" t="str">
        <v>0-1 Cars</v>
      </c>
      <c r="M346" s="20" t="str">
        <v>31-40</v>
      </c>
      <c r="N346" s="20" t="str">
        <v>2-5 Miles</v>
      </c>
      <c r="O346" s="20">
        <v>0</v>
      </c>
      <c r="P346" s="20" t="str">
        <v>High School</v>
      </c>
      <c r="Q346" s="20" t="str">
        <v>Europe</v>
      </c>
      <c r="R346" s="20" t="str">
        <v>Single</v>
      </c>
      <c r="S346" s="20" t="str">
        <v>$10k-30k</v>
      </c>
      <c r="T346" s="89">
        <v>0.53392383828606993</v>
      </c>
      <c r="U346" s="91">
        <v>84.228475663816454</v>
      </c>
      <c r="V346" s="49">
        <v>164</v>
      </c>
      <c r="W346" s="20">
        <v>2</v>
      </c>
      <c r="X346" s="20" t="str">
        <v>Hot</v>
      </c>
      <c r="Y346" s="20">
        <v>1</v>
      </c>
    </row>
    <row r="347" spans="1:25" ht="15" customHeight="1" x14ac:dyDescent="0.25">
      <c r="A347" s="3"/>
      <c r="B347" s="3"/>
      <c r="C347" s="3"/>
      <c r="D347" s="3"/>
      <c r="E347" s="3"/>
      <c r="F347" s="3"/>
      <c r="G347" s="3"/>
      <c r="H347" s="3"/>
      <c r="I347" s="3"/>
      <c r="J347" s="3"/>
      <c r="K347" s="20">
        <v>19183</v>
      </c>
      <c r="L347" s="20" t="str">
        <v>2+ Cars</v>
      </c>
      <c r="M347" s="20" t="str">
        <v>31-40</v>
      </c>
      <c r="N347" s="20" t="str">
        <v>1-2 Miles</v>
      </c>
      <c r="O347" s="20">
        <v>0</v>
      </c>
      <c r="P347" s="20" t="str">
        <v>Partial High School</v>
      </c>
      <c r="Q347" s="20" t="str">
        <v>Europe</v>
      </c>
      <c r="R347" s="20" t="str">
        <v>Single</v>
      </c>
      <c r="S347" s="20" t="str">
        <v>$10k-30k</v>
      </c>
      <c r="T347" s="89">
        <v>0.45431729951514982</v>
      </c>
      <c r="U347" s="91">
        <v>45.630964670813512</v>
      </c>
      <c r="V347" s="49">
        <v>706</v>
      </c>
      <c r="W347" s="20">
        <v>8</v>
      </c>
      <c r="X347" s="20" t="str">
        <v>Cold</v>
      </c>
      <c r="Y347" s="20">
        <v>0</v>
      </c>
    </row>
    <row r="348" spans="1:25" ht="15" customHeight="1" x14ac:dyDescent="0.25">
      <c r="A348" s="3"/>
      <c r="B348" s="3"/>
      <c r="C348" s="3"/>
      <c r="D348" s="3"/>
      <c r="E348" s="3"/>
      <c r="F348" s="3"/>
      <c r="G348" s="3"/>
      <c r="H348" s="3"/>
      <c r="I348" s="3"/>
      <c r="J348" s="3"/>
      <c r="K348" s="20">
        <v>13683</v>
      </c>
      <c r="L348" s="20" t="str">
        <v>0-1 Cars</v>
      </c>
      <c r="M348" s="20" t="str">
        <v>31-40</v>
      </c>
      <c r="N348" s="20" t="str">
        <v>2-5 Miles</v>
      </c>
      <c r="O348" s="20">
        <v>0</v>
      </c>
      <c r="P348" s="20" t="str">
        <v>High School</v>
      </c>
      <c r="Q348" s="20" t="str">
        <v>Europe</v>
      </c>
      <c r="R348" s="20" t="str">
        <v>Single</v>
      </c>
      <c r="S348" s="20" t="str">
        <v>$10k-30k</v>
      </c>
      <c r="T348" s="89">
        <v>0.53392383828606993</v>
      </c>
      <c r="U348" s="91">
        <v>84.228475663816454</v>
      </c>
      <c r="V348" s="49">
        <v>163</v>
      </c>
      <c r="W348" s="20">
        <v>2</v>
      </c>
      <c r="X348" s="20" t="str">
        <v>Hot</v>
      </c>
      <c r="Y348" s="20">
        <v>0</v>
      </c>
    </row>
    <row r="349" spans="1:25" ht="15" customHeight="1" x14ac:dyDescent="0.25">
      <c r="A349" s="3"/>
      <c r="B349" s="3"/>
      <c r="C349" s="3"/>
      <c r="D349" s="3"/>
      <c r="E349" s="3"/>
      <c r="F349" s="3"/>
      <c r="G349" s="3"/>
      <c r="H349" s="3"/>
      <c r="I349" s="3"/>
      <c r="J349" s="3"/>
      <c r="K349" s="20">
        <v>17848</v>
      </c>
      <c r="L349" s="20" t="str">
        <v>0-1 Cars</v>
      </c>
      <c r="M349" s="20" t="str">
        <v>31-40</v>
      </c>
      <c r="N349" s="20" t="str">
        <v>2-5 Miles</v>
      </c>
      <c r="O349" s="20">
        <v>0</v>
      </c>
      <c r="P349" s="20" t="str">
        <v>Partial College</v>
      </c>
      <c r="Q349" s="20" t="str">
        <v>Europe</v>
      </c>
      <c r="R349" s="20" t="str">
        <v>Single</v>
      </c>
      <c r="S349" s="20" t="str">
        <v>$10k-30k</v>
      </c>
      <c r="T349" s="89">
        <v>0.53487751453984622</v>
      </c>
      <c r="U349" s="91">
        <v>84.69086895785</v>
      </c>
      <c r="V349" s="49">
        <v>152</v>
      </c>
      <c r="W349" s="20">
        <v>2</v>
      </c>
      <c r="X349" s="20" t="str">
        <v>Hot</v>
      </c>
      <c r="Y349" s="20">
        <v>1</v>
      </c>
    </row>
    <row r="350" spans="1:25" ht="15" customHeight="1" x14ac:dyDescent="0.25">
      <c r="A350" s="3"/>
      <c r="B350" s="3"/>
      <c r="C350" s="3"/>
      <c r="D350" s="3"/>
      <c r="E350" s="3"/>
      <c r="F350" s="3"/>
      <c r="G350" s="3"/>
      <c r="H350" s="3"/>
      <c r="I350" s="3"/>
      <c r="J350" s="3"/>
      <c r="K350" s="20">
        <v>17894</v>
      </c>
      <c r="L350" s="20" t="str">
        <v>0-1 Cars</v>
      </c>
      <c r="M350" s="20" t="str">
        <v>41-50</v>
      </c>
      <c r="N350" s="20" t="str">
        <v>0-1 Miles</v>
      </c>
      <c r="O350" s="20">
        <v>1</v>
      </c>
      <c r="P350" s="20" t="str">
        <v>Bachelors</v>
      </c>
      <c r="Q350" s="20" t="str">
        <v>Europe</v>
      </c>
      <c r="R350" s="20" t="str">
        <v>Married</v>
      </c>
      <c r="S350" s="20" t="str">
        <v>$10k-30k</v>
      </c>
      <c r="T350" s="89">
        <v>0.51870348096830421</v>
      </c>
      <c r="U350" s="91">
        <v>76.848831755664335</v>
      </c>
      <c r="V350" s="49">
        <v>264</v>
      </c>
      <c r="W350" s="20">
        <v>3</v>
      </c>
      <c r="X350" s="20" t="str">
        <v>Hot</v>
      </c>
      <c r="Y350" s="20">
        <v>1</v>
      </c>
    </row>
    <row r="351" spans="1:25" ht="15" customHeight="1" x14ac:dyDescent="0.25">
      <c r="A351" s="3"/>
      <c r="B351" s="3"/>
      <c r="C351" s="3"/>
      <c r="D351" s="3"/>
      <c r="E351" s="3"/>
      <c r="F351" s="3"/>
      <c r="G351" s="3"/>
      <c r="H351" s="3"/>
      <c r="I351" s="3"/>
      <c r="J351" s="3"/>
      <c r="K351" s="20">
        <v>25651</v>
      </c>
      <c r="L351" s="20" t="str">
        <v>0-1 Cars</v>
      </c>
      <c r="M351" s="20" t="str">
        <v>41-50</v>
      </c>
      <c r="N351" s="20" t="str">
        <v>0-1 Miles</v>
      </c>
      <c r="O351" s="20">
        <v>1</v>
      </c>
      <c r="P351" s="20" t="str">
        <v>Bachelors</v>
      </c>
      <c r="Q351" s="20" t="str">
        <v>Europe</v>
      </c>
      <c r="R351" s="20" t="str">
        <v>Married</v>
      </c>
      <c r="S351" s="20" t="str">
        <v>$40k-60k</v>
      </c>
      <c r="T351" s="89">
        <v>0.52952886380755659</v>
      </c>
      <c r="U351" s="91">
        <v>82.097556792484326</v>
      </c>
      <c r="V351" s="49">
        <v>202</v>
      </c>
      <c r="W351" s="20">
        <v>3</v>
      </c>
      <c r="X351" s="20" t="str">
        <v>Hot</v>
      </c>
      <c r="Y351" s="20">
        <v>1</v>
      </c>
    </row>
    <row r="352" spans="1:25" ht="15" customHeight="1" x14ac:dyDescent="0.25">
      <c r="A352" s="3"/>
      <c r="B352" s="3"/>
      <c r="C352" s="3"/>
      <c r="D352" s="3"/>
      <c r="E352" s="3"/>
      <c r="F352" s="3"/>
      <c r="G352" s="3"/>
      <c r="H352" s="3"/>
      <c r="I352" s="3"/>
      <c r="J352" s="3"/>
      <c r="K352" s="20">
        <v>22936</v>
      </c>
      <c r="L352" s="20" t="str">
        <v>0-1 Cars</v>
      </c>
      <c r="M352" s="20" t="str">
        <v>41-50</v>
      </c>
      <c r="N352" s="20" t="str">
        <v>0-1 Miles</v>
      </c>
      <c r="O352" s="20">
        <v>1</v>
      </c>
      <c r="P352" s="20" t="str">
        <v>Partial College</v>
      </c>
      <c r="Q352" s="20" t="str">
        <v>Pacific</v>
      </c>
      <c r="R352" s="20" t="str">
        <v>Single</v>
      </c>
      <c r="S352" s="20" t="str">
        <v>$40k-60k</v>
      </c>
      <c r="T352" s="89">
        <v>0.53511800935324827</v>
      </c>
      <c r="U352" s="91">
        <v>84.807473716044029</v>
      </c>
      <c r="V352" s="49">
        <v>146</v>
      </c>
      <c r="W352" s="20">
        <v>2</v>
      </c>
      <c r="X352" s="20" t="str">
        <v>Hot</v>
      </c>
      <c r="Y352" s="20">
        <v>1</v>
      </c>
    </row>
    <row r="353" spans="1:25" ht="15" customHeight="1" x14ac:dyDescent="0.25">
      <c r="A353" s="3"/>
      <c r="B353" s="3"/>
      <c r="C353" s="3"/>
      <c r="D353" s="3"/>
      <c r="E353" s="3"/>
      <c r="F353" s="3"/>
      <c r="G353" s="3"/>
      <c r="H353" s="3"/>
      <c r="I353" s="3"/>
      <c r="J353" s="3"/>
      <c r="K353" s="20">
        <v>23915</v>
      </c>
      <c r="L353" s="20" t="str">
        <v>2+ Cars</v>
      </c>
      <c r="M353" s="20" t="str">
        <v>41-50</v>
      </c>
      <c r="N353" s="20" t="str">
        <v>0-1 Miles</v>
      </c>
      <c r="O353" s="20">
        <v>2</v>
      </c>
      <c r="P353" s="20" t="str">
        <v>High School</v>
      </c>
      <c r="Q353" s="20" t="str">
        <v>Europe</v>
      </c>
      <c r="R353" s="20" t="str">
        <v>Married</v>
      </c>
      <c r="S353" s="20" t="str">
        <v>$10k-30k</v>
      </c>
      <c r="T353" s="89">
        <v>0.4510039449223221</v>
      </c>
      <c r="U353" s="91">
        <v>44.024473014538898</v>
      </c>
      <c r="V353" s="49">
        <v>724</v>
      </c>
      <c r="W353" s="20">
        <v>8</v>
      </c>
      <c r="X353" s="20" t="str">
        <v>Cold</v>
      </c>
      <c r="Y353" s="20">
        <v>0</v>
      </c>
    </row>
    <row r="354" spans="1:25" ht="15" customHeight="1" x14ac:dyDescent="0.25">
      <c r="A354" s="3"/>
      <c r="B354" s="3"/>
      <c r="C354" s="3"/>
      <c r="D354" s="3"/>
      <c r="E354" s="3"/>
      <c r="F354" s="3"/>
      <c r="G354" s="3"/>
      <c r="H354" s="3"/>
      <c r="I354" s="3"/>
      <c r="J354" s="3"/>
      <c r="K354" s="20">
        <v>24121</v>
      </c>
      <c r="L354" s="20" t="str">
        <v>0-1 Cars</v>
      </c>
      <c r="M354" s="20" t="str">
        <v>25-30</v>
      </c>
      <c r="N354" s="20" t="str">
        <v>0-1 Miles</v>
      </c>
      <c r="O354" s="20">
        <v>0</v>
      </c>
      <c r="P354" s="20" t="str">
        <v>Partial College</v>
      </c>
      <c r="Q354" s="20" t="str">
        <v>Europe</v>
      </c>
      <c r="R354" s="20" t="str">
        <v>Single</v>
      </c>
      <c r="S354" s="20" t="str">
        <v>$10k-30k</v>
      </c>
      <c r="T354" s="89">
        <v>0.4882237652508587</v>
      </c>
      <c r="U354" s="91">
        <v>62.07063412728742</v>
      </c>
      <c r="V354" s="49">
        <v>460</v>
      </c>
      <c r="W354" s="20">
        <v>5</v>
      </c>
      <c r="X354" s="20" t="str">
        <v>Warm</v>
      </c>
      <c r="Y354" s="20">
        <v>1</v>
      </c>
    </row>
    <row r="355" spans="1:25" ht="15" customHeight="1" x14ac:dyDescent="0.25">
      <c r="A355" s="3"/>
      <c r="B355" s="3"/>
      <c r="C355" s="3"/>
      <c r="D355" s="3"/>
      <c r="E355" s="3"/>
      <c r="F355" s="3"/>
      <c r="G355" s="3"/>
      <c r="H355" s="3"/>
      <c r="I355" s="3"/>
      <c r="J355" s="3"/>
      <c r="K355" s="20">
        <v>27878</v>
      </c>
      <c r="L355" s="20" t="str">
        <v>0-1 Cars</v>
      </c>
      <c r="M355" s="20" t="str">
        <v>25-30</v>
      </c>
      <c r="N355" s="20" t="str">
        <v>0-1 Miles</v>
      </c>
      <c r="O355" s="20">
        <v>0</v>
      </c>
      <c r="P355" s="20" t="str">
        <v>Partial College</v>
      </c>
      <c r="Q355" s="20" t="str">
        <v>Pacific</v>
      </c>
      <c r="R355" s="20" t="str">
        <v>Single</v>
      </c>
      <c r="S355" s="20" t="str">
        <v>$10k-30k</v>
      </c>
      <c r="T355" s="89">
        <v>0.49689422629566654</v>
      </c>
      <c r="U355" s="91">
        <v>66.274537734432101</v>
      </c>
      <c r="V355" s="49">
        <v>403</v>
      </c>
      <c r="W355" s="20">
        <v>5</v>
      </c>
      <c r="X355" s="20" t="str">
        <v>Warm</v>
      </c>
      <c r="Y355" s="20">
        <v>1</v>
      </c>
    </row>
    <row r="356" spans="1:25" ht="15" customHeight="1" x14ac:dyDescent="0.25">
      <c r="A356" s="3"/>
      <c r="B356" s="3"/>
      <c r="C356" s="3"/>
      <c r="D356" s="3"/>
      <c r="E356" s="3"/>
      <c r="F356" s="3"/>
      <c r="G356" s="3"/>
      <c r="H356" s="3"/>
      <c r="I356" s="3"/>
      <c r="J356" s="3"/>
      <c r="K356" s="20">
        <v>13572</v>
      </c>
      <c r="L356" s="20" t="str">
        <v>0-1 Cars</v>
      </c>
      <c r="M356" s="20" t="str">
        <v>31-40</v>
      </c>
      <c r="N356" s="20" t="str">
        <v>0-1 Miles</v>
      </c>
      <c r="O356" s="20">
        <v>3</v>
      </c>
      <c r="P356" s="20" t="str">
        <v>High School</v>
      </c>
      <c r="Q356" s="20" t="str">
        <v>Europe</v>
      </c>
      <c r="R356" s="20" t="str">
        <v>Single</v>
      </c>
      <c r="S356" s="20" t="str">
        <v>$10k-30k</v>
      </c>
      <c r="T356" s="89">
        <v>0.5336406222405603</v>
      </c>
      <c r="U356" s="91">
        <v>84.091157365612204</v>
      </c>
      <c r="V356" s="49">
        <v>169</v>
      </c>
      <c r="W356" s="20">
        <v>2</v>
      </c>
      <c r="X356" s="20" t="str">
        <v>Hot</v>
      </c>
      <c r="Y356" s="20">
        <v>1</v>
      </c>
    </row>
    <row r="357" spans="1:25" ht="15" customHeight="1" x14ac:dyDescent="0.25">
      <c r="A357" s="3"/>
      <c r="B357" s="3"/>
      <c r="C357" s="3"/>
      <c r="D357" s="3"/>
      <c r="E357" s="3"/>
      <c r="F357" s="3"/>
      <c r="G357" s="3"/>
      <c r="H357" s="3"/>
      <c r="I357" s="3"/>
      <c r="J357" s="3"/>
      <c r="K357" s="20">
        <v>27941</v>
      </c>
      <c r="L357" s="20" t="str">
        <v>2+ Cars</v>
      </c>
      <c r="M357" s="20" t="str">
        <v>51-60</v>
      </c>
      <c r="N357" s="20" t="str">
        <v>2-5 Miles</v>
      </c>
      <c r="O357" s="20">
        <v>4</v>
      </c>
      <c r="P357" s="20" t="str">
        <v>Partial College</v>
      </c>
      <c r="Q357" s="20" t="str">
        <v>Europe</v>
      </c>
      <c r="R357" s="20" t="str">
        <v>Married</v>
      </c>
      <c r="S357" s="20" t="str">
        <v>$70k-90k</v>
      </c>
      <c r="T357" s="89">
        <v>0.45874395148803265</v>
      </c>
      <c r="U357" s="91">
        <v>47.777242486976483</v>
      </c>
      <c r="V357" s="49">
        <v>656</v>
      </c>
      <c r="W357" s="20">
        <v>7</v>
      </c>
      <c r="X357" s="20" t="str">
        <v>Cold</v>
      </c>
      <c r="Y357" s="20">
        <v>0</v>
      </c>
    </row>
    <row r="358" spans="1:25" ht="15" customHeight="1" x14ac:dyDescent="0.25">
      <c r="A358" s="3"/>
      <c r="B358" s="3"/>
      <c r="C358" s="3"/>
      <c r="D358" s="3"/>
      <c r="E358" s="3"/>
      <c r="F358" s="3"/>
      <c r="G358" s="3"/>
      <c r="H358" s="3"/>
      <c r="I358" s="3"/>
      <c r="J358" s="3"/>
      <c r="K358" s="20">
        <v>26354</v>
      </c>
      <c r="L358" s="20" t="str">
        <v>0-1 Cars</v>
      </c>
      <c r="M358" s="20" t="str">
        <v>31-40</v>
      </c>
      <c r="N358" s="20" t="str">
        <v>0-1 Miles</v>
      </c>
      <c r="O358" s="20">
        <v>0</v>
      </c>
      <c r="P358" s="20" t="str">
        <v>Graduate Degree</v>
      </c>
      <c r="Q358" s="20" t="str">
        <v>Europe</v>
      </c>
      <c r="R358" s="20" t="str">
        <v>Single</v>
      </c>
      <c r="S358" s="20" t="str">
        <v>$40k-60k</v>
      </c>
      <c r="T358" s="89">
        <v>0.5512054017750383</v>
      </c>
      <c r="U358" s="91">
        <v>92.607502651300493</v>
      </c>
      <c r="V358" s="49">
        <v>44</v>
      </c>
      <c r="W358" s="20">
        <v>1</v>
      </c>
      <c r="X358" s="20" t="str">
        <v>Hot</v>
      </c>
      <c r="Y358" s="20">
        <v>1</v>
      </c>
    </row>
    <row r="359" spans="1:25" ht="15" customHeight="1" x14ac:dyDescent="0.25">
      <c r="A359" s="3"/>
      <c r="B359" s="3"/>
      <c r="C359" s="3"/>
      <c r="D359" s="3"/>
      <c r="E359" s="3"/>
      <c r="F359" s="3"/>
      <c r="G359" s="3"/>
      <c r="H359" s="3"/>
      <c r="I359" s="3"/>
      <c r="J359" s="3"/>
      <c r="K359" s="20">
        <v>14785</v>
      </c>
      <c r="L359" s="20" t="str">
        <v>0-1 Cars</v>
      </c>
      <c r="M359" s="20" t="str">
        <v>31-40</v>
      </c>
      <c r="N359" s="20" t="str">
        <v>1-2 Miles</v>
      </c>
      <c r="O359" s="20">
        <v>1</v>
      </c>
      <c r="P359" s="20" t="str">
        <v>Bachelors</v>
      </c>
      <c r="Q359" s="20" t="str">
        <v>Europe</v>
      </c>
      <c r="R359" s="20" t="str">
        <v>Single</v>
      </c>
      <c r="S359" s="20" t="str">
        <v>$10k-30k</v>
      </c>
      <c r="T359" s="89">
        <v>0.53830874356790026</v>
      </c>
      <c r="U359" s="91">
        <v>86.354512449635706</v>
      </c>
      <c r="V359" s="49">
        <v>124</v>
      </c>
      <c r="W359" s="20">
        <v>2</v>
      </c>
      <c r="X359" s="20" t="str">
        <v>Hot</v>
      </c>
      <c r="Y359" s="20">
        <v>0</v>
      </c>
    </row>
    <row r="360" spans="1:25" ht="15" customHeight="1" x14ac:dyDescent="0.25">
      <c r="A360" s="3"/>
      <c r="B360" s="3"/>
      <c r="C360" s="3"/>
      <c r="D360" s="3"/>
      <c r="E360" s="3"/>
      <c r="F360" s="3"/>
      <c r="G360" s="3"/>
      <c r="H360" s="3"/>
      <c r="I360" s="3"/>
      <c r="J360" s="3"/>
      <c r="K360" s="20">
        <v>17238</v>
      </c>
      <c r="L360" s="20" t="str">
        <v>2+ Cars</v>
      </c>
      <c r="M360" s="20" t="str">
        <v>31-40</v>
      </c>
      <c r="N360" s="20" t="str">
        <v>10+ Miles</v>
      </c>
      <c r="O360" s="20">
        <v>0</v>
      </c>
      <c r="P360" s="20" t="str">
        <v>Bachelors</v>
      </c>
      <c r="Q360" s="20" t="str">
        <v>Pacific</v>
      </c>
      <c r="R360" s="20" t="str">
        <v>Single</v>
      </c>
      <c r="S360" s="20" t="str">
        <v>$70k-90k</v>
      </c>
      <c r="T360" s="89">
        <v>0.48374381756216484</v>
      </c>
      <c r="U360" s="91">
        <v>59.898515695407994</v>
      </c>
      <c r="V360" s="49">
        <v>485</v>
      </c>
      <c r="W360" s="20">
        <v>5</v>
      </c>
      <c r="X360" s="20" t="str">
        <v>Warm</v>
      </c>
      <c r="Y360" s="20">
        <v>0</v>
      </c>
    </row>
    <row r="361" spans="1:25" ht="15" customHeight="1" x14ac:dyDescent="0.25">
      <c r="A361" s="3"/>
      <c r="B361" s="3"/>
      <c r="C361" s="3"/>
      <c r="D361" s="3"/>
      <c r="E361" s="3"/>
      <c r="F361" s="3"/>
      <c r="G361" s="3"/>
      <c r="H361" s="3"/>
      <c r="I361" s="3"/>
      <c r="J361" s="3"/>
      <c r="K361" s="20">
        <v>23608</v>
      </c>
      <c r="L361" s="20" t="str">
        <v>2+ Cars</v>
      </c>
      <c r="M361" s="20" t="str">
        <v>51-60</v>
      </c>
      <c r="N361" s="20" t="str">
        <v>0-1 Miles</v>
      </c>
      <c r="O361" s="20">
        <v>3</v>
      </c>
      <c r="P361" s="20" t="str">
        <v>High School</v>
      </c>
      <c r="Q361" s="20" t="str">
        <v>Europe</v>
      </c>
      <c r="R361" s="20" t="str">
        <v>Married</v>
      </c>
      <c r="S361" s="20" t="str">
        <v>$100k+</v>
      </c>
      <c r="T361" s="89">
        <v>0.46732731322764332</v>
      </c>
      <c r="U361" s="91">
        <v>51.938915688909034</v>
      </c>
      <c r="V361" s="49">
        <v>600</v>
      </c>
      <c r="W361" s="20">
        <v>6</v>
      </c>
      <c r="X361" s="20" t="str">
        <v>Warm</v>
      </c>
      <c r="Y361" s="20">
        <v>1</v>
      </c>
    </row>
    <row r="362" spans="1:25" ht="15" customHeight="1" x14ac:dyDescent="0.25">
      <c r="A362" s="3"/>
      <c r="B362" s="3"/>
      <c r="C362" s="3"/>
      <c r="D362" s="3"/>
      <c r="E362" s="3"/>
      <c r="F362" s="3"/>
      <c r="G362" s="3"/>
      <c r="H362" s="3"/>
      <c r="I362" s="3"/>
      <c r="J362" s="3"/>
      <c r="K362" s="20">
        <v>22538</v>
      </c>
      <c r="L362" s="20" t="str">
        <v>2+ Cars</v>
      </c>
      <c r="M362" s="20" t="str">
        <v>31-40</v>
      </c>
      <c r="N362" s="20" t="str">
        <v>1-2 Miles</v>
      </c>
      <c r="O362" s="20">
        <v>0</v>
      </c>
      <c r="P362" s="20" t="str">
        <v>Partial High School</v>
      </c>
      <c r="Q362" s="20" t="str">
        <v>Europe</v>
      </c>
      <c r="R362" s="20" t="str">
        <v>Single</v>
      </c>
      <c r="S362" s="20" t="str">
        <v>$10k-30k</v>
      </c>
      <c r="T362" s="89">
        <v>0.45431729951514982</v>
      </c>
      <c r="U362" s="91">
        <v>45.630964670813512</v>
      </c>
      <c r="V362" s="49">
        <v>707</v>
      </c>
      <c r="W362" s="20">
        <v>8</v>
      </c>
      <c r="X362" s="20" t="str">
        <v>Cold</v>
      </c>
      <c r="Y362" s="20">
        <v>0</v>
      </c>
    </row>
    <row r="363" spans="1:25" ht="15" customHeight="1" x14ac:dyDescent="0.25">
      <c r="A363" s="3"/>
      <c r="B363" s="3"/>
      <c r="C363" s="3"/>
      <c r="D363" s="3"/>
      <c r="E363" s="3"/>
      <c r="F363" s="3"/>
      <c r="G363" s="3"/>
      <c r="H363" s="3"/>
      <c r="I363" s="3"/>
      <c r="J363" s="3"/>
      <c r="K363" s="20">
        <v>12332</v>
      </c>
      <c r="L363" s="20" t="str">
        <v>2+ Cars</v>
      </c>
      <c r="M363" s="20" t="str">
        <v>51-60</v>
      </c>
      <c r="N363" s="20" t="str">
        <v>5-10 Miles</v>
      </c>
      <c r="O363" s="20">
        <v>4</v>
      </c>
      <c r="P363" s="20" t="str">
        <v>High School</v>
      </c>
      <c r="Q363" s="20" t="str">
        <v>Europe</v>
      </c>
      <c r="R363" s="20" t="str">
        <v>Married</v>
      </c>
      <c r="S363" s="20" t="str">
        <v>$70k-90k</v>
      </c>
      <c r="T363" s="89">
        <v>0.43029528214250601</v>
      </c>
      <c r="U363" s="91">
        <v>33.98380485291392</v>
      </c>
      <c r="V363" s="49">
        <v>839</v>
      </c>
      <c r="W363" s="20">
        <v>9</v>
      </c>
      <c r="X363" s="20" t="str">
        <v>Cold</v>
      </c>
      <c r="Y363" s="20">
        <v>1</v>
      </c>
    </row>
    <row r="364" spans="1:25" ht="15" customHeight="1" x14ac:dyDescent="0.25">
      <c r="A364" s="3"/>
      <c r="B364" s="3"/>
      <c r="C364" s="3"/>
      <c r="D364" s="3"/>
      <c r="E364" s="3"/>
      <c r="F364" s="3"/>
      <c r="G364" s="3"/>
      <c r="H364" s="3"/>
      <c r="I364" s="3"/>
      <c r="J364" s="3"/>
      <c r="K364" s="20">
        <v>17230</v>
      </c>
      <c r="L364" s="20" t="str">
        <v>2+ Cars</v>
      </c>
      <c r="M364" s="20" t="str">
        <v>25-30</v>
      </c>
      <c r="N364" s="20" t="str">
        <v>10+ Miles</v>
      </c>
      <c r="O364" s="20">
        <v>0</v>
      </c>
      <c r="P364" s="20" t="str">
        <v>Bachelors</v>
      </c>
      <c r="Q364" s="20" t="str">
        <v>Pacific</v>
      </c>
      <c r="R364" s="20" t="str">
        <v>Married</v>
      </c>
      <c r="S364" s="20" t="str">
        <v>$70k-90k</v>
      </c>
      <c r="T364" s="89">
        <v>0.43317854698102426</v>
      </c>
      <c r="U364" s="91">
        <v>35.381765975437936</v>
      </c>
      <c r="V364" s="49">
        <v>815</v>
      </c>
      <c r="W364" s="20">
        <v>9</v>
      </c>
      <c r="X364" s="20" t="str">
        <v>Cold</v>
      </c>
      <c r="Y364" s="20">
        <v>0</v>
      </c>
    </row>
    <row r="365" spans="1:25" ht="15" customHeight="1" x14ac:dyDescent="0.25">
      <c r="A365" s="3"/>
      <c r="B365" s="3"/>
      <c r="C365" s="3"/>
      <c r="D365" s="3"/>
      <c r="E365" s="3"/>
      <c r="F365" s="3"/>
      <c r="G365" s="3"/>
      <c r="H365" s="3"/>
      <c r="I365" s="3"/>
      <c r="J365" s="3"/>
      <c r="K365" s="20">
        <v>13082</v>
      </c>
      <c r="L365" s="20" t="str">
        <v>0-1 Cars</v>
      </c>
      <c r="M365" s="20" t="str">
        <v>41-50</v>
      </c>
      <c r="N365" s="20" t="str">
        <v>2-5 Miles</v>
      </c>
      <c r="O365" s="20">
        <v>0</v>
      </c>
      <c r="P365" s="20" t="str">
        <v>Graduate Degree</v>
      </c>
      <c r="Q365" s="20" t="str">
        <v>Pacific</v>
      </c>
      <c r="R365" s="20" t="str">
        <v>Single</v>
      </c>
      <c r="S365" s="20" t="str">
        <v>$100k+</v>
      </c>
      <c r="T365" s="89">
        <v>0.53879381488368827</v>
      </c>
      <c r="U365" s="91">
        <v>86.589700987318452</v>
      </c>
      <c r="V365" s="49">
        <v>118</v>
      </c>
      <c r="W365" s="20">
        <v>2</v>
      </c>
      <c r="X365" s="20" t="str">
        <v>Hot</v>
      </c>
      <c r="Y365" s="20">
        <v>1</v>
      </c>
    </row>
    <row r="366" spans="1:25" ht="15" customHeight="1" x14ac:dyDescent="0.25">
      <c r="A366" s="3"/>
      <c r="B366" s="3"/>
      <c r="C366" s="3"/>
      <c r="D366" s="3"/>
      <c r="E366" s="3"/>
      <c r="F366" s="3"/>
      <c r="G366" s="3"/>
      <c r="H366" s="3"/>
      <c r="I366" s="3"/>
      <c r="J366" s="3"/>
      <c r="K366" s="20">
        <v>22518</v>
      </c>
      <c r="L366" s="20" t="str">
        <v>2+ Cars</v>
      </c>
      <c r="M366" s="20" t="str">
        <v>25-30</v>
      </c>
      <c r="N366" s="20" t="str">
        <v>0-1 Miles</v>
      </c>
      <c r="O366" s="20">
        <v>3</v>
      </c>
      <c r="P366" s="20" t="str">
        <v>Partial College</v>
      </c>
      <c r="Q366" s="20" t="str">
        <v>Europe</v>
      </c>
      <c r="R366" s="20" t="str">
        <v>Single</v>
      </c>
      <c r="S366" s="20" t="str">
        <v>$10k-30k</v>
      </c>
      <c r="T366" s="89">
        <v>0.45499362110230884</v>
      </c>
      <c r="U366" s="91">
        <v>45.95888157686435</v>
      </c>
      <c r="V366" s="49">
        <v>695</v>
      </c>
      <c r="W366" s="20">
        <v>7</v>
      </c>
      <c r="X366" s="20" t="str">
        <v>Cold</v>
      </c>
      <c r="Y366" s="20">
        <v>1</v>
      </c>
    </row>
    <row r="367" spans="1:25" ht="15" customHeight="1" x14ac:dyDescent="0.25">
      <c r="A367" s="3"/>
      <c r="B367" s="3"/>
      <c r="C367" s="3"/>
      <c r="D367" s="3"/>
      <c r="E367" s="3"/>
      <c r="F367" s="3"/>
      <c r="G367" s="3"/>
      <c r="H367" s="3"/>
      <c r="I367" s="3"/>
      <c r="J367" s="3"/>
      <c r="K367" s="20">
        <v>13687</v>
      </c>
      <c r="L367" s="20" t="str">
        <v>0-1 Cars</v>
      </c>
      <c r="M367" s="20" t="str">
        <v>31-40</v>
      </c>
      <c r="N367" s="20" t="str">
        <v>0-1 Miles</v>
      </c>
      <c r="O367" s="20">
        <v>1</v>
      </c>
      <c r="P367" s="20" t="str">
        <v>Bachelors</v>
      </c>
      <c r="Q367" s="20" t="str">
        <v>Europe</v>
      </c>
      <c r="R367" s="20" t="str">
        <v>Married</v>
      </c>
      <c r="S367" s="20" t="str">
        <v>$40k-60k</v>
      </c>
      <c r="T367" s="89">
        <v>0.55255923054162592</v>
      </c>
      <c r="U367" s="91">
        <v>93.263911301994114</v>
      </c>
      <c r="V367" s="49">
        <v>26</v>
      </c>
      <c r="W367" s="20">
        <v>1</v>
      </c>
      <c r="X367" s="20" t="str">
        <v>Hot</v>
      </c>
      <c r="Y367" s="20">
        <v>1</v>
      </c>
    </row>
    <row r="368" spans="1:25" ht="15" customHeight="1" x14ac:dyDescent="0.25">
      <c r="A368" s="3"/>
      <c r="B368" s="3"/>
      <c r="C368" s="3"/>
      <c r="D368" s="3"/>
      <c r="E368" s="3"/>
      <c r="F368" s="3"/>
      <c r="G368" s="3"/>
      <c r="H368" s="3"/>
      <c r="I368" s="3"/>
      <c r="J368" s="3"/>
      <c r="K368" s="20">
        <v>23571</v>
      </c>
      <c r="L368" s="20" t="str">
        <v>2+ Cars</v>
      </c>
      <c r="M368" s="20" t="str">
        <v>61+</v>
      </c>
      <c r="N368" s="20" t="str">
        <v>0-1 Miles</v>
      </c>
      <c r="O368" s="20">
        <v>2</v>
      </c>
      <c r="P368" s="20" t="str">
        <v>Bachelors</v>
      </c>
      <c r="Q368" s="20" t="str">
        <v>Pacific</v>
      </c>
      <c r="R368" s="20" t="str">
        <v>Married</v>
      </c>
      <c r="S368" s="20" t="str">
        <v>$40k-60k</v>
      </c>
      <c r="T368" s="89">
        <v>0.45765147256488448</v>
      </c>
      <c r="U368" s="91">
        <v>47.247550229319387</v>
      </c>
      <c r="V368" s="49">
        <v>667</v>
      </c>
      <c r="W368" s="20">
        <v>7</v>
      </c>
      <c r="X368" s="20" t="str">
        <v>Cold</v>
      </c>
      <c r="Y368" s="20">
        <v>1</v>
      </c>
    </row>
    <row r="369" spans="1:25" ht="15" customHeight="1" x14ac:dyDescent="0.25">
      <c r="A369" s="3"/>
      <c r="B369" s="3"/>
      <c r="C369" s="3"/>
      <c r="D369" s="3"/>
      <c r="E369" s="3"/>
      <c r="F369" s="3"/>
      <c r="G369" s="3"/>
      <c r="H369" s="3"/>
      <c r="I369" s="3"/>
      <c r="J369" s="3"/>
      <c r="K369" s="20">
        <v>19305</v>
      </c>
      <c r="L369" s="20" t="str">
        <v>0-1 Cars</v>
      </c>
      <c r="M369" s="20" t="str">
        <v>31-40</v>
      </c>
      <c r="N369" s="20" t="str">
        <v>0-1 Miles</v>
      </c>
      <c r="O369" s="20">
        <v>2</v>
      </c>
      <c r="P369" s="20" t="str">
        <v>High School</v>
      </c>
      <c r="Q369" s="20" t="str">
        <v>Europe</v>
      </c>
      <c r="R369" s="20" t="str">
        <v>Single</v>
      </c>
      <c r="S369" s="20" t="str">
        <v>$10k-30k</v>
      </c>
      <c r="T369" s="89">
        <v>0.52242580388292881</v>
      </c>
      <c r="U369" s="91">
        <v>78.653613144667673</v>
      </c>
      <c r="V369" s="49">
        <v>236</v>
      </c>
      <c r="W369" s="20">
        <v>3</v>
      </c>
      <c r="X369" s="20" t="str">
        <v>Hot</v>
      </c>
      <c r="Y369" s="20">
        <v>1</v>
      </c>
    </row>
    <row r="370" spans="1:25" ht="15" customHeight="1" x14ac:dyDescent="0.25">
      <c r="A370" s="3"/>
      <c r="B370" s="3"/>
      <c r="C370" s="3"/>
      <c r="D370" s="3"/>
      <c r="E370" s="3"/>
      <c r="F370" s="3"/>
      <c r="G370" s="3"/>
      <c r="H370" s="3"/>
      <c r="I370" s="3"/>
      <c r="J370" s="3"/>
      <c r="K370" s="20">
        <v>22636</v>
      </c>
      <c r="L370" s="20" t="str">
        <v>0-1 Cars</v>
      </c>
      <c r="M370" s="20" t="str">
        <v>31-40</v>
      </c>
      <c r="N370" s="20" t="str">
        <v>0-1 Miles</v>
      </c>
      <c r="O370" s="20">
        <v>0</v>
      </c>
      <c r="P370" s="20" t="str">
        <v>Bachelors</v>
      </c>
      <c r="Q370" s="20" t="str">
        <v>Europe</v>
      </c>
      <c r="R370" s="20" t="str">
        <v>Single</v>
      </c>
      <c r="S370" s="20" t="str">
        <v>$40k-60k</v>
      </c>
      <c r="T370" s="89">
        <v>0.55269573417036788</v>
      </c>
      <c r="U370" s="91">
        <v>93.330095567662468</v>
      </c>
      <c r="V370" s="49">
        <v>21</v>
      </c>
      <c r="W370" s="20">
        <v>1</v>
      </c>
      <c r="X370" s="20" t="str">
        <v>Hot</v>
      </c>
      <c r="Y370" s="20">
        <v>1</v>
      </c>
    </row>
    <row r="371" spans="1:25" ht="15" customHeight="1" x14ac:dyDescent="0.25">
      <c r="A371" s="3"/>
      <c r="B371" s="3"/>
      <c r="C371" s="3"/>
      <c r="D371" s="3"/>
      <c r="E371" s="3"/>
      <c r="F371" s="3"/>
      <c r="G371" s="3"/>
      <c r="H371" s="3"/>
      <c r="I371" s="3"/>
      <c r="J371" s="3"/>
      <c r="K371" s="20">
        <v>17310</v>
      </c>
      <c r="L371" s="20" t="str">
        <v>0-1 Cars</v>
      </c>
      <c r="M371" s="20" t="str">
        <v>41-50</v>
      </c>
      <c r="N371" s="20" t="str">
        <v>0-1 Miles</v>
      </c>
      <c r="O371" s="20">
        <v>1</v>
      </c>
      <c r="P371" s="20" t="str">
        <v>Partial College</v>
      </c>
      <c r="Q371" s="20" t="str">
        <v>Pacific</v>
      </c>
      <c r="R371" s="20" t="str">
        <v>Married</v>
      </c>
      <c r="S371" s="20" t="str">
        <v>$40k-60k</v>
      </c>
      <c r="T371" s="89">
        <v>0.52543996664542314</v>
      </c>
      <c r="U371" s="91">
        <v>80.1150405871402</v>
      </c>
      <c r="V371" s="49">
        <v>217</v>
      </c>
      <c r="W371" s="20">
        <v>3</v>
      </c>
      <c r="X371" s="20" t="str">
        <v>Hot</v>
      </c>
      <c r="Y371" s="20">
        <v>1</v>
      </c>
    </row>
    <row r="372" spans="1:25" ht="15" customHeight="1" x14ac:dyDescent="0.25">
      <c r="A372" s="3"/>
      <c r="B372" s="3"/>
      <c r="C372" s="3"/>
      <c r="D372" s="3"/>
      <c r="E372" s="3"/>
      <c r="F372" s="3"/>
      <c r="G372" s="3"/>
      <c r="H372" s="3"/>
      <c r="I372" s="3"/>
      <c r="J372" s="3"/>
      <c r="K372" s="20">
        <v>12133</v>
      </c>
      <c r="L372" s="20" t="str">
        <v>2+ Cars</v>
      </c>
      <c r="M372" s="20" t="str">
        <v>41-50</v>
      </c>
      <c r="N372" s="20" t="str">
        <v>5-10 Miles</v>
      </c>
      <c r="O372" s="20">
        <v>3</v>
      </c>
      <c r="P372" s="20" t="str">
        <v>Partial College</v>
      </c>
      <c r="Q372" s="20" t="str">
        <v>Europe</v>
      </c>
      <c r="R372" s="20" t="str">
        <v>Married</v>
      </c>
      <c r="S372" s="20" t="str">
        <v>$100k+</v>
      </c>
      <c r="T372" s="89">
        <v>0.44845114807914327</v>
      </c>
      <c r="U372" s="91">
        <v>42.786740464690979</v>
      </c>
      <c r="V372" s="49">
        <v>731</v>
      </c>
      <c r="W372" s="20">
        <v>8</v>
      </c>
      <c r="X372" s="20" t="str">
        <v>Cold</v>
      </c>
      <c r="Y372" s="20">
        <v>1</v>
      </c>
    </row>
    <row r="373" spans="1:25" ht="15" customHeight="1" x14ac:dyDescent="0.25">
      <c r="A373" s="3"/>
      <c r="B373" s="3"/>
      <c r="C373" s="3"/>
      <c r="D373" s="3"/>
      <c r="E373" s="3"/>
      <c r="F373" s="3"/>
      <c r="G373" s="3"/>
      <c r="H373" s="3"/>
      <c r="I373" s="3"/>
      <c r="J373" s="3"/>
      <c r="K373" s="20">
        <v>25918</v>
      </c>
      <c r="L373" s="20" t="str">
        <v>2+ Cars</v>
      </c>
      <c r="M373" s="20" t="str">
        <v>51-60</v>
      </c>
      <c r="N373" s="20" t="str">
        <v>5-10 Miles</v>
      </c>
      <c r="O373" s="20">
        <v>2</v>
      </c>
      <c r="P373" s="20" t="str">
        <v>Partial College</v>
      </c>
      <c r="Q373" s="20" t="str">
        <v>Pacific</v>
      </c>
      <c r="R373" s="20" t="str">
        <v>Single</v>
      </c>
      <c r="S373" s="20" t="str">
        <v>$10k-30k</v>
      </c>
      <c r="T373" s="89">
        <v>0.44667902297885093</v>
      </c>
      <c r="U373" s="91">
        <v>41.9275193618072</v>
      </c>
      <c r="V373" s="49">
        <v>740</v>
      </c>
      <c r="W373" s="20">
        <v>8</v>
      </c>
      <c r="X373" s="20" t="str">
        <v>Cold</v>
      </c>
      <c r="Y373" s="20">
        <v>1</v>
      </c>
    </row>
    <row r="374" spans="1:25" ht="15" customHeight="1" x14ac:dyDescent="0.25">
      <c r="A374" s="3"/>
      <c r="B374" s="3"/>
      <c r="C374" s="3"/>
      <c r="D374" s="3"/>
      <c r="E374" s="3"/>
      <c r="F374" s="3"/>
      <c r="G374" s="3"/>
      <c r="H374" s="3"/>
      <c r="I374" s="3"/>
      <c r="J374" s="3"/>
      <c r="K374" s="20">
        <v>25752</v>
      </c>
      <c r="L374" s="20" t="str">
        <v>0-1 Cars</v>
      </c>
      <c r="M374" s="20" t="str">
        <v>51-60</v>
      </c>
      <c r="N374" s="20" t="str">
        <v>0-1 Miles</v>
      </c>
      <c r="O374" s="20">
        <v>2</v>
      </c>
      <c r="P374" s="20" t="str">
        <v>Partial College</v>
      </c>
      <c r="Q374" s="20" t="str">
        <v>Europe</v>
      </c>
      <c r="R374" s="20" t="str">
        <v>Single</v>
      </c>
      <c r="S374" s="20" t="str">
        <v>$10k-30k</v>
      </c>
      <c r="T374" s="89">
        <v>0.49845048312883361</v>
      </c>
      <c r="U374" s="91">
        <v>67.029094346910327</v>
      </c>
      <c r="V374" s="49">
        <v>389</v>
      </c>
      <c r="W374" s="20">
        <v>4</v>
      </c>
      <c r="X374" s="20" t="str">
        <v>Warm</v>
      </c>
      <c r="Y374" s="20">
        <v>1</v>
      </c>
    </row>
    <row r="375" spans="1:25" ht="15" customHeight="1" x14ac:dyDescent="0.25">
      <c r="A375" s="3"/>
      <c r="B375" s="3"/>
      <c r="C375" s="3"/>
      <c r="D375" s="3"/>
      <c r="E375" s="3"/>
      <c r="F375" s="3"/>
      <c r="G375" s="3"/>
      <c r="H375" s="3"/>
      <c r="I375" s="3"/>
      <c r="J375" s="3"/>
      <c r="K375" s="20">
        <v>17324</v>
      </c>
      <c r="L375" s="20" t="str">
        <v>0-1 Cars</v>
      </c>
      <c r="M375" s="20" t="str">
        <v>41-50</v>
      </c>
      <c r="N375" s="20" t="str">
        <v>10+ Miles</v>
      </c>
      <c r="O375" s="20">
        <v>4</v>
      </c>
      <c r="P375" s="20" t="str">
        <v>Bachelors</v>
      </c>
      <c r="Q375" s="20" t="str">
        <v>Pacific</v>
      </c>
      <c r="R375" s="20" t="str">
        <v>Married</v>
      </c>
      <c r="S375" s="20" t="str">
        <v>$100k+</v>
      </c>
      <c r="T375" s="89">
        <v>0.47822246408579355</v>
      </c>
      <c r="U375" s="91">
        <v>57.221467995673756</v>
      </c>
      <c r="V375" s="49">
        <v>520</v>
      </c>
      <c r="W375" s="20">
        <v>6</v>
      </c>
      <c r="X375" s="20" t="str">
        <v>Warm</v>
      </c>
      <c r="Y375" s="20">
        <v>0</v>
      </c>
    </row>
    <row r="376" spans="1:25" ht="15" customHeight="1" x14ac:dyDescent="0.25">
      <c r="A376" s="3"/>
      <c r="B376" s="3"/>
      <c r="C376" s="3"/>
      <c r="D376" s="3"/>
      <c r="E376" s="3"/>
      <c r="F376" s="3"/>
      <c r="G376" s="3"/>
      <c r="H376" s="3"/>
      <c r="I376" s="3"/>
      <c r="J376" s="3"/>
      <c r="K376" s="20">
        <v>22918</v>
      </c>
      <c r="L376" s="20" t="str">
        <v>2+ Cars</v>
      </c>
      <c r="M376" s="20" t="str">
        <v>41-50</v>
      </c>
      <c r="N376" s="20" t="str">
        <v>0-1 Miles</v>
      </c>
      <c r="O376" s="20">
        <v>5</v>
      </c>
      <c r="P376" s="20" t="str">
        <v>Graduate Degree</v>
      </c>
      <c r="Q376" s="20" t="str">
        <v>Pacific</v>
      </c>
      <c r="R376" s="20" t="str">
        <v>Single</v>
      </c>
      <c r="S376" s="20" t="str">
        <v>$70k-90k</v>
      </c>
      <c r="T376" s="89">
        <v>0.45580363271618779</v>
      </c>
      <c r="U376" s="91">
        <v>46.351618563723186</v>
      </c>
      <c r="V376" s="49">
        <v>686</v>
      </c>
      <c r="W376" s="20">
        <v>7</v>
      </c>
      <c r="X376" s="20" t="str">
        <v>Cold</v>
      </c>
      <c r="Y376" s="20">
        <v>0</v>
      </c>
    </row>
    <row r="377" spans="1:25" ht="15" customHeight="1" x14ac:dyDescent="0.25">
      <c r="A377" s="3"/>
      <c r="B377" s="3"/>
      <c r="C377" s="3"/>
      <c r="D377" s="3"/>
      <c r="E377" s="3"/>
      <c r="F377" s="3"/>
      <c r="G377" s="3"/>
      <c r="H377" s="3"/>
      <c r="I377" s="3"/>
      <c r="J377" s="3"/>
      <c r="K377" s="20">
        <v>12510</v>
      </c>
      <c r="L377" s="20" t="str">
        <v>0-1 Cars</v>
      </c>
      <c r="M377" s="20" t="str">
        <v>41-50</v>
      </c>
      <c r="N377" s="20" t="str">
        <v>0-1 Miles</v>
      </c>
      <c r="O377" s="20">
        <v>1</v>
      </c>
      <c r="P377" s="20" t="str">
        <v>Bachelors</v>
      </c>
      <c r="Q377" s="20" t="str">
        <v>Europe</v>
      </c>
      <c r="R377" s="20" t="str">
        <v>Married</v>
      </c>
      <c r="S377" s="20" t="str">
        <v>$40k-60k</v>
      </c>
      <c r="T377" s="89">
        <v>0.52952886380755659</v>
      </c>
      <c r="U377" s="91">
        <v>82.097556792484326</v>
      </c>
      <c r="V377" s="49">
        <v>194</v>
      </c>
      <c r="W377" s="20">
        <v>2</v>
      </c>
      <c r="X377" s="20" t="str">
        <v>Hot</v>
      </c>
      <c r="Y377" s="20">
        <v>1</v>
      </c>
    </row>
    <row r="378" spans="1:25" ht="15" customHeight="1" x14ac:dyDescent="0.25">
      <c r="A378" s="3"/>
      <c r="B378" s="3"/>
      <c r="C378" s="3"/>
      <c r="D378" s="3"/>
      <c r="E378" s="3"/>
      <c r="F378" s="3"/>
      <c r="G378" s="3"/>
      <c r="H378" s="3"/>
      <c r="I378" s="3"/>
      <c r="J378" s="3"/>
      <c r="K378" s="20">
        <v>25512</v>
      </c>
      <c r="L378" s="20" t="str">
        <v>0-1 Cars</v>
      </c>
      <c r="M378" s="20" t="str">
        <v>25-30</v>
      </c>
      <c r="N378" s="20" t="str">
        <v>2-5 Miles</v>
      </c>
      <c r="O378" s="20">
        <v>0</v>
      </c>
      <c r="P378" s="20" t="str">
        <v>High School</v>
      </c>
      <c r="Q378" s="20" t="str">
        <v>Europe</v>
      </c>
      <c r="R378" s="20" t="str">
        <v>Single</v>
      </c>
      <c r="S378" s="20" t="str">
        <v>$10k-30k</v>
      </c>
      <c r="T378" s="89">
        <v>0.49303661041275448</v>
      </c>
      <c r="U378" s="91">
        <v>64.404159072750218</v>
      </c>
      <c r="V378" s="49">
        <v>431</v>
      </c>
      <c r="W378" s="20">
        <v>5</v>
      </c>
      <c r="X378" s="20" t="str">
        <v>Warm</v>
      </c>
      <c r="Y378" s="20">
        <v>0</v>
      </c>
    </row>
    <row r="379" spans="1:25" ht="15" customHeight="1" x14ac:dyDescent="0.25">
      <c r="A379" s="3"/>
      <c r="B379" s="3"/>
      <c r="C379" s="3"/>
      <c r="D379" s="3"/>
      <c r="E379" s="3"/>
      <c r="F379" s="3"/>
      <c r="G379" s="3"/>
      <c r="H379" s="3"/>
      <c r="I379" s="3"/>
      <c r="J379" s="3"/>
      <c r="K379" s="20">
        <v>16179</v>
      </c>
      <c r="L379" s="20" t="str">
        <v>2+ Cars</v>
      </c>
      <c r="M379" s="20" t="str">
        <v>31-40</v>
      </c>
      <c r="N379" s="20" t="str">
        <v>1-2 Miles</v>
      </c>
      <c r="O379" s="20">
        <v>5</v>
      </c>
      <c r="P379" s="20" t="str">
        <v>Bachelors</v>
      </c>
      <c r="Q379" s="20" t="str">
        <v>Pacific</v>
      </c>
      <c r="R379" s="20" t="str">
        <v>Single</v>
      </c>
      <c r="S379" s="20" t="str">
        <v>$70k-90k</v>
      </c>
      <c r="T379" s="89">
        <v>0.46722118500328819</v>
      </c>
      <c r="U379" s="91">
        <v>51.887459045152639</v>
      </c>
      <c r="V379" s="49">
        <v>602</v>
      </c>
      <c r="W379" s="20">
        <v>7</v>
      </c>
      <c r="X379" s="20" t="str">
        <v>Cold</v>
      </c>
      <c r="Y379" s="20">
        <v>0</v>
      </c>
    </row>
    <row r="380" spans="1:25" ht="15" customHeight="1" x14ac:dyDescent="0.25">
      <c r="A380" s="3"/>
      <c r="B380" s="3"/>
      <c r="C380" s="3"/>
      <c r="D380" s="3"/>
      <c r="E380" s="3"/>
      <c r="F380" s="3"/>
      <c r="G380" s="3"/>
      <c r="H380" s="3"/>
      <c r="I380" s="3"/>
      <c r="J380" s="3"/>
      <c r="K380" s="20">
        <v>15628</v>
      </c>
      <c r="L380" s="20" t="str">
        <v>0-1 Cars</v>
      </c>
      <c r="M380" s="20" t="str">
        <v>61+</v>
      </c>
      <c r="N380" s="20" t="str">
        <v>0-1 Miles</v>
      </c>
      <c r="O380" s="20">
        <v>1</v>
      </c>
      <c r="P380" s="20" t="str">
        <v>Bachelors</v>
      </c>
      <c r="Q380" s="20" t="str">
        <v>Europe</v>
      </c>
      <c r="R380" s="20" t="str">
        <v>Married</v>
      </c>
      <c r="S380" s="20" t="str">
        <v>$40k-60k</v>
      </c>
      <c r="T380" s="89">
        <v>0.50296751310534116</v>
      </c>
      <c r="U380" s="91">
        <v>69.219192256777774</v>
      </c>
      <c r="V380" s="49">
        <v>353</v>
      </c>
      <c r="W380" s="20">
        <v>4</v>
      </c>
      <c r="X380" s="20" t="str">
        <v>Warm</v>
      </c>
      <c r="Y380" s="20">
        <v>0</v>
      </c>
    </row>
    <row r="381" spans="1:25" ht="15" customHeight="1" x14ac:dyDescent="0.25">
      <c r="A381" s="3"/>
      <c r="B381" s="3"/>
      <c r="C381" s="3"/>
      <c r="D381" s="3"/>
      <c r="E381" s="3"/>
      <c r="F381" s="3"/>
      <c r="G381" s="3"/>
      <c r="H381" s="3"/>
      <c r="I381" s="3"/>
      <c r="J381" s="3"/>
      <c r="K381" s="20">
        <v>20977</v>
      </c>
      <c r="L381" s="20" t="str">
        <v>0-1 Cars</v>
      </c>
      <c r="M381" s="20" t="str">
        <v>61+</v>
      </c>
      <c r="N381" s="20" t="str">
        <v>0-1 Miles</v>
      </c>
      <c r="O381" s="20">
        <v>1</v>
      </c>
      <c r="P381" s="20" t="str">
        <v>Bachelors</v>
      </c>
      <c r="Q381" s="20" t="str">
        <v>Europe</v>
      </c>
      <c r="R381" s="20" t="str">
        <v>Married</v>
      </c>
      <c r="S381" s="20" t="str">
        <v>$10k-30k</v>
      </c>
      <c r="T381" s="89">
        <v>0.49214213026608866</v>
      </c>
      <c r="U381" s="91">
        <v>63.970467219957726</v>
      </c>
      <c r="V381" s="49">
        <v>445</v>
      </c>
      <c r="W381" s="20">
        <v>5</v>
      </c>
      <c r="X381" s="20" t="str">
        <v>Warm</v>
      </c>
      <c r="Y381" s="20">
        <v>1</v>
      </c>
    </row>
    <row r="382" spans="1:25" ht="15" customHeight="1" x14ac:dyDescent="0.25">
      <c r="A382" s="3"/>
      <c r="B382" s="3"/>
      <c r="C382" s="3"/>
      <c r="D382" s="3"/>
      <c r="E382" s="3"/>
      <c r="F382" s="3"/>
      <c r="G382" s="3"/>
      <c r="H382" s="3"/>
      <c r="I382" s="3"/>
      <c r="J382" s="3"/>
      <c r="K382" s="20">
        <v>18140</v>
      </c>
      <c r="L382" s="20" t="str">
        <v>2+ Cars</v>
      </c>
      <c r="M382" s="20" t="str">
        <v>51-60</v>
      </c>
      <c r="N382" s="20" t="str">
        <v>5-10 Miles</v>
      </c>
      <c r="O382" s="20">
        <v>3</v>
      </c>
      <c r="P382" s="20" t="str">
        <v>Partial College</v>
      </c>
      <c r="Q382" s="20" t="str">
        <v>Europe</v>
      </c>
      <c r="R382" s="20" t="str">
        <v>Married</v>
      </c>
      <c r="S382" s="20" t="str">
        <v>$100k+</v>
      </c>
      <c r="T382" s="89">
        <v>0.44655251780534128</v>
      </c>
      <c r="U382" s="91">
        <v>41.866182882409937</v>
      </c>
      <c r="V382" s="49">
        <v>742</v>
      </c>
      <c r="W382" s="20">
        <v>8</v>
      </c>
      <c r="X382" s="20" t="str">
        <v>Cold</v>
      </c>
      <c r="Y382" s="20">
        <v>1</v>
      </c>
    </row>
    <row r="383" spans="1:25" ht="15" customHeight="1" x14ac:dyDescent="0.25">
      <c r="A383" s="3"/>
      <c r="B383" s="3"/>
      <c r="C383" s="3"/>
      <c r="D383" s="3"/>
      <c r="E383" s="3"/>
      <c r="F383" s="3"/>
      <c r="G383" s="3"/>
      <c r="H383" s="3"/>
      <c r="I383" s="3"/>
      <c r="J383" s="3"/>
      <c r="K383" s="20">
        <v>20417</v>
      </c>
      <c r="L383" s="20" t="str">
        <v>2+ Cars</v>
      </c>
      <c r="M383" s="20" t="str">
        <v>51-60</v>
      </c>
      <c r="N383" s="20" t="str">
        <v>5-10 Miles</v>
      </c>
      <c r="O383" s="20">
        <v>3</v>
      </c>
      <c r="P383" s="20" t="str">
        <v>Partial College</v>
      </c>
      <c r="Q383" s="20" t="str">
        <v>Pacific</v>
      </c>
      <c r="R383" s="20" t="str">
        <v>Married</v>
      </c>
      <c r="S383" s="20" t="str">
        <v>$10k-30k</v>
      </c>
      <c r="T383" s="89">
        <v>0.44821579862865729</v>
      </c>
      <c r="U383" s="91">
        <v>42.672630453847901</v>
      </c>
      <c r="V383" s="49">
        <v>732</v>
      </c>
      <c r="W383" s="20">
        <v>8</v>
      </c>
      <c r="X383" s="20" t="str">
        <v>Cold</v>
      </c>
      <c r="Y383" s="20">
        <v>0</v>
      </c>
    </row>
    <row r="384" spans="1:25" ht="15" customHeight="1" x14ac:dyDescent="0.25">
      <c r="A384" s="3"/>
      <c r="B384" s="3"/>
      <c r="C384" s="3"/>
      <c r="D384" s="3"/>
      <c r="E384" s="3"/>
      <c r="F384" s="3"/>
      <c r="G384" s="3"/>
      <c r="H384" s="3"/>
      <c r="I384" s="3"/>
      <c r="J384" s="3"/>
      <c r="K384" s="20">
        <v>18267</v>
      </c>
      <c r="L384" s="20" t="str">
        <v>2+ Cars</v>
      </c>
      <c r="M384" s="20" t="str">
        <v>41-50</v>
      </c>
      <c r="N384" s="20" t="str">
        <v>5-10 Miles</v>
      </c>
      <c r="O384" s="20">
        <v>3</v>
      </c>
      <c r="P384" s="20" t="str">
        <v>Bachelors</v>
      </c>
      <c r="Q384" s="20" t="str">
        <v>Pacific</v>
      </c>
      <c r="R384" s="20" t="str">
        <v>Married</v>
      </c>
      <c r="S384" s="20" t="str">
        <v>$40k-60k</v>
      </c>
      <c r="T384" s="89">
        <v>0.47369916994865313</v>
      </c>
      <c r="U384" s="91">
        <v>55.028332885437827</v>
      </c>
      <c r="V384" s="49">
        <v>549</v>
      </c>
      <c r="W384" s="20">
        <v>6</v>
      </c>
      <c r="X384" s="20" t="str">
        <v>Warm</v>
      </c>
      <c r="Y384" s="20">
        <v>0</v>
      </c>
    </row>
    <row r="385" spans="1:25" ht="15" customHeight="1" x14ac:dyDescent="0.25">
      <c r="A385" s="3"/>
      <c r="B385" s="3"/>
      <c r="C385" s="3"/>
      <c r="D385" s="3"/>
      <c r="E385" s="3"/>
      <c r="F385" s="3"/>
      <c r="G385" s="3"/>
      <c r="H385" s="3"/>
      <c r="I385" s="3"/>
      <c r="J385" s="3"/>
      <c r="K385" s="20">
        <v>13620</v>
      </c>
      <c r="L385" s="20" t="str">
        <v>2+ Cars</v>
      </c>
      <c r="M385" s="20" t="str">
        <v>25-30</v>
      </c>
      <c r="N385" s="20" t="str">
        <v>10+ Miles</v>
      </c>
      <c r="O385" s="20">
        <v>0</v>
      </c>
      <c r="P385" s="20" t="str">
        <v>Bachelors</v>
      </c>
      <c r="Q385" s="20" t="str">
        <v>Pacific</v>
      </c>
      <c r="R385" s="20" t="str">
        <v>Single</v>
      </c>
      <c r="S385" s="20" t="str">
        <v>$70k-90k</v>
      </c>
      <c r="T385" s="89">
        <v>0.44285658968884939</v>
      </c>
      <c r="U385" s="91">
        <v>40.074199104341758</v>
      </c>
      <c r="V385" s="49">
        <v>776</v>
      </c>
      <c r="W385" s="20">
        <v>8</v>
      </c>
      <c r="X385" s="20" t="str">
        <v>Cold</v>
      </c>
      <c r="Y385" s="20">
        <v>1</v>
      </c>
    </row>
    <row r="386" spans="1:25" ht="15" customHeight="1" x14ac:dyDescent="0.25">
      <c r="A386" s="3"/>
      <c r="B386" s="3"/>
      <c r="C386" s="3"/>
      <c r="D386" s="3"/>
      <c r="E386" s="3"/>
      <c r="F386" s="3"/>
      <c r="G386" s="3"/>
      <c r="H386" s="3"/>
      <c r="I386" s="3"/>
      <c r="J386" s="3"/>
      <c r="K386" s="20">
        <v>22974</v>
      </c>
      <c r="L386" s="20" t="str">
        <v>2+ Cars</v>
      </c>
      <c r="M386" s="20" t="str">
        <v>61+</v>
      </c>
      <c r="N386" s="20" t="str">
        <v>5-10 Miles</v>
      </c>
      <c r="O386" s="20">
        <v>2</v>
      </c>
      <c r="P386" s="20" t="str">
        <v>Partial College</v>
      </c>
      <c r="Q386" s="20" t="str">
        <v>Pacific</v>
      </c>
      <c r="R386" s="20" t="str">
        <v>Married</v>
      </c>
      <c r="S386" s="20" t="str">
        <v>$10k-30k</v>
      </c>
      <c r="T386" s="89">
        <v>0.41233825984261235</v>
      </c>
      <c r="U386" s="91">
        <v>25.27727927947787</v>
      </c>
      <c r="V386" s="49">
        <v>937</v>
      </c>
      <c r="W386" s="20">
        <v>10</v>
      </c>
      <c r="X386" s="20" t="str">
        <v>Cold</v>
      </c>
      <c r="Y386" s="20">
        <v>0</v>
      </c>
    </row>
    <row r="387" spans="1:25" ht="15" customHeight="1" x14ac:dyDescent="0.25">
      <c r="A387" s="3"/>
      <c r="B387" s="3"/>
      <c r="C387" s="3"/>
      <c r="D387" s="3"/>
      <c r="E387" s="3"/>
      <c r="F387" s="3"/>
      <c r="G387" s="3"/>
      <c r="H387" s="3"/>
      <c r="I387" s="3"/>
      <c r="J387" s="3"/>
      <c r="K387" s="20">
        <v>13586</v>
      </c>
      <c r="L387" s="20" t="str">
        <v>2+ Cars</v>
      </c>
      <c r="M387" s="20" t="str">
        <v>51-60</v>
      </c>
      <c r="N387" s="20" t="str">
        <v>10+ Miles</v>
      </c>
      <c r="O387" s="20">
        <v>4</v>
      </c>
      <c r="P387" s="20" t="str">
        <v>Partial College</v>
      </c>
      <c r="Q387" s="20" t="str">
        <v>Europe</v>
      </c>
      <c r="R387" s="20" t="str">
        <v>Married</v>
      </c>
      <c r="S387" s="20" t="str">
        <v>$70k-90k</v>
      </c>
      <c r="T387" s="89">
        <v>0.41703363479867633</v>
      </c>
      <c r="U387" s="91">
        <v>27.553848381476719</v>
      </c>
      <c r="V387" s="49">
        <v>910</v>
      </c>
      <c r="W387" s="20">
        <v>10</v>
      </c>
      <c r="X387" s="20" t="str">
        <v>Cold</v>
      </c>
      <c r="Y387" s="20">
        <v>0</v>
      </c>
    </row>
    <row r="388" spans="1:25" ht="15" customHeight="1" x14ac:dyDescent="0.25">
      <c r="A388" s="3"/>
      <c r="B388" s="3"/>
      <c r="C388" s="3"/>
      <c r="D388" s="3"/>
      <c r="E388" s="3"/>
      <c r="F388" s="3"/>
      <c r="G388" s="3"/>
      <c r="H388" s="3"/>
      <c r="I388" s="3"/>
      <c r="J388" s="3"/>
      <c r="K388" s="20">
        <v>17978</v>
      </c>
      <c r="L388" s="20" t="str">
        <v>0-1 Cars</v>
      </c>
      <c r="M388" s="20" t="str">
        <v>31-40</v>
      </c>
      <c r="N388" s="20" t="str">
        <v>0-1 Miles</v>
      </c>
      <c r="O388" s="20">
        <v>0</v>
      </c>
      <c r="P388" s="20" t="str">
        <v>Graduate Degree</v>
      </c>
      <c r="Q388" s="20" t="str">
        <v>Europe</v>
      </c>
      <c r="R388" s="20" t="str">
        <v>Married</v>
      </c>
      <c r="S388" s="20" t="str">
        <v>$40k-60k</v>
      </c>
      <c r="T388" s="89">
        <v>0.54152735906721317</v>
      </c>
      <c r="U388" s="91">
        <v>87.915069522396678</v>
      </c>
      <c r="V388" s="49">
        <v>102</v>
      </c>
      <c r="W388" s="20">
        <v>2</v>
      </c>
      <c r="X388" s="20" t="str">
        <v>Hot</v>
      </c>
      <c r="Y388" s="20">
        <v>1</v>
      </c>
    </row>
    <row r="389" spans="1:25" ht="15" customHeight="1" x14ac:dyDescent="0.25">
      <c r="A389" s="3"/>
      <c r="B389" s="3"/>
      <c r="C389" s="3"/>
      <c r="D389" s="3"/>
      <c r="E389" s="3"/>
      <c r="F389" s="3"/>
      <c r="G389" s="3"/>
      <c r="H389" s="3"/>
      <c r="I389" s="3"/>
      <c r="J389" s="3"/>
      <c r="K389" s="20">
        <v>12581</v>
      </c>
      <c r="L389" s="20" t="str">
        <v>0-1 Cars</v>
      </c>
      <c r="M389" s="20" t="str">
        <v>25-30</v>
      </c>
      <c r="N389" s="20" t="str">
        <v>0-1 Miles</v>
      </c>
      <c r="O389" s="20">
        <v>0</v>
      </c>
      <c r="P389" s="20" t="str">
        <v>Partial College</v>
      </c>
      <c r="Q389" s="20" t="str">
        <v>Pacific</v>
      </c>
      <c r="R389" s="20" t="str">
        <v>Single</v>
      </c>
      <c r="S389" s="20" t="str">
        <v>$10k-30k</v>
      </c>
      <c r="T389" s="89">
        <v>0.49689422629566654</v>
      </c>
      <c r="U389" s="91">
        <v>66.274537734432101</v>
      </c>
      <c r="V389" s="49">
        <v>401</v>
      </c>
      <c r="W389" s="20">
        <v>5</v>
      </c>
      <c r="X389" s="20" t="str">
        <v>Warm</v>
      </c>
      <c r="Y389" s="20">
        <v>1</v>
      </c>
    </row>
    <row r="390" spans="1:25" ht="15" customHeight="1" x14ac:dyDescent="0.25">
      <c r="A390" s="3"/>
      <c r="B390" s="3"/>
      <c r="C390" s="3"/>
      <c r="D390" s="3"/>
      <c r="E390" s="3"/>
      <c r="F390" s="3"/>
      <c r="G390" s="3"/>
      <c r="H390" s="3"/>
      <c r="I390" s="3"/>
      <c r="J390" s="3"/>
      <c r="K390" s="20">
        <v>18018</v>
      </c>
      <c r="L390" s="20" t="str">
        <v>0-1 Cars</v>
      </c>
      <c r="M390" s="20" t="str">
        <v>41-50</v>
      </c>
      <c r="N390" s="20" t="str">
        <v>0-1 Miles</v>
      </c>
      <c r="O390" s="20">
        <v>3</v>
      </c>
      <c r="P390" s="20" t="str">
        <v>Partial College</v>
      </c>
      <c r="Q390" s="20" t="str">
        <v>Europe</v>
      </c>
      <c r="R390" s="20" t="str">
        <v>Single</v>
      </c>
      <c r="S390" s="20" t="str">
        <v>$10k-30k</v>
      </c>
      <c r="T390" s="89">
        <v>0.51156393176026715</v>
      </c>
      <c r="U390" s="91">
        <v>73.387196150135921</v>
      </c>
      <c r="V390" s="49">
        <v>307</v>
      </c>
      <c r="W390" s="20">
        <v>4</v>
      </c>
      <c r="X390" s="20" t="str">
        <v>Warm</v>
      </c>
      <c r="Y390" s="20">
        <v>0</v>
      </c>
    </row>
    <row r="391" spans="1:25" ht="15" customHeight="1" x14ac:dyDescent="0.25">
      <c r="A391" s="3"/>
      <c r="B391" s="3"/>
      <c r="C391" s="3"/>
      <c r="D391" s="3"/>
      <c r="E391" s="3"/>
      <c r="F391" s="3"/>
      <c r="G391" s="3"/>
      <c r="H391" s="3"/>
      <c r="I391" s="3"/>
      <c r="J391" s="3"/>
      <c r="K391" s="20">
        <v>28957</v>
      </c>
      <c r="L391" s="20" t="str">
        <v>2+ Cars</v>
      </c>
      <c r="M391" s="20" t="str">
        <v>31-40</v>
      </c>
      <c r="N391" s="20" t="str">
        <v>10+ Miles</v>
      </c>
      <c r="O391" s="20">
        <v>0</v>
      </c>
      <c r="P391" s="20" t="str">
        <v>Partial High School</v>
      </c>
      <c r="Q391" s="20" t="str">
        <v>Pacific</v>
      </c>
      <c r="R391" s="20" t="str">
        <v>Single</v>
      </c>
      <c r="S391" s="20" t="str">
        <v>$100k+</v>
      </c>
      <c r="T391" s="89">
        <v>0.44715429235006382</v>
      </c>
      <c r="U391" s="91">
        <v>42.157955392103858</v>
      </c>
      <c r="V391" s="49">
        <v>738</v>
      </c>
      <c r="W391" s="20">
        <v>8</v>
      </c>
      <c r="X391" s="20" t="str">
        <v>Cold</v>
      </c>
      <c r="Y391" s="20">
        <v>1</v>
      </c>
    </row>
    <row r="392" spans="1:25" ht="15" customHeight="1" x14ac:dyDescent="0.25">
      <c r="A392" s="3"/>
      <c r="B392" s="3"/>
      <c r="C392" s="3"/>
      <c r="D392" s="3"/>
      <c r="E392" s="3"/>
      <c r="F392" s="3"/>
      <c r="G392" s="3"/>
      <c r="H392" s="3"/>
      <c r="I392" s="3"/>
      <c r="J392" s="3"/>
      <c r="K392" s="20">
        <v>13690</v>
      </c>
      <c r="L392" s="20" t="str">
        <v>2+ Cars</v>
      </c>
      <c r="M392" s="20" t="str">
        <v>31-40</v>
      </c>
      <c r="N392" s="20" t="str">
        <v>1-2 Miles</v>
      </c>
      <c r="O392" s="20">
        <v>0</v>
      </c>
      <c r="P392" s="20" t="str">
        <v>Partial High School</v>
      </c>
      <c r="Q392" s="20" t="str">
        <v>Europe</v>
      </c>
      <c r="R392" s="20" t="str">
        <v>Single</v>
      </c>
      <c r="S392" s="20" t="str">
        <v>$10k-30k</v>
      </c>
      <c r="T392" s="89">
        <v>0.45431729951514982</v>
      </c>
      <c r="U392" s="91">
        <v>45.630964670813512</v>
      </c>
      <c r="V392" s="49">
        <v>703</v>
      </c>
      <c r="W392" s="20">
        <v>8</v>
      </c>
      <c r="X392" s="20" t="str">
        <v>Cold</v>
      </c>
      <c r="Y392" s="20">
        <v>1</v>
      </c>
    </row>
    <row r="393" spans="1:25" ht="15" customHeight="1" x14ac:dyDescent="0.25">
      <c r="A393" s="3"/>
      <c r="B393" s="3"/>
      <c r="C393" s="3"/>
      <c r="D393" s="3"/>
      <c r="E393" s="3"/>
      <c r="F393" s="3"/>
      <c r="G393" s="3"/>
      <c r="H393" s="3"/>
      <c r="I393" s="3"/>
      <c r="J393" s="3"/>
      <c r="K393" s="20">
        <v>12568</v>
      </c>
      <c r="L393" s="20" t="str">
        <v>0-1 Cars</v>
      </c>
      <c r="M393" s="20" t="str">
        <v>61+</v>
      </c>
      <c r="N393" s="20" t="str">
        <v>0-1 Miles</v>
      </c>
      <c r="O393" s="20">
        <v>1</v>
      </c>
      <c r="P393" s="20" t="str">
        <v>Bachelors</v>
      </c>
      <c r="Q393" s="20" t="str">
        <v>Europe</v>
      </c>
      <c r="R393" s="20" t="str">
        <v>Married</v>
      </c>
      <c r="S393" s="20" t="str">
        <v>$10k-30k</v>
      </c>
      <c r="T393" s="89">
        <v>0.49214213026608866</v>
      </c>
      <c r="U393" s="91">
        <v>63.970467219957726</v>
      </c>
      <c r="V393" s="49">
        <v>442</v>
      </c>
      <c r="W393" s="20">
        <v>5</v>
      </c>
      <c r="X393" s="20" t="str">
        <v>Warm</v>
      </c>
      <c r="Y393" s="20">
        <v>0</v>
      </c>
    </row>
    <row r="394" spans="1:25" ht="15" customHeight="1" x14ac:dyDescent="0.25">
      <c r="A394" s="3"/>
      <c r="B394" s="3"/>
      <c r="C394" s="3"/>
      <c r="D394" s="3"/>
      <c r="E394" s="3"/>
      <c r="F394" s="3"/>
      <c r="G394" s="3"/>
      <c r="H394" s="3"/>
      <c r="I394" s="3"/>
      <c r="J394" s="3"/>
      <c r="K394" s="20">
        <v>13122</v>
      </c>
      <c r="L394" s="20" t="str">
        <v>0-1 Cars</v>
      </c>
      <c r="M394" s="20" t="str">
        <v>41-50</v>
      </c>
      <c r="N394" s="20" t="str">
        <v>1-2 Miles</v>
      </c>
      <c r="O394" s="20">
        <v>0</v>
      </c>
      <c r="P394" s="20" t="str">
        <v>Bachelors</v>
      </c>
      <c r="Q394" s="20" t="str">
        <v>Pacific</v>
      </c>
      <c r="R394" s="20" t="str">
        <v>Married</v>
      </c>
      <c r="S394" s="20" t="str">
        <v>$70k-90k</v>
      </c>
      <c r="T394" s="89">
        <v>0.51258950607036824</v>
      </c>
      <c r="U394" s="91">
        <v>73.884449470270567</v>
      </c>
      <c r="V394" s="49">
        <v>302</v>
      </c>
      <c r="W394" s="20">
        <v>4</v>
      </c>
      <c r="X394" s="20" t="str">
        <v>Warm</v>
      </c>
      <c r="Y394" s="20">
        <v>1</v>
      </c>
    </row>
    <row r="395" spans="1:25" ht="15" customHeight="1" x14ac:dyDescent="0.25">
      <c r="A395" s="3"/>
      <c r="B395" s="3"/>
      <c r="C395" s="3"/>
      <c r="D395" s="3"/>
      <c r="E395" s="3"/>
      <c r="F395" s="3"/>
      <c r="G395" s="3"/>
      <c r="H395" s="3"/>
      <c r="I395" s="3"/>
      <c r="J395" s="3"/>
      <c r="K395" s="20">
        <v>21184</v>
      </c>
      <c r="L395" s="20" t="str">
        <v>0-1 Cars</v>
      </c>
      <c r="M395" s="20" t="str">
        <v>31-40</v>
      </c>
      <c r="N395" s="20" t="str">
        <v>5-10 Miles</v>
      </c>
      <c r="O395" s="20">
        <v>0</v>
      </c>
      <c r="P395" s="20" t="str">
        <v>Bachelors</v>
      </c>
      <c r="Q395" s="20" t="str">
        <v>Pacific</v>
      </c>
      <c r="R395" s="20" t="str">
        <v>Single</v>
      </c>
      <c r="S395" s="20" t="str">
        <v>$70k-90k</v>
      </c>
      <c r="T395" s="89">
        <v>0.53667259067848294</v>
      </c>
      <c r="U395" s="91">
        <v>85.561217952593864</v>
      </c>
      <c r="V395" s="49">
        <v>131</v>
      </c>
      <c r="W395" s="20">
        <v>2</v>
      </c>
      <c r="X395" s="20" t="str">
        <v>Hot</v>
      </c>
      <c r="Y395" s="20">
        <v>0</v>
      </c>
    </row>
    <row r="396" spans="1:25" ht="15" customHeight="1" x14ac:dyDescent="0.25">
      <c r="A396" s="3"/>
      <c r="B396" s="3"/>
      <c r="C396" s="3"/>
      <c r="D396" s="3"/>
      <c r="E396" s="3"/>
      <c r="F396" s="3"/>
      <c r="G396" s="3"/>
      <c r="H396" s="3"/>
      <c r="I396" s="3"/>
      <c r="J396" s="3"/>
      <c r="K396" s="20">
        <v>26150</v>
      </c>
      <c r="L396" s="20" t="str">
        <v>0-1 Cars</v>
      </c>
      <c r="M396" s="20" t="str">
        <v>41-50</v>
      </c>
      <c r="N396" s="20" t="str">
        <v>0-1 Miles</v>
      </c>
      <c r="O396" s="20">
        <v>0</v>
      </c>
      <c r="P396" s="20" t="str">
        <v>Bachelors</v>
      </c>
      <c r="Q396" s="20" t="str">
        <v>Pacific</v>
      </c>
      <c r="R396" s="20" t="str">
        <v>Single</v>
      </c>
      <c r="S396" s="20" t="str">
        <v>$70k-90k</v>
      </c>
      <c r="T396" s="89">
        <v>0.53537069562049189</v>
      </c>
      <c r="U396" s="91">
        <v>84.929989543616713</v>
      </c>
      <c r="V396" s="49">
        <v>145</v>
      </c>
      <c r="W396" s="20">
        <v>2</v>
      </c>
      <c r="X396" s="20" t="str">
        <v>Hot</v>
      </c>
      <c r="Y396" s="20">
        <v>1</v>
      </c>
    </row>
    <row r="397" spans="1:25" ht="15" customHeight="1" x14ac:dyDescent="0.25">
      <c r="A397" s="3"/>
      <c r="B397" s="3"/>
      <c r="C397" s="3"/>
      <c r="D397" s="3"/>
      <c r="E397" s="3"/>
      <c r="F397" s="3"/>
      <c r="G397" s="3"/>
      <c r="H397" s="3"/>
      <c r="I397" s="3"/>
      <c r="J397" s="3"/>
      <c r="K397" s="20">
        <v>24151</v>
      </c>
      <c r="L397" s="20" t="str">
        <v>0-1 Cars</v>
      </c>
      <c r="M397" s="20" t="str">
        <v>51-60</v>
      </c>
      <c r="N397" s="20" t="str">
        <v>0-1 Miles</v>
      </c>
      <c r="O397" s="20">
        <v>1</v>
      </c>
      <c r="P397" s="20" t="str">
        <v>Bachelors</v>
      </c>
      <c r="Q397" s="20" t="str">
        <v>Europe</v>
      </c>
      <c r="R397" s="20" t="str">
        <v>Single</v>
      </c>
      <c r="S397" s="20" t="str">
        <v>$10k-30k</v>
      </c>
      <c r="T397" s="89">
        <v>0.52648289340232723</v>
      </c>
      <c r="U397" s="91">
        <v>80.620707302287059</v>
      </c>
      <c r="V397" s="49">
        <v>215</v>
      </c>
      <c r="W397" s="20">
        <v>3</v>
      </c>
      <c r="X397" s="20" t="str">
        <v>Hot</v>
      </c>
      <c r="Y397" s="20">
        <v>0</v>
      </c>
    </row>
    <row r="398" spans="1:25" ht="15" customHeight="1" x14ac:dyDescent="0.25">
      <c r="A398" s="3"/>
      <c r="B398" s="3"/>
      <c r="C398" s="3"/>
      <c r="D398" s="3"/>
      <c r="E398" s="3"/>
      <c r="F398" s="3"/>
      <c r="G398" s="3"/>
      <c r="H398" s="3"/>
      <c r="I398" s="3"/>
      <c r="J398" s="3"/>
      <c r="K398" s="20">
        <v>23962</v>
      </c>
      <c r="L398" s="20" t="str">
        <v>2+ Cars</v>
      </c>
      <c r="M398" s="20" t="str">
        <v>31-40</v>
      </c>
      <c r="N398" s="20" t="str">
        <v>1-2 Miles</v>
      </c>
      <c r="O398" s="20">
        <v>0</v>
      </c>
      <c r="P398" s="20" t="str">
        <v>Partial High School</v>
      </c>
      <c r="Q398" s="20" t="str">
        <v>Europe</v>
      </c>
      <c r="R398" s="20" t="str">
        <v>Married</v>
      </c>
      <c r="S398" s="20" t="str">
        <v>$10k-30k</v>
      </c>
      <c r="T398" s="89">
        <v>0.44463925680732469</v>
      </c>
      <c r="U398" s="91">
        <v>40.93853154190969</v>
      </c>
      <c r="V398" s="49">
        <v>761</v>
      </c>
      <c r="W398" s="20">
        <v>8</v>
      </c>
      <c r="X398" s="20" t="str">
        <v>Cold</v>
      </c>
      <c r="Y398" s="20">
        <v>0</v>
      </c>
    </row>
    <row r="399" spans="1:25" ht="15" customHeight="1" x14ac:dyDescent="0.25">
      <c r="A399" s="3"/>
      <c r="B399" s="3"/>
      <c r="C399" s="3"/>
      <c r="D399" s="3"/>
      <c r="E399" s="3"/>
      <c r="F399" s="3"/>
      <c r="G399" s="3"/>
      <c r="H399" s="3"/>
      <c r="I399" s="3"/>
      <c r="J399" s="3"/>
      <c r="K399" s="20">
        <v>17793</v>
      </c>
      <c r="L399" s="20" t="str">
        <v>0-1 Cars</v>
      </c>
      <c r="M399" s="20" t="str">
        <v>31-40</v>
      </c>
      <c r="N399" s="20" t="str">
        <v>0-1 Miles</v>
      </c>
      <c r="O399" s="20">
        <v>0</v>
      </c>
      <c r="P399" s="20" t="str">
        <v>Bachelors</v>
      </c>
      <c r="Q399" s="20" t="str">
        <v>Europe</v>
      </c>
      <c r="R399" s="20" t="str">
        <v>Married</v>
      </c>
      <c r="S399" s="20" t="str">
        <v>$40k-60k</v>
      </c>
      <c r="T399" s="89">
        <v>0.54301769146254275</v>
      </c>
      <c r="U399" s="91">
        <v>88.637662438758653</v>
      </c>
      <c r="V399" s="49">
        <v>87</v>
      </c>
      <c r="W399" s="20">
        <v>1</v>
      </c>
      <c r="X399" s="20" t="str">
        <v>Hot</v>
      </c>
      <c r="Y399" s="20">
        <v>1</v>
      </c>
    </row>
    <row r="400" spans="1:25" ht="15" customHeight="1" x14ac:dyDescent="0.25">
      <c r="A400" s="3"/>
      <c r="B400" s="3"/>
      <c r="C400" s="3"/>
      <c r="D400" s="3"/>
      <c r="E400" s="3"/>
      <c r="F400" s="3"/>
      <c r="G400" s="3"/>
      <c r="H400" s="3"/>
      <c r="I400" s="3"/>
      <c r="J400" s="3"/>
      <c r="K400" s="20">
        <v>14926</v>
      </c>
      <c r="L400" s="20" t="str">
        <v>0-1 Cars</v>
      </c>
      <c r="M400" s="20" t="str">
        <v>31-40</v>
      </c>
      <c r="N400" s="20" t="str">
        <v>0-1 Miles</v>
      </c>
      <c r="O400" s="20">
        <v>1</v>
      </c>
      <c r="P400" s="20" t="str">
        <v>Bachelors</v>
      </c>
      <c r="Q400" s="20" t="str">
        <v>Europe</v>
      </c>
      <c r="R400" s="20" t="str">
        <v>Married</v>
      </c>
      <c r="S400" s="20" t="str">
        <v>$10k-30k</v>
      </c>
      <c r="T400" s="89">
        <v>0.54173384770237354</v>
      </c>
      <c r="U400" s="91">
        <v>88.015186265174123</v>
      </c>
      <c r="V400" s="49">
        <v>98</v>
      </c>
      <c r="W400" s="20">
        <v>1</v>
      </c>
      <c r="X400" s="20" t="str">
        <v>Hot</v>
      </c>
      <c r="Y400" s="20">
        <v>1</v>
      </c>
    </row>
    <row r="401" spans="1:25" ht="15" customHeight="1" x14ac:dyDescent="0.25">
      <c r="A401" s="3"/>
      <c r="B401" s="3"/>
      <c r="C401" s="3"/>
      <c r="D401" s="3"/>
      <c r="E401" s="3"/>
      <c r="F401" s="3"/>
      <c r="G401" s="3"/>
      <c r="H401" s="3"/>
      <c r="I401" s="3"/>
      <c r="J401" s="3"/>
      <c r="K401" s="20">
        <v>16163</v>
      </c>
      <c r="L401" s="20" t="str">
        <v>0-1 Cars</v>
      </c>
      <c r="M401" s="20" t="str">
        <v>31-40</v>
      </c>
      <c r="N401" s="20" t="str">
        <v>2-5 Miles</v>
      </c>
      <c r="O401" s="20">
        <v>2</v>
      </c>
      <c r="P401" s="20" t="str">
        <v>Bachelors</v>
      </c>
      <c r="Q401" s="20" t="str">
        <v>Pacific</v>
      </c>
      <c r="R401" s="20" t="str">
        <v>Single</v>
      </c>
      <c r="S401" s="20" t="str">
        <v>$40k-60k</v>
      </c>
      <c r="T401" s="89">
        <v>0.56140120364337864</v>
      </c>
      <c r="U401" s="91">
        <v>97.550973134651059</v>
      </c>
      <c r="V401" s="49">
        <v>4</v>
      </c>
      <c r="W401" s="20">
        <v>1</v>
      </c>
      <c r="X401" s="20" t="str">
        <v>Hot</v>
      </c>
      <c r="Y401" s="20">
        <v>1</v>
      </c>
    </row>
    <row r="402" spans="1:25" ht="15" customHeight="1" x14ac:dyDescent="0.25">
      <c r="A402" s="3"/>
      <c r="B402" s="3"/>
      <c r="C402" s="3"/>
      <c r="D402" s="3"/>
      <c r="E402" s="3"/>
      <c r="F402" s="3"/>
      <c r="G402" s="3"/>
      <c r="H402" s="3"/>
      <c r="I402" s="3"/>
      <c r="J402" s="3"/>
      <c r="K402" s="20">
        <v>21365</v>
      </c>
      <c r="L402" s="20" t="str">
        <v>2+ Cars</v>
      </c>
      <c r="M402" s="20" t="str">
        <v>51-60</v>
      </c>
      <c r="N402" s="20" t="str">
        <v>5-10 Miles</v>
      </c>
      <c r="O402" s="20">
        <v>2</v>
      </c>
      <c r="P402" s="20" t="str">
        <v>Partial High School</v>
      </c>
      <c r="Q402" s="20" t="str">
        <v>Pacific</v>
      </c>
      <c r="R402" s="20" t="str">
        <v>Married</v>
      </c>
      <c r="S402" s="20" t="str">
        <v>$10k-30k</v>
      </c>
      <c r="T402" s="89">
        <v>0.41402388302301224</v>
      </c>
      <c r="U402" s="91">
        <v>26.094559621520723</v>
      </c>
      <c r="V402" s="49">
        <v>921</v>
      </c>
      <c r="W402" s="20">
        <v>10</v>
      </c>
      <c r="X402" s="20" t="str">
        <v>Cold</v>
      </c>
      <c r="Y402" s="20">
        <v>0</v>
      </c>
    </row>
    <row r="403" spans="1:25" ht="15" customHeight="1" x14ac:dyDescent="0.25">
      <c r="A403" s="3"/>
      <c r="B403" s="3"/>
      <c r="C403" s="3"/>
      <c r="D403" s="3"/>
      <c r="E403" s="3"/>
      <c r="F403" s="3"/>
      <c r="G403" s="3"/>
      <c r="H403" s="3"/>
      <c r="I403" s="3"/>
      <c r="J403" s="3"/>
      <c r="K403" s="20">
        <v>27771</v>
      </c>
      <c r="L403" s="20" t="str">
        <v>0-1 Cars</v>
      </c>
      <c r="M403" s="20" t="str">
        <v>31-40</v>
      </c>
      <c r="N403" s="20" t="str">
        <v>1-2 Miles</v>
      </c>
      <c r="O403" s="20">
        <v>1</v>
      </c>
      <c r="P403" s="20" t="str">
        <v>Bachelors</v>
      </c>
      <c r="Q403" s="20" t="str">
        <v>Europe</v>
      </c>
      <c r="R403" s="20" t="str">
        <v>Single</v>
      </c>
      <c r="S403" s="20" t="str">
        <v>$10k-30k</v>
      </c>
      <c r="T403" s="89">
        <v>0.53830874356790026</v>
      </c>
      <c r="U403" s="91">
        <v>86.354512449635706</v>
      </c>
      <c r="V403" s="49">
        <v>126</v>
      </c>
      <c r="W403" s="20">
        <v>2</v>
      </c>
      <c r="X403" s="20" t="str">
        <v>Hot</v>
      </c>
      <c r="Y403" s="20">
        <v>1</v>
      </c>
    </row>
    <row r="404" spans="1:25" ht="15" customHeight="1" x14ac:dyDescent="0.25">
      <c r="A404" s="3"/>
      <c r="B404" s="3"/>
      <c r="C404" s="3"/>
      <c r="D404" s="3"/>
      <c r="E404" s="3"/>
      <c r="F404" s="3"/>
      <c r="G404" s="3"/>
      <c r="H404" s="3"/>
      <c r="I404" s="3"/>
      <c r="J404" s="3"/>
      <c r="K404" s="20">
        <v>26167</v>
      </c>
      <c r="L404" s="20" t="str">
        <v>0-1 Cars</v>
      </c>
      <c r="M404" s="20" t="str">
        <v>51-60</v>
      </c>
      <c r="N404" s="20" t="str">
        <v>5-10 Miles</v>
      </c>
      <c r="O404" s="20">
        <v>2</v>
      </c>
      <c r="P404" s="20" t="str">
        <v>Bachelors</v>
      </c>
      <c r="Q404" s="20" t="str">
        <v>Pacific</v>
      </c>
      <c r="R404" s="20" t="str">
        <v>Single</v>
      </c>
      <c r="S404" s="20" t="str">
        <v>$40k-60k</v>
      </c>
      <c r="T404" s="89">
        <v>0.50897721354375691</v>
      </c>
      <c r="U404" s="91">
        <v>72.133016702831185</v>
      </c>
      <c r="V404" s="49">
        <v>328</v>
      </c>
      <c r="W404" s="20">
        <v>4</v>
      </c>
      <c r="X404" s="20" t="str">
        <v>Warm</v>
      </c>
      <c r="Y404" s="20">
        <v>1</v>
      </c>
    </row>
    <row r="405" spans="1:25" ht="15" customHeight="1" x14ac:dyDescent="0.25">
      <c r="A405" s="3"/>
      <c r="B405" s="3"/>
      <c r="C405" s="3"/>
      <c r="D405" s="3"/>
      <c r="E405" s="3"/>
      <c r="F405" s="3"/>
      <c r="G405" s="3"/>
      <c r="H405" s="3"/>
      <c r="I405" s="3"/>
      <c r="J405" s="3"/>
      <c r="K405" s="20">
        <v>25792</v>
      </c>
      <c r="L405" s="20" t="str">
        <v>2+ Cars</v>
      </c>
      <c r="M405" s="20" t="str">
        <v>51-60</v>
      </c>
      <c r="N405" s="20" t="str">
        <v>10+ Miles</v>
      </c>
      <c r="O405" s="20">
        <v>3</v>
      </c>
      <c r="P405" s="20" t="str">
        <v>Bachelors</v>
      </c>
      <c r="Q405" s="20" t="str">
        <v>Europe</v>
      </c>
      <c r="R405" s="20" t="str">
        <v>Single</v>
      </c>
      <c r="S405" s="20" t="str">
        <v>$100k+</v>
      </c>
      <c r="T405" s="89">
        <v>0.45477459512250173</v>
      </c>
      <c r="U405" s="91">
        <v>45.852686058331813</v>
      </c>
      <c r="V405" s="49">
        <v>697</v>
      </c>
      <c r="W405" s="20">
        <v>7</v>
      </c>
      <c r="X405" s="20" t="str">
        <v>Cold</v>
      </c>
      <c r="Y405" s="20">
        <v>0</v>
      </c>
    </row>
    <row r="406" spans="1:25" ht="15" customHeight="1" x14ac:dyDescent="0.25">
      <c r="A406" s="3"/>
      <c r="B406" s="3"/>
      <c r="C406" s="3"/>
      <c r="D406" s="3"/>
      <c r="E406" s="3"/>
      <c r="F406" s="3"/>
      <c r="G406" s="3"/>
      <c r="H406" s="3"/>
      <c r="I406" s="3"/>
      <c r="J406" s="3"/>
      <c r="K406" s="20">
        <v>11555</v>
      </c>
      <c r="L406" s="20" t="str">
        <v>0-1 Cars</v>
      </c>
      <c r="M406" s="20" t="str">
        <v>61+</v>
      </c>
      <c r="N406" s="20" t="str">
        <v>0-1 Miles</v>
      </c>
      <c r="O406" s="20">
        <v>1</v>
      </c>
      <c r="P406" s="20" t="str">
        <v>Bachelors</v>
      </c>
      <c r="Q406" s="20" t="str">
        <v>Europe</v>
      </c>
      <c r="R406" s="20" t="str">
        <v>Married</v>
      </c>
      <c r="S406" s="20" t="str">
        <v>$40k-60k</v>
      </c>
      <c r="T406" s="89">
        <v>0.50296751310534116</v>
      </c>
      <c r="U406" s="91">
        <v>69.219192256777774</v>
      </c>
      <c r="V406" s="49">
        <v>352</v>
      </c>
      <c r="W406" s="20">
        <v>4</v>
      </c>
      <c r="X406" s="20" t="str">
        <v>Warm</v>
      </c>
      <c r="Y406" s="20">
        <v>0</v>
      </c>
    </row>
    <row r="407" spans="1:25" ht="15" customHeight="1" x14ac:dyDescent="0.25">
      <c r="A407" s="3"/>
      <c r="B407" s="3"/>
      <c r="C407" s="3"/>
      <c r="D407" s="3"/>
      <c r="E407" s="3"/>
      <c r="F407" s="3"/>
      <c r="G407" s="3"/>
      <c r="H407" s="3"/>
      <c r="I407" s="3"/>
      <c r="J407" s="3"/>
      <c r="K407" s="20">
        <v>22381</v>
      </c>
      <c r="L407" s="20" t="str">
        <v>0-1 Cars</v>
      </c>
      <c r="M407" s="20" t="str">
        <v>41-50</v>
      </c>
      <c r="N407" s="20" t="str">
        <v>0-1 Miles</v>
      </c>
      <c r="O407" s="20">
        <v>1</v>
      </c>
      <c r="P407" s="20" t="str">
        <v>Graduate Degree</v>
      </c>
      <c r="Q407" s="20" t="str">
        <v>Europe</v>
      </c>
      <c r="R407" s="20" t="str">
        <v>Married</v>
      </c>
      <c r="S407" s="20" t="str">
        <v>$10k-30k</v>
      </c>
      <c r="T407" s="89">
        <v>0.51721314857297462</v>
      </c>
      <c r="U407" s="91">
        <v>76.12623883930236</v>
      </c>
      <c r="V407" s="49">
        <v>269</v>
      </c>
      <c r="W407" s="20">
        <v>3</v>
      </c>
      <c r="X407" s="20" t="str">
        <v>Hot</v>
      </c>
      <c r="Y407" s="20">
        <v>0</v>
      </c>
    </row>
    <row r="408" spans="1:25" ht="15" customHeight="1" x14ac:dyDescent="0.25">
      <c r="A408" s="3"/>
      <c r="B408" s="3"/>
      <c r="C408" s="3"/>
      <c r="D408" s="3"/>
      <c r="E408" s="3"/>
      <c r="F408" s="3"/>
      <c r="G408" s="3"/>
      <c r="H408" s="3"/>
      <c r="I408" s="3"/>
      <c r="J408" s="3"/>
      <c r="K408" s="20">
        <v>17882</v>
      </c>
      <c r="L408" s="20" t="str">
        <v>0-1 Cars</v>
      </c>
      <c r="M408" s="20" t="str">
        <v>41-50</v>
      </c>
      <c r="N408" s="20" t="str">
        <v>0-1 Miles</v>
      </c>
      <c r="O408" s="20">
        <v>1</v>
      </c>
      <c r="P408" s="20" t="str">
        <v>Graduate Degree</v>
      </c>
      <c r="Q408" s="20" t="str">
        <v>Europe</v>
      </c>
      <c r="R408" s="20" t="str">
        <v>Married</v>
      </c>
      <c r="S408" s="20" t="str">
        <v>$10k-30k</v>
      </c>
      <c r="T408" s="89">
        <v>0.51721314857297462</v>
      </c>
      <c r="U408" s="91">
        <v>76.12623883930236</v>
      </c>
      <c r="V408" s="49">
        <v>266</v>
      </c>
      <c r="W408" s="20">
        <v>3</v>
      </c>
      <c r="X408" s="20" t="str">
        <v>Hot</v>
      </c>
      <c r="Y408" s="20">
        <v>0</v>
      </c>
    </row>
    <row r="409" spans="1:25" ht="15" customHeight="1" x14ac:dyDescent="0.25">
      <c r="A409" s="3"/>
      <c r="B409" s="3"/>
      <c r="C409" s="3"/>
      <c r="D409" s="3"/>
      <c r="E409" s="3"/>
      <c r="F409" s="3"/>
      <c r="G409" s="3"/>
      <c r="H409" s="3"/>
      <c r="I409" s="3"/>
      <c r="J409" s="3"/>
      <c r="K409" s="20">
        <v>22174</v>
      </c>
      <c r="L409" s="20" t="str">
        <v>2+ Cars</v>
      </c>
      <c r="M409" s="20" t="str">
        <v>51-60</v>
      </c>
      <c r="N409" s="20" t="str">
        <v>5-10 Miles</v>
      </c>
      <c r="O409" s="20">
        <v>3</v>
      </c>
      <c r="P409" s="20" t="str">
        <v>High School</v>
      </c>
      <c r="Q409" s="20" t="str">
        <v>Pacific</v>
      </c>
      <c r="R409" s="20" t="str">
        <v>Married</v>
      </c>
      <c r="S409" s="20" t="str">
        <v>$10k-30k</v>
      </c>
      <c r="T409" s="89">
        <v>0.447262122374881</v>
      </c>
      <c r="U409" s="91">
        <v>42.210237159814341</v>
      </c>
      <c r="V409" s="49">
        <v>735</v>
      </c>
      <c r="W409" s="20">
        <v>8</v>
      </c>
      <c r="X409" s="20" t="str">
        <v>Cold</v>
      </c>
      <c r="Y409" s="20">
        <v>1</v>
      </c>
    </row>
    <row r="410" spans="1:25" ht="15" customHeight="1" x14ac:dyDescent="0.25">
      <c r="A410" s="3"/>
      <c r="B410" s="3"/>
      <c r="C410" s="3"/>
      <c r="D410" s="3"/>
      <c r="E410" s="3"/>
      <c r="F410" s="3"/>
      <c r="G410" s="3"/>
      <c r="H410" s="3"/>
      <c r="I410" s="3"/>
      <c r="J410" s="3"/>
      <c r="K410" s="20">
        <v>22439</v>
      </c>
      <c r="L410" s="20" t="str">
        <v>0-1 Cars</v>
      </c>
      <c r="M410" s="20" t="str">
        <v>31-40</v>
      </c>
      <c r="N410" s="20" t="str">
        <v>0-1 Miles</v>
      </c>
      <c r="O410" s="20">
        <v>0</v>
      </c>
      <c r="P410" s="20" t="str">
        <v>Bachelors</v>
      </c>
      <c r="Q410" s="20" t="str">
        <v>Europe</v>
      </c>
      <c r="R410" s="20" t="str">
        <v>Married</v>
      </c>
      <c r="S410" s="20" t="str">
        <v>$10k-30k</v>
      </c>
      <c r="T410" s="89">
        <v>0.53219230862329037</v>
      </c>
      <c r="U410" s="91">
        <v>83.388937401938662</v>
      </c>
      <c r="V410" s="49">
        <v>177</v>
      </c>
      <c r="W410" s="20">
        <v>2</v>
      </c>
      <c r="X410" s="20" t="str">
        <v>Hot</v>
      </c>
      <c r="Y410" s="20">
        <v>1</v>
      </c>
    </row>
    <row r="411" spans="1:25" ht="15" customHeight="1" x14ac:dyDescent="0.25">
      <c r="A411" s="3"/>
      <c r="B411" s="3"/>
      <c r="C411" s="3"/>
      <c r="D411" s="3"/>
      <c r="E411" s="3"/>
      <c r="F411" s="3"/>
      <c r="G411" s="3"/>
      <c r="H411" s="3"/>
      <c r="I411" s="3"/>
      <c r="J411" s="3"/>
      <c r="K411" s="20">
        <v>18012</v>
      </c>
      <c r="L411" s="20" t="str">
        <v>0-1 Cars</v>
      </c>
      <c r="M411" s="20" t="str">
        <v>41-50</v>
      </c>
      <c r="N411" s="20" t="str">
        <v>0-1 Miles</v>
      </c>
      <c r="O411" s="20">
        <v>1</v>
      </c>
      <c r="P411" s="20" t="str">
        <v>Bachelors</v>
      </c>
      <c r="Q411" s="20" t="str">
        <v>Europe</v>
      </c>
      <c r="R411" s="20" t="str">
        <v>Married</v>
      </c>
      <c r="S411" s="20" t="str">
        <v>$40k-60k</v>
      </c>
      <c r="T411" s="89">
        <v>0.52952886380755659</v>
      </c>
      <c r="U411" s="91">
        <v>82.097556792484326</v>
      </c>
      <c r="V411" s="49">
        <v>196</v>
      </c>
      <c r="W411" s="20">
        <v>2</v>
      </c>
      <c r="X411" s="20" t="str">
        <v>Hot</v>
      </c>
      <c r="Y411" s="20">
        <v>0</v>
      </c>
    </row>
    <row r="412" spans="1:25" ht="15" customHeight="1" x14ac:dyDescent="0.25">
      <c r="A412" s="3"/>
      <c r="B412" s="3"/>
      <c r="C412" s="3"/>
      <c r="D412" s="3"/>
      <c r="E412" s="3"/>
      <c r="F412" s="3"/>
      <c r="G412" s="3"/>
      <c r="H412" s="3"/>
      <c r="I412" s="3"/>
      <c r="J412" s="3"/>
      <c r="K412" s="20">
        <v>27582</v>
      </c>
      <c r="L412" s="20" t="str">
        <v>0-1 Cars</v>
      </c>
      <c r="M412" s="20" t="str">
        <v>31-40</v>
      </c>
      <c r="N412" s="20" t="str">
        <v>0-1 Miles</v>
      </c>
      <c r="O412" s="20">
        <v>2</v>
      </c>
      <c r="P412" s="20" t="str">
        <v>Bachelors</v>
      </c>
      <c r="Q412" s="20" t="str">
        <v>Pacific</v>
      </c>
      <c r="R412" s="20" t="str">
        <v>Single</v>
      </c>
      <c r="S412" s="20" t="str">
        <v>$70k-90k</v>
      </c>
      <c r="T412" s="89">
        <v>0.55266954936709212</v>
      </c>
      <c r="U412" s="91">
        <v>93.317399773474079</v>
      </c>
      <c r="V412" s="49">
        <v>25</v>
      </c>
      <c r="W412" s="20">
        <v>1</v>
      </c>
      <c r="X412" s="20" t="str">
        <v>Hot</v>
      </c>
      <c r="Y412" s="20">
        <v>1</v>
      </c>
    </row>
    <row r="413" spans="1:25" ht="15" customHeight="1" x14ac:dyDescent="0.25">
      <c r="A413" s="3"/>
      <c r="B413" s="3"/>
      <c r="C413" s="3"/>
      <c r="D413" s="3"/>
      <c r="E413" s="3"/>
      <c r="F413" s="3"/>
      <c r="G413" s="3"/>
      <c r="H413" s="3"/>
      <c r="I413" s="3"/>
      <c r="J413" s="3"/>
      <c r="K413" s="20">
        <v>12744</v>
      </c>
      <c r="L413" s="20" t="str">
        <v>0-1 Cars</v>
      </c>
      <c r="M413" s="20" t="str">
        <v>31-40</v>
      </c>
      <c r="N413" s="20" t="str">
        <v>0-1 Miles</v>
      </c>
      <c r="O413" s="20">
        <v>2</v>
      </c>
      <c r="P413" s="20" t="str">
        <v>Partial College</v>
      </c>
      <c r="Q413" s="20" t="str">
        <v>Europe</v>
      </c>
      <c r="R413" s="20" t="str">
        <v>Single</v>
      </c>
      <c r="S413" s="20" t="str">
        <v>$40k-60k</v>
      </c>
      <c r="T413" s="89">
        <v>0.53420486297595748</v>
      </c>
      <c r="U413" s="91">
        <v>84.364731475521225</v>
      </c>
      <c r="V413" s="49">
        <v>158</v>
      </c>
      <c r="W413" s="20">
        <v>2</v>
      </c>
      <c r="X413" s="20" t="str">
        <v>Hot</v>
      </c>
      <c r="Y413" s="20">
        <v>0</v>
      </c>
    </row>
    <row r="414" spans="1:25" ht="15" customHeight="1" x14ac:dyDescent="0.25">
      <c r="A414" s="3"/>
      <c r="B414" s="3"/>
      <c r="C414" s="3"/>
      <c r="D414" s="3"/>
      <c r="E414" s="3"/>
      <c r="F414" s="3"/>
      <c r="G414" s="3"/>
      <c r="H414" s="3"/>
      <c r="I414" s="3"/>
      <c r="J414" s="3"/>
      <c r="K414" s="20">
        <v>22821</v>
      </c>
      <c r="L414" s="20" t="str">
        <v>2+ Cars</v>
      </c>
      <c r="M414" s="20" t="str">
        <v>51-60</v>
      </c>
      <c r="N414" s="20" t="str">
        <v>0-1 Miles</v>
      </c>
      <c r="O414" s="20">
        <v>3</v>
      </c>
      <c r="P414" s="20" t="str">
        <v>Partial College</v>
      </c>
      <c r="Q414" s="20" t="str">
        <v>Europe</v>
      </c>
      <c r="R414" s="20" t="str">
        <v>Married</v>
      </c>
      <c r="S414" s="20" t="str">
        <v>$100k+</v>
      </c>
      <c r="T414" s="89">
        <v>0.46828098948141955</v>
      </c>
      <c r="U414" s="91">
        <v>52.401308982942574</v>
      </c>
      <c r="V414" s="49">
        <v>591</v>
      </c>
      <c r="W414" s="20">
        <v>6</v>
      </c>
      <c r="X414" s="20" t="str">
        <v>Warm</v>
      </c>
      <c r="Y414" s="20">
        <v>0</v>
      </c>
    </row>
    <row r="415" spans="1:25" ht="15" customHeight="1" x14ac:dyDescent="0.25">
      <c r="A415" s="3"/>
      <c r="B415" s="3"/>
      <c r="C415" s="3"/>
      <c r="D415" s="3"/>
      <c r="E415" s="3"/>
      <c r="F415" s="3"/>
      <c r="G415" s="3"/>
      <c r="H415" s="3"/>
      <c r="I415" s="3"/>
      <c r="J415" s="3"/>
      <c r="K415" s="20">
        <v>20171</v>
      </c>
      <c r="L415" s="20" t="str">
        <v>0-1 Cars</v>
      </c>
      <c r="M415" s="20" t="str">
        <v>41-50</v>
      </c>
      <c r="N415" s="20" t="str">
        <v>0-1 Miles</v>
      </c>
      <c r="O415" s="20">
        <v>2</v>
      </c>
      <c r="P415" s="20" t="str">
        <v>Partial College</v>
      </c>
      <c r="Q415" s="20" t="str">
        <v>Europe</v>
      </c>
      <c r="R415" s="20" t="str">
        <v>Married</v>
      </c>
      <c r="S415" s="20" t="str">
        <v>$10k-30k</v>
      </c>
      <c r="T415" s="89">
        <v>0.49067107069481047</v>
      </c>
      <c r="U415" s="91">
        <v>63.257218800287554</v>
      </c>
      <c r="V415" s="49">
        <v>451</v>
      </c>
      <c r="W415" s="20">
        <v>5</v>
      </c>
      <c r="X415" s="20" t="str">
        <v>Warm</v>
      </c>
      <c r="Y415" s="20">
        <v>1</v>
      </c>
    </row>
    <row r="416" spans="1:25" ht="15" customHeight="1" x14ac:dyDescent="0.25">
      <c r="A416" s="3"/>
      <c r="B416" s="3"/>
      <c r="C416" s="3"/>
      <c r="D416" s="3"/>
      <c r="E416" s="3"/>
      <c r="F416" s="3"/>
      <c r="G416" s="3"/>
      <c r="H416" s="3"/>
      <c r="I416" s="3"/>
      <c r="J416" s="3"/>
      <c r="K416" s="20">
        <v>11116</v>
      </c>
      <c r="L416" s="20" t="str">
        <v>2+ Cars</v>
      </c>
      <c r="M416" s="20" t="str">
        <v>41-50</v>
      </c>
      <c r="N416" s="20" t="str">
        <v>5-10 Miles</v>
      </c>
      <c r="O416" s="20">
        <v>5</v>
      </c>
      <c r="P416" s="20" t="str">
        <v>Partial College</v>
      </c>
      <c r="Q416" s="20" t="str">
        <v>Pacific</v>
      </c>
      <c r="R416" s="20" t="str">
        <v>Married</v>
      </c>
      <c r="S416" s="20" t="str">
        <v>$70k-90k</v>
      </c>
      <c r="T416" s="89">
        <v>0.41312809252067262</v>
      </c>
      <c r="U416" s="91">
        <v>25.660232438159859</v>
      </c>
      <c r="V416" s="49">
        <v>927</v>
      </c>
      <c r="W416" s="20">
        <v>10</v>
      </c>
      <c r="X416" s="20" t="str">
        <v>Cold</v>
      </c>
      <c r="Y416" s="20">
        <v>0</v>
      </c>
    </row>
    <row r="417" spans="1:25" ht="15" customHeight="1" x14ac:dyDescent="0.25">
      <c r="A417" s="3"/>
      <c r="B417" s="3"/>
      <c r="C417" s="3"/>
      <c r="D417" s="3"/>
      <c r="E417" s="3"/>
      <c r="F417" s="3"/>
      <c r="G417" s="3"/>
      <c r="H417" s="3"/>
      <c r="I417" s="3"/>
      <c r="J417" s="3"/>
      <c r="K417" s="20">
        <v>20053</v>
      </c>
      <c r="L417" s="20" t="str">
        <v>0-1 Cars</v>
      </c>
      <c r="M417" s="20" t="str">
        <v>31-40</v>
      </c>
      <c r="N417" s="20" t="str">
        <v>0-1 Miles</v>
      </c>
      <c r="O417" s="20">
        <v>2</v>
      </c>
      <c r="P417" s="20" t="str">
        <v>Partial College</v>
      </c>
      <c r="Q417" s="20" t="str">
        <v>Europe</v>
      </c>
      <c r="R417" s="20" t="str">
        <v>Single</v>
      </c>
      <c r="S417" s="20" t="str">
        <v>$40k-60k</v>
      </c>
      <c r="T417" s="89">
        <v>0.53420486297595748</v>
      </c>
      <c r="U417" s="91">
        <v>84.364731475521225</v>
      </c>
      <c r="V417" s="49">
        <v>159</v>
      </c>
      <c r="W417" s="20">
        <v>2</v>
      </c>
      <c r="X417" s="20" t="str">
        <v>Hot</v>
      </c>
      <c r="Y417" s="20">
        <v>0</v>
      </c>
    </row>
    <row r="418" spans="1:25" ht="15" customHeight="1" x14ac:dyDescent="0.25">
      <c r="A418" s="3"/>
      <c r="B418" s="3"/>
      <c r="C418" s="3"/>
      <c r="D418" s="3"/>
      <c r="E418" s="3"/>
      <c r="F418" s="3"/>
      <c r="G418" s="3"/>
      <c r="H418" s="3"/>
      <c r="I418" s="3"/>
      <c r="J418" s="3"/>
      <c r="K418" s="20">
        <v>25266</v>
      </c>
      <c r="L418" s="20" t="str">
        <v>2+ Cars</v>
      </c>
      <c r="M418" s="20" t="str">
        <v>61+</v>
      </c>
      <c r="N418" s="20" t="str">
        <v>5-10 Miles</v>
      </c>
      <c r="O418" s="20">
        <v>2</v>
      </c>
      <c r="P418" s="20" t="str">
        <v>Partial College</v>
      </c>
      <c r="Q418" s="20" t="str">
        <v>Pacific</v>
      </c>
      <c r="R418" s="20" t="str">
        <v>Single</v>
      </c>
      <c r="S418" s="20" t="str">
        <v>$10k-30k</v>
      </c>
      <c r="T418" s="89">
        <v>0.42201630255043748</v>
      </c>
      <c r="U418" s="91">
        <v>29.969712408381699</v>
      </c>
      <c r="V418" s="49">
        <v>878</v>
      </c>
      <c r="W418" s="20">
        <v>9</v>
      </c>
      <c r="X418" s="20" t="str">
        <v>Cold</v>
      </c>
      <c r="Y418" s="20">
        <v>0</v>
      </c>
    </row>
    <row r="419" spans="1:25" ht="15" customHeight="1" x14ac:dyDescent="0.25">
      <c r="A419" s="3"/>
      <c r="B419" s="3"/>
      <c r="C419" s="3"/>
      <c r="D419" s="3"/>
      <c r="E419" s="3"/>
      <c r="F419" s="3"/>
      <c r="G419" s="3"/>
      <c r="H419" s="3"/>
      <c r="I419" s="3"/>
      <c r="J419" s="3"/>
      <c r="K419" s="20">
        <v>17960</v>
      </c>
      <c r="L419" s="20" t="str">
        <v>0-1 Cars</v>
      </c>
      <c r="M419" s="20" t="str">
        <v>31-40</v>
      </c>
      <c r="N419" s="20" t="str">
        <v>0-1 Miles</v>
      </c>
      <c r="O419" s="20">
        <v>0</v>
      </c>
      <c r="P419" s="20" t="str">
        <v>Graduate Degree</v>
      </c>
      <c r="Q419" s="20" t="str">
        <v>Europe</v>
      </c>
      <c r="R419" s="20" t="str">
        <v>Married</v>
      </c>
      <c r="S419" s="20" t="str">
        <v>$40k-60k</v>
      </c>
      <c r="T419" s="89">
        <v>0.54152735906721317</v>
      </c>
      <c r="U419" s="91">
        <v>87.915069522396678</v>
      </c>
      <c r="V419" s="49">
        <v>100</v>
      </c>
      <c r="W419" s="20">
        <v>1</v>
      </c>
      <c r="X419" s="20" t="str">
        <v>Hot</v>
      </c>
      <c r="Y419" s="20">
        <v>1</v>
      </c>
    </row>
    <row r="420" spans="1:25" ht="15" customHeight="1" x14ac:dyDescent="0.25">
      <c r="A420" s="3"/>
      <c r="B420" s="3"/>
      <c r="C420" s="3"/>
      <c r="D420" s="3"/>
      <c r="E420" s="3"/>
      <c r="F420" s="3"/>
      <c r="G420" s="3"/>
      <c r="H420" s="3"/>
      <c r="I420" s="3"/>
      <c r="J420" s="3"/>
      <c r="K420" s="20">
        <v>13961</v>
      </c>
      <c r="L420" s="20" t="str">
        <v>2+ Cars</v>
      </c>
      <c r="M420" s="20" t="str">
        <v>31-40</v>
      </c>
      <c r="N420" s="20" t="str">
        <v>0-1 Miles</v>
      </c>
      <c r="O420" s="20">
        <v>5</v>
      </c>
      <c r="P420" s="20" t="str">
        <v>Graduate Degree</v>
      </c>
      <c r="Q420" s="20" t="str">
        <v>Pacific</v>
      </c>
      <c r="R420" s="20" t="str">
        <v>Married</v>
      </c>
      <c r="S420" s="20" t="str">
        <v>$70k-90k</v>
      </c>
      <c r="T420" s="89">
        <v>0.46915595674243199</v>
      </c>
      <c r="U420" s="91">
        <v>52.825539944329158</v>
      </c>
      <c r="V420" s="49">
        <v>582</v>
      </c>
      <c r="W420" s="20">
        <v>6</v>
      </c>
      <c r="X420" s="20" t="str">
        <v>Warm</v>
      </c>
      <c r="Y420" s="20">
        <v>0</v>
      </c>
    </row>
    <row r="421" spans="1:25" ht="15" customHeight="1" x14ac:dyDescent="0.25">
      <c r="A421" s="3"/>
      <c r="B421" s="3"/>
      <c r="C421" s="3"/>
      <c r="D421" s="3"/>
      <c r="E421" s="3"/>
      <c r="F421" s="3"/>
      <c r="G421" s="3"/>
      <c r="H421" s="3"/>
      <c r="I421" s="3"/>
      <c r="J421" s="3"/>
      <c r="K421" s="20">
        <v>11897</v>
      </c>
      <c r="L421" s="20" t="str">
        <v>0-1 Cars</v>
      </c>
      <c r="M421" s="20" t="str">
        <v>31-40</v>
      </c>
      <c r="N421" s="20" t="str">
        <v>0-1 Miles</v>
      </c>
      <c r="O421" s="20">
        <v>2</v>
      </c>
      <c r="P421" s="20" t="str">
        <v>Bachelors</v>
      </c>
      <c r="Q421" s="20" t="str">
        <v>Pacific</v>
      </c>
      <c r="R421" s="20" t="str">
        <v>Single</v>
      </c>
      <c r="S421" s="20" t="str">
        <v>$40k-60k</v>
      </c>
      <c r="T421" s="89">
        <v>0.55563468222770662</v>
      </c>
      <c r="U421" s="91">
        <v>94.755054895154728</v>
      </c>
      <c r="V421" s="49">
        <v>14</v>
      </c>
      <c r="W421" s="20">
        <v>1</v>
      </c>
      <c r="X421" s="20" t="str">
        <v>Hot</v>
      </c>
      <c r="Y421" s="20">
        <v>1</v>
      </c>
    </row>
    <row r="422" spans="1:25" ht="15" customHeight="1" x14ac:dyDescent="0.25">
      <c r="A422" s="3"/>
      <c r="B422" s="3"/>
      <c r="C422" s="3"/>
      <c r="D422" s="3"/>
      <c r="E422" s="3"/>
      <c r="F422" s="3"/>
      <c r="G422" s="3"/>
      <c r="H422" s="3"/>
      <c r="I422" s="3"/>
      <c r="J422" s="3"/>
      <c r="K422" s="20">
        <v>11139</v>
      </c>
      <c r="L422" s="20" t="str">
        <v>2+ Cars</v>
      </c>
      <c r="M422" s="20" t="str">
        <v>61+</v>
      </c>
      <c r="N422" s="20" t="str">
        <v>5-10 Miles</v>
      </c>
      <c r="O422" s="20">
        <v>2</v>
      </c>
      <c r="P422" s="20" t="str">
        <v>Partial College</v>
      </c>
      <c r="Q422" s="20" t="str">
        <v>Pacific</v>
      </c>
      <c r="R422" s="20" t="str">
        <v>Single</v>
      </c>
      <c r="S422" s="20" t="str">
        <v>$10k-30k</v>
      </c>
      <c r="T422" s="89">
        <v>0.42201630255043748</v>
      </c>
      <c r="U422" s="91">
        <v>29.969712408381699</v>
      </c>
      <c r="V422" s="49">
        <v>877</v>
      </c>
      <c r="W422" s="20">
        <v>9</v>
      </c>
      <c r="X422" s="20" t="str">
        <v>Cold</v>
      </c>
      <c r="Y422" s="20">
        <v>0</v>
      </c>
    </row>
    <row r="423" spans="1:25" ht="15" customHeight="1" x14ac:dyDescent="0.25">
      <c r="A423" s="3"/>
      <c r="B423" s="3"/>
      <c r="C423" s="3"/>
      <c r="D423" s="3"/>
      <c r="E423" s="3"/>
      <c r="F423" s="3"/>
      <c r="G423" s="3"/>
      <c r="H423" s="3"/>
      <c r="I423" s="3"/>
      <c r="J423" s="3"/>
      <c r="K423" s="20">
        <v>11576</v>
      </c>
      <c r="L423" s="20" t="str">
        <v>2+ Cars</v>
      </c>
      <c r="M423" s="20" t="str">
        <v>41-50</v>
      </c>
      <c r="N423" s="20" t="str">
        <v>0-1 Miles</v>
      </c>
      <c r="O423" s="20">
        <v>1</v>
      </c>
      <c r="P423" s="20" t="str">
        <v>Bachelors</v>
      </c>
      <c r="Q423" s="20" t="str">
        <v>Europe</v>
      </c>
      <c r="R423" s="20" t="str">
        <v>Married</v>
      </c>
      <c r="S423" s="20" t="str">
        <v>$10k-30k</v>
      </c>
      <c r="T423" s="89">
        <v>0.47999003144959201</v>
      </c>
      <c r="U423" s="91">
        <v>58.078479263949198</v>
      </c>
      <c r="V423" s="49">
        <v>515</v>
      </c>
      <c r="W423" s="20">
        <v>6</v>
      </c>
      <c r="X423" s="20" t="str">
        <v>Warm</v>
      </c>
      <c r="Y423" s="20">
        <v>1</v>
      </c>
    </row>
    <row r="424" spans="1:25" ht="15" customHeight="1" x14ac:dyDescent="0.25">
      <c r="A424" s="3"/>
      <c r="B424" s="3"/>
      <c r="C424" s="3"/>
      <c r="D424" s="3"/>
      <c r="E424" s="3"/>
      <c r="F424" s="3"/>
      <c r="G424" s="3"/>
      <c r="H424" s="3"/>
      <c r="I424" s="3"/>
      <c r="J424" s="3"/>
      <c r="K424" s="20">
        <v>19255</v>
      </c>
      <c r="L424" s="20" t="str">
        <v>0-1 Cars</v>
      </c>
      <c r="M424" s="20" t="str">
        <v>51-60</v>
      </c>
      <c r="N424" s="20" t="str">
        <v>0-1 Miles</v>
      </c>
      <c r="O424" s="20">
        <v>2</v>
      </c>
      <c r="P424" s="20" t="str">
        <v>Partial College</v>
      </c>
      <c r="Q424" s="20" t="str">
        <v>Europe</v>
      </c>
      <c r="R424" s="20" t="str">
        <v>Single</v>
      </c>
      <c r="S424" s="20" t="str">
        <v>$10k-30k</v>
      </c>
      <c r="T424" s="89">
        <v>0.49845048312883361</v>
      </c>
      <c r="U424" s="91">
        <v>67.029094346910327</v>
      </c>
      <c r="V424" s="49">
        <v>386</v>
      </c>
      <c r="W424" s="20">
        <v>4</v>
      </c>
      <c r="X424" s="20" t="str">
        <v>Warm</v>
      </c>
      <c r="Y424" s="20">
        <v>1</v>
      </c>
    </row>
    <row r="425" spans="1:25" ht="15" customHeight="1" x14ac:dyDescent="0.25">
      <c r="A425" s="3"/>
      <c r="B425" s="3"/>
      <c r="C425" s="3"/>
      <c r="D425" s="3"/>
      <c r="E425" s="3"/>
      <c r="F425" s="3"/>
      <c r="G425" s="3"/>
      <c r="H425" s="3"/>
      <c r="I425" s="3"/>
      <c r="J425" s="3"/>
      <c r="K425" s="20">
        <v>18153</v>
      </c>
      <c r="L425" s="20" t="str">
        <v>2+ Cars</v>
      </c>
      <c r="M425" s="20" t="str">
        <v>51-60</v>
      </c>
      <c r="N425" s="20" t="str">
        <v>10+ Miles</v>
      </c>
      <c r="O425" s="20">
        <v>2</v>
      </c>
      <c r="P425" s="20" t="str">
        <v>Bachelors</v>
      </c>
      <c r="Q425" s="20" t="str">
        <v>Europe</v>
      </c>
      <c r="R425" s="20" t="str">
        <v>Married</v>
      </c>
      <c r="S425" s="20" t="str">
        <v>$100k+</v>
      </c>
      <c r="T425" s="89">
        <v>0.43388173405704517</v>
      </c>
      <c r="U425" s="91">
        <v>35.722708708483495</v>
      </c>
      <c r="V425" s="49">
        <v>812</v>
      </c>
      <c r="W425" s="20">
        <v>9</v>
      </c>
      <c r="X425" s="20" t="str">
        <v>Cold</v>
      </c>
      <c r="Y425" s="20">
        <v>0</v>
      </c>
    </row>
    <row r="426" spans="1:25" ht="15" customHeight="1" x14ac:dyDescent="0.25">
      <c r="A426" s="3"/>
      <c r="B426" s="3"/>
      <c r="C426" s="3"/>
      <c r="D426" s="3"/>
      <c r="E426" s="3"/>
      <c r="F426" s="3"/>
      <c r="G426" s="3"/>
      <c r="H426" s="3"/>
      <c r="I426" s="3"/>
      <c r="J426" s="3"/>
      <c r="K426" s="20">
        <v>14547</v>
      </c>
      <c r="L426" s="20" t="str">
        <v>0-1 Cars</v>
      </c>
      <c r="M426" s="20" t="str">
        <v>51-60</v>
      </c>
      <c r="N426" s="20" t="str">
        <v>1-2 Miles</v>
      </c>
      <c r="O426" s="20">
        <v>2</v>
      </c>
      <c r="P426" s="20" t="str">
        <v>Partial College</v>
      </c>
      <c r="Q426" s="20" t="str">
        <v>Europe</v>
      </c>
      <c r="R426" s="20" t="str">
        <v>Married</v>
      </c>
      <c r="S426" s="20" t="str">
        <v>$10k-30k</v>
      </c>
      <c r="T426" s="89">
        <v>0.47566929357870996</v>
      </c>
      <c r="U426" s="91">
        <v>55.983554273564181</v>
      </c>
      <c r="V426" s="49">
        <v>533</v>
      </c>
      <c r="W426" s="20">
        <v>6</v>
      </c>
      <c r="X426" s="20" t="str">
        <v>Warm</v>
      </c>
      <c r="Y426" s="20">
        <v>0</v>
      </c>
    </row>
    <row r="427" spans="1:25" ht="15" customHeight="1" x14ac:dyDescent="0.25">
      <c r="A427" s="3"/>
      <c r="B427" s="3"/>
      <c r="C427" s="3"/>
      <c r="D427" s="3"/>
      <c r="E427" s="3"/>
      <c r="F427" s="3"/>
      <c r="G427" s="3"/>
      <c r="H427" s="3"/>
      <c r="I427" s="3"/>
      <c r="J427" s="3"/>
      <c r="K427" s="20">
        <v>24901</v>
      </c>
      <c r="L427" s="20" t="str">
        <v>2+ Cars</v>
      </c>
      <c r="M427" s="20" t="str">
        <v>31-40</v>
      </c>
      <c r="N427" s="20" t="str">
        <v>10+ Miles</v>
      </c>
      <c r="O427" s="20">
        <v>0</v>
      </c>
      <c r="P427" s="20" t="str">
        <v>Partial College</v>
      </c>
      <c r="Q427" s="20" t="str">
        <v>Pacific</v>
      </c>
      <c r="R427" s="20" t="str">
        <v>Single</v>
      </c>
      <c r="S427" s="20" t="str">
        <v>$100k+</v>
      </c>
      <c r="T427" s="89">
        <v>0.47013138959807738</v>
      </c>
      <c r="U427" s="91">
        <v>53.298482003486512</v>
      </c>
      <c r="V427" s="49">
        <v>579</v>
      </c>
      <c r="W427" s="20">
        <v>6</v>
      </c>
      <c r="X427" s="20" t="str">
        <v>Warm</v>
      </c>
      <c r="Y427" s="20">
        <v>1</v>
      </c>
    </row>
    <row r="428" spans="1:25" ht="15" customHeight="1" x14ac:dyDescent="0.25">
      <c r="A428" s="3"/>
      <c r="B428" s="3"/>
      <c r="C428" s="3"/>
      <c r="D428" s="3"/>
      <c r="E428" s="3"/>
      <c r="F428" s="3"/>
      <c r="G428" s="3"/>
      <c r="H428" s="3"/>
      <c r="I428" s="3"/>
      <c r="J428" s="3"/>
      <c r="K428" s="20">
        <v>27169</v>
      </c>
      <c r="L428" s="20" t="str">
        <v>0-1 Cars</v>
      </c>
      <c r="M428" s="20" t="str">
        <v>31-40</v>
      </c>
      <c r="N428" s="20" t="str">
        <v>2-5 Miles</v>
      </c>
      <c r="O428" s="20">
        <v>0</v>
      </c>
      <c r="P428" s="20" t="str">
        <v>High School</v>
      </c>
      <c r="Q428" s="20" t="str">
        <v>Europe</v>
      </c>
      <c r="R428" s="20" t="str">
        <v>Single</v>
      </c>
      <c r="S428" s="20" t="str">
        <v>$10k-30k</v>
      </c>
      <c r="T428" s="89">
        <v>0.53392383828606993</v>
      </c>
      <c r="U428" s="91">
        <v>84.228475663816454</v>
      </c>
      <c r="V428" s="49">
        <v>167</v>
      </c>
      <c r="W428" s="20">
        <v>2</v>
      </c>
      <c r="X428" s="20" t="str">
        <v>Hot</v>
      </c>
      <c r="Y428" s="20">
        <v>1</v>
      </c>
    </row>
    <row r="429" spans="1:25" ht="15" customHeight="1" x14ac:dyDescent="0.25">
      <c r="A429" s="3"/>
      <c r="B429" s="3"/>
      <c r="C429" s="3"/>
      <c r="D429" s="3"/>
      <c r="E429" s="3"/>
      <c r="F429" s="3"/>
      <c r="G429" s="3"/>
      <c r="H429" s="3"/>
      <c r="I429" s="3"/>
      <c r="J429" s="3"/>
      <c r="K429" s="20">
        <v>14805</v>
      </c>
      <c r="L429" s="20" t="str">
        <v>2+ Cars</v>
      </c>
      <c r="M429" s="20" t="str">
        <v>41-50</v>
      </c>
      <c r="N429" s="20" t="str">
        <v>0-1 Miles</v>
      </c>
      <c r="O429" s="20">
        <v>3</v>
      </c>
      <c r="P429" s="20" t="str">
        <v>Partial High School</v>
      </c>
      <c r="Q429" s="20" t="str">
        <v>Europe</v>
      </c>
      <c r="R429" s="20" t="str">
        <v>Single</v>
      </c>
      <c r="S429" s="20" t="str">
        <v>$10k-30k</v>
      </c>
      <c r="T429" s="89">
        <v>0.4498733849935414</v>
      </c>
      <c r="U429" s="91">
        <v>43.47631704703813</v>
      </c>
      <c r="V429" s="49">
        <v>727</v>
      </c>
      <c r="W429" s="20">
        <v>8</v>
      </c>
      <c r="X429" s="20" t="str">
        <v>Cold</v>
      </c>
      <c r="Y429" s="20">
        <v>0</v>
      </c>
    </row>
    <row r="430" spans="1:25" ht="15" customHeight="1" x14ac:dyDescent="0.25">
      <c r="A430" s="3"/>
      <c r="B430" s="3"/>
      <c r="C430" s="3"/>
      <c r="D430" s="3"/>
      <c r="E430" s="3"/>
      <c r="F430" s="3"/>
      <c r="G430" s="3"/>
      <c r="H430" s="3"/>
      <c r="I430" s="3"/>
      <c r="J430" s="3"/>
      <c r="K430" s="20">
        <v>15822</v>
      </c>
      <c r="L430" s="20" t="str">
        <v>2+ Cars</v>
      </c>
      <c r="M430" s="20" t="str">
        <v>61+</v>
      </c>
      <c r="N430" s="20" t="str">
        <v>0-1 Miles</v>
      </c>
      <c r="O430" s="20">
        <v>2</v>
      </c>
      <c r="P430" s="20" t="str">
        <v>Bachelors</v>
      </c>
      <c r="Q430" s="20" t="str">
        <v>Pacific</v>
      </c>
      <c r="R430" s="20" t="str">
        <v>Married</v>
      </c>
      <c r="S430" s="20" t="str">
        <v>$40k-60k</v>
      </c>
      <c r="T430" s="89">
        <v>0.45765147256488448</v>
      </c>
      <c r="U430" s="91">
        <v>47.247550229319387</v>
      </c>
      <c r="V430" s="49">
        <v>666</v>
      </c>
      <c r="W430" s="20">
        <v>7</v>
      </c>
      <c r="X430" s="20" t="str">
        <v>Cold</v>
      </c>
      <c r="Y430" s="20">
        <v>0</v>
      </c>
    </row>
    <row r="431" spans="1:25" ht="15" customHeight="1" x14ac:dyDescent="0.25">
      <c r="A431" s="3"/>
      <c r="B431" s="3"/>
      <c r="C431" s="3"/>
      <c r="D431" s="3"/>
      <c r="E431" s="3"/>
      <c r="F431" s="3"/>
      <c r="G431" s="3"/>
      <c r="H431" s="3"/>
      <c r="I431" s="3"/>
      <c r="J431" s="3"/>
      <c r="K431" s="20">
        <v>19389</v>
      </c>
      <c r="L431" s="20" t="str">
        <v>0-1 Cars</v>
      </c>
      <c r="M431" s="20" t="str">
        <v>25-30</v>
      </c>
      <c r="N431" s="20" t="str">
        <v>2-5 Miles</v>
      </c>
      <c r="O431" s="20">
        <v>0</v>
      </c>
      <c r="P431" s="20" t="str">
        <v>Partial College</v>
      </c>
      <c r="Q431" s="20" t="str">
        <v>Europe</v>
      </c>
      <c r="R431" s="20" t="str">
        <v>Single</v>
      </c>
      <c r="S431" s="20" t="str">
        <v>$10k-30k</v>
      </c>
      <c r="T431" s="89">
        <v>0.49399028666653072</v>
      </c>
      <c r="U431" s="91">
        <v>64.86655236678375</v>
      </c>
      <c r="V431" s="49">
        <v>422</v>
      </c>
      <c r="W431" s="20">
        <v>5</v>
      </c>
      <c r="X431" s="20" t="str">
        <v>Warm</v>
      </c>
      <c r="Y431" s="20">
        <v>0</v>
      </c>
    </row>
    <row r="432" spans="1:25" ht="15" customHeight="1" x14ac:dyDescent="0.25">
      <c r="A432" s="3"/>
      <c r="B432" s="3"/>
      <c r="C432" s="3"/>
      <c r="D432" s="3"/>
      <c r="E432" s="3"/>
      <c r="F432" s="3"/>
      <c r="G432" s="3"/>
      <c r="H432" s="3"/>
      <c r="I432" s="3"/>
      <c r="J432" s="3"/>
      <c r="K432" s="20">
        <v>17048</v>
      </c>
      <c r="L432" s="20" t="str">
        <v>0-1 Cars</v>
      </c>
      <c r="M432" s="20" t="str">
        <v>31-40</v>
      </c>
      <c r="N432" s="20" t="str">
        <v>0-1 Miles</v>
      </c>
      <c r="O432" s="20">
        <v>1</v>
      </c>
      <c r="P432" s="20" t="str">
        <v>Graduate Degree</v>
      </c>
      <c r="Q432" s="20" t="str">
        <v>Pacific</v>
      </c>
      <c r="R432" s="20" t="str">
        <v>Single</v>
      </c>
      <c r="S432" s="20" t="str">
        <v>$70k-90k</v>
      </c>
      <c r="T432" s="89">
        <v>0.5664522690383148</v>
      </c>
      <c r="U432" s="91">
        <v>100</v>
      </c>
      <c r="V432" s="49">
        <v>1</v>
      </c>
      <c r="W432" s="20">
        <v>1</v>
      </c>
      <c r="X432" s="20" t="str">
        <v>Hot</v>
      </c>
      <c r="Y432" s="20">
        <v>1</v>
      </c>
    </row>
    <row r="433" spans="1:25" ht="15" customHeight="1" x14ac:dyDescent="0.25">
      <c r="A433" s="3"/>
      <c r="B433" s="3"/>
      <c r="C433" s="3"/>
      <c r="D433" s="3"/>
      <c r="E433" s="3"/>
      <c r="F433" s="3"/>
      <c r="G433" s="3"/>
      <c r="H433" s="3"/>
      <c r="I433" s="3"/>
      <c r="J433" s="3"/>
      <c r="K433" s="20">
        <v>22204</v>
      </c>
      <c r="L433" s="20" t="str">
        <v>2+ Cars</v>
      </c>
      <c r="M433" s="20" t="str">
        <v>41-50</v>
      </c>
      <c r="N433" s="20" t="str">
        <v>2-5 Miles</v>
      </c>
      <c r="O433" s="20">
        <v>4</v>
      </c>
      <c r="P433" s="20" t="str">
        <v>Bachelors</v>
      </c>
      <c r="Q433" s="20" t="str">
        <v>Pacific</v>
      </c>
      <c r="R433" s="20" t="str">
        <v>Married</v>
      </c>
      <c r="S433" s="20" t="str">
        <v>$100k+</v>
      </c>
      <c r="T433" s="89">
        <v>0.48121933125643768</v>
      </c>
      <c r="U433" s="91">
        <v>58.67450960945839</v>
      </c>
      <c r="V433" s="49">
        <v>501</v>
      </c>
      <c r="W433" s="20">
        <v>6</v>
      </c>
      <c r="X433" s="20" t="str">
        <v>Warm</v>
      </c>
      <c r="Y433" s="20">
        <v>0</v>
      </c>
    </row>
    <row r="434" spans="1:25" ht="15" customHeight="1" x14ac:dyDescent="0.25">
      <c r="A434" s="3"/>
      <c r="B434" s="3"/>
      <c r="C434" s="3"/>
      <c r="D434" s="3"/>
      <c r="E434" s="3"/>
      <c r="F434" s="3"/>
      <c r="G434" s="3"/>
      <c r="H434" s="3"/>
      <c r="I434" s="3"/>
      <c r="J434" s="3"/>
      <c r="K434" s="20">
        <v>12718</v>
      </c>
      <c r="L434" s="20" t="str">
        <v>0-1 Cars</v>
      </c>
      <c r="M434" s="20" t="str">
        <v>31-40</v>
      </c>
      <c r="N434" s="20" t="str">
        <v>2-5 Miles</v>
      </c>
      <c r="O434" s="20">
        <v>0</v>
      </c>
      <c r="P434" s="20" t="str">
        <v>Partial College</v>
      </c>
      <c r="Q434" s="20" t="str">
        <v>Europe</v>
      </c>
      <c r="R434" s="20" t="str">
        <v>Single</v>
      </c>
      <c r="S434" s="20" t="str">
        <v>$10k-30k</v>
      </c>
      <c r="T434" s="89">
        <v>0.53487751453984622</v>
      </c>
      <c r="U434" s="91">
        <v>84.69086895785</v>
      </c>
      <c r="V434" s="49">
        <v>150</v>
      </c>
      <c r="W434" s="20">
        <v>2</v>
      </c>
      <c r="X434" s="20" t="str">
        <v>Hot</v>
      </c>
      <c r="Y434" s="20">
        <v>0</v>
      </c>
    </row>
    <row r="435" spans="1:25" ht="15" customHeight="1" x14ac:dyDescent="0.25">
      <c r="A435" s="3"/>
      <c r="B435" s="3"/>
      <c r="C435" s="3"/>
      <c r="D435" s="3"/>
      <c r="E435" s="3"/>
      <c r="F435" s="3"/>
      <c r="G435" s="3"/>
      <c r="H435" s="3"/>
      <c r="I435" s="3"/>
      <c r="J435" s="3"/>
      <c r="K435" s="20">
        <v>15019</v>
      </c>
      <c r="L435" s="20" t="str">
        <v>2+ Cars</v>
      </c>
      <c r="M435" s="20" t="str">
        <v>51-60</v>
      </c>
      <c r="N435" s="20" t="str">
        <v>5-10 Miles</v>
      </c>
      <c r="O435" s="20">
        <v>3</v>
      </c>
      <c r="P435" s="20" t="str">
        <v>High School</v>
      </c>
      <c r="Q435" s="20" t="str">
        <v>Pacific</v>
      </c>
      <c r="R435" s="20" t="str">
        <v>Single</v>
      </c>
      <c r="S435" s="20" t="str">
        <v>$10k-30k</v>
      </c>
      <c r="T435" s="89">
        <v>0.45694016508270613</v>
      </c>
      <c r="U435" s="91">
        <v>46.902670288718163</v>
      </c>
      <c r="V435" s="49">
        <v>677</v>
      </c>
      <c r="W435" s="20">
        <v>7</v>
      </c>
      <c r="X435" s="20" t="str">
        <v>Cold</v>
      </c>
      <c r="Y435" s="20">
        <v>0</v>
      </c>
    </row>
    <row r="436" spans="1:25" ht="15" customHeight="1" x14ac:dyDescent="0.25">
      <c r="A436" s="3"/>
      <c r="B436" s="3"/>
      <c r="C436" s="3"/>
      <c r="D436" s="3"/>
      <c r="E436" s="3"/>
      <c r="F436" s="3"/>
      <c r="G436" s="3"/>
      <c r="H436" s="3"/>
      <c r="I436" s="3"/>
      <c r="J436" s="3"/>
      <c r="K436" s="20">
        <v>28488</v>
      </c>
      <c r="L436" s="20" t="str">
        <v>0-1 Cars</v>
      </c>
      <c r="M436" s="20" t="str">
        <v>25-30</v>
      </c>
      <c r="N436" s="20" t="str">
        <v>0-1 Miles</v>
      </c>
      <c r="O436" s="20">
        <v>0</v>
      </c>
      <c r="P436" s="20" t="str">
        <v>Partial College</v>
      </c>
      <c r="Q436" s="20" t="str">
        <v>Pacific</v>
      </c>
      <c r="R436" s="20" t="str">
        <v>Single</v>
      </c>
      <c r="S436" s="20" t="str">
        <v>$10k-30k</v>
      </c>
      <c r="T436" s="89">
        <v>0.49689422629566654</v>
      </c>
      <c r="U436" s="91">
        <v>66.274537734432101</v>
      </c>
      <c r="V436" s="49">
        <v>404</v>
      </c>
      <c r="W436" s="20">
        <v>5</v>
      </c>
      <c r="X436" s="20" t="str">
        <v>Warm</v>
      </c>
      <c r="Y436" s="20">
        <v>1</v>
      </c>
    </row>
    <row r="437" spans="1:25" ht="15" customHeight="1" x14ac:dyDescent="0.25">
      <c r="A437" s="3"/>
      <c r="B437" s="3"/>
      <c r="C437" s="3"/>
      <c r="D437" s="3"/>
      <c r="E437" s="3"/>
      <c r="F437" s="3"/>
      <c r="G437" s="3"/>
      <c r="H437" s="3"/>
      <c r="I437" s="3"/>
      <c r="J437" s="3"/>
      <c r="K437" s="20">
        <v>21891</v>
      </c>
      <c r="L437" s="20" t="str">
        <v>2+ Cars</v>
      </c>
      <c r="M437" s="20" t="str">
        <v>31-40</v>
      </c>
      <c r="N437" s="20" t="str">
        <v>10+ Miles</v>
      </c>
      <c r="O437" s="20">
        <v>0</v>
      </c>
      <c r="P437" s="20" t="str">
        <v>High School</v>
      </c>
      <c r="Q437" s="20" t="str">
        <v>Pacific</v>
      </c>
      <c r="R437" s="20" t="str">
        <v>Married</v>
      </c>
      <c r="S437" s="20" t="str">
        <v>$100k+</v>
      </c>
      <c r="T437" s="89">
        <v>0.45949967063647595</v>
      </c>
      <c r="U437" s="91">
        <v>48.143655580549122</v>
      </c>
      <c r="V437" s="49">
        <v>654</v>
      </c>
      <c r="W437" s="20">
        <v>7</v>
      </c>
      <c r="X437" s="20" t="str">
        <v>Cold</v>
      </c>
      <c r="Y437" s="20">
        <v>1</v>
      </c>
    </row>
    <row r="438" spans="1:25" ht="15" customHeight="1" x14ac:dyDescent="0.25">
      <c r="A438" s="3"/>
      <c r="B438" s="3"/>
      <c r="C438" s="3"/>
      <c r="D438" s="3"/>
      <c r="E438" s="3"/>
      <c r="F438" s="3"/>
      <c r="G438" s="3"/>
      <c r="H438" s="3"/>
      <c r="I438" s="3"/>
      <c r="J438" s="3"/>
      <c r="K438" s="20">
        <v>27814</v>
      </c>
      <c r="L438" s="20" t="str">
        <v>0-1 Cars</v>
      </c>
      <c r="M438" s="20" t="str">
        <v>25-30</v>
      </c>
      <c r="N438" s="20" t="str">
        <v>0-1 Miles</v>
      </c>
      <c r="O438" s="20">
        <v>3</v>
      </c>
      <c r="P438" s="20" t="str">
        <v>Partial College</v>
      </c>
      <c r="Q438" s="20" t="str">
        <v>Europe</v>
      </c>
      <c r="R438" s="20" t="str">
        <v>Single</v>
      </c>
      <c r="S438" s="20" t="str">
        <v>$10k-30k</v>
      </c>
      <c r="T438" s="89">
        <v>0.49370707062102098</v>
      </c>
      <c r="U438" s="91">
        <v>64.729234068579458</v>
      </c>
      <c r="V438" s="49">
        <v>429</v>
      </c>
      <c r="W438" s="20">
        <v>5</v>
      </c>
      <c r="X438" s="20" t="str">
        <v>Warm</v>
      </c>
      <c r="Y438" s="20">
        <v>0</v>
      </c>
    </row>
    <row r="439" spans="1:25" ht="15" customHeight="1" x14ac:dyDescent="0.25">
      <c r="A439" s="3"/>
      <c r="B439" s="3"/>
      <c r="C439" s="3"/>
      <c r="D439" s="3"/>
      <c r="E439" s="3"/>
      <c r="F439" s="3"/>
      <c r="G439" s="3"/>
      <c r="H439" s="3"/>
      <c r="I439" s="3"/>
      <c r="J439" s="3"/>
      <c r="K439" s="20">
        <v>22175</v>
      </c>
      <c r="L439" s="20" t="str">
        <v>2+ Cars</v>
      </c>
      <c r="M439" s="20" t="str">
        <v>51-60</v>
      </c>
      <c r="N439" s="20" t="str">
        <v>5-10 Miles</v>
      </c>
      <c r="O439" s="20">
        <v>3</v>
      </c>
      <c r="P439" s="20" t="str">
        <v>High School</v>
      </c>
      <c r="Q439" s="20" t="str">
        <v>Pacific</v>
      </c>
      <c r="R439" s="20" t="str">
        <v>Married</v>
      </c>
      <c r="S439" s="20" t="str">
        <v>$10k-30k</v>
      </c>
      <c r="T439" s="89">
        <v>0.447262122374881</v>
      </c>
      <c r="U439" s="91">
        <v>42.210237159814341</v>
      </c>
      <c r="V439" s="49">
        <v>736</v>
      </c>
      <c r="W439" s="20">
        <v>8</v>
      </c>
      <c r="X439" s="20" t="str">
        <v>Cold</v>
      </c>
      <c r="Y439" s="20">
        <v>1</v>
      </c>
    </row>
    <row r="440" spans="1:25" ht="15" customHeight="1" x14ac:dyDescent="0.25">
      <c r="A440" s="3"/>
      <c r="B440" s="3"/>
      <c r="C440" s="3"/>
      <c r="D440" s="3"/>
      <c r="E440" s="3"/>
      <c r="F440" s="3"/>
      <c r="G440" s="3"/>
      <c r="H440" s="3"/>
      <c r="I440" s="3"/>
      <c r="J440" s="3"/>
      <c r="K440" s="20">
        <v>29447</v>
      </c>
      <c r="L440" s="20" t="str">
        <v>0-1 Cars</v>
      </c>
      <c r="M440" s="20" t="str">
        <v>61+</v>
      </c>
      <c r="N440" s="20" t="str">
        <v>2-5 Miles</v>
      </c>
      <c r="O440" s="20">
        <v>2</v>
      </c>
      <c r="P440" s="20" t="str">
        <v>Bachelors</v>
      </c>
      <c r="Q440" s="20" t="str">
        <v>Europe</v>
      </c>
      <c r="R440" s="20" t="str">
        <v>Single</v>
      </c>
      <c r="S440" s="20" t="str">
        <v>$10k-30k</v>
      </c>
      <c r="T440" s="89">
        <v>0.49231364232303354</v>
      </c>
      <c r="U440" s="91">
        <v>64.05362544546999</v>
      </c>
      <c r="V440" s="49">
        <v>439</v>
      </c>
      <c r="W440" s="20">
        <v>5</v>
      </c>
      <c r="X440" s="20" t="str">
        <v>Warm</v>
      </c>
      <c r="Y440" s="20">
        <v>0</v>
      </c>
    </row>
    <row r="441" spans="1:25" ht="15" customHeight="1" x14ac:dyDescent="0.25">
      <c r="A441" s="3"/>
      <c r="B441" s="3"/>
      <c r="C441" s="3"/>
      <c r="D441" s="3"/>
      <c r="E441" s="3"/>
      <c r="F441" s="3"/>
      <c r="G441" s="3"/>
      <c r="H441" s="3"/>
      <c r="I441" s="3"/>
      <c r="J441" s="3"/>
      <c r="K441" s="20">
        <v>19784</v>
      </c>
      <c r="L441" s="20" t="str">
        <v>2+ Cars</v>
      </c>
      <c r="M441" s="20" t="str">
        <v>41-50</v>
      </c>
      <c r="N441" s="20" t="str">
        <v>5-10 Miles</v>
      </c>
      <c r="O441" s="20">
        <v>2</v>
      </c>
      <c r="P441" s="20" t="str">
        <v>High School</v>
      </c>
      <c r="Q441" s="20" t="str">
        <v>Pacific</v>
      </c>
      <c r="R441" s="20" t="str">
        <v>Married</v>
      </c>
      <c r="S441" s="20" t="str">
        <v>$70k-90k</v>
      </c>
      <c r="T441" s="89">
        <v>0.4458061842696896</v>
      </c>
      <c r="U441" s="91">
        <v>41.504320436290307</v>
      </c>
      <c r="V441" s="49">
        <v>744</v>
      </c>
      <c r="W441" s="20">
        <v>8</v>
      </c>
      <c r="X441" s="20" t="str">
        <v>Cold</v>
      </c>
      <c r="Y441" s="20">
        <v>1</v>
      </c>
    </row>
    <row r="442" spans="1:25" ht="15" customHeight="1" x14ac:dyDescent="0.25">
      <c r="A442" s="3"/>
      <c r="B442" s="3"/>
      <c r="C442" s="3"/>
      <c r="D442" s="3"/>
      <c r="E442" s="3"/>
      <c r="F442" s="3"/>
      <c r="G442" s="3"/>
      <c r="H442" s="3"/>
      <c r="I442" s="3"/>
      <c r="J442" s="3"/>
      <c r="K442" s="20">
        <v>27824</v>
      </c>
      <c r="L442" s="20" t="str">
        <v>2+ Cars</v>
      </c>
      <c r="M442" s="20" t="str">
        <v>25-30</v>
      </c>
      <c r="N442" s="20" t="str">
        <v>0-1 Miles</v>
      </c>
      <c r="O442" s="20">
        <v>3</v>
      </c>
      <c r="P442" s="20" t="str">
        <v>Partial College</v>
      </c>
      <c r="Q442" s="20" t="str">
        <v>Europe</v>
      </c>
      <c r="R442" s="20" t="str">
        <v>Single</v>
      </c>
      <c r="S442" s="20" t="str">
        <v>$10k-30k</v>
      </c>
      <c r="T442" s="89">
        <v>0.45499362110230884</v>
      </c>
      <c r="U442" s="91">
        <v>45.95888157686435</v>
      </c>
      <c r="V442" s="49">
        <v>696</v>
      </c>
      <c r="W442" s="20">
        <v>7</v>
      </c>
      <c r="X442" s="20" t="str">
        <v>Cold</v>
      </c>
      <c r="Y442" s="20">
        <v>1</v>
      </c>
    </row>
    <row r="443" spans="1:25" ht="15" customHeight="1" x14ac:dyDescent="0.25">
      <c r="A443" s="3"/>
      <c r="B443" s="3"/>
      <c r="C443" s="3"/>
      <c r="D443" s="3"/>
      <c r="E443" s="3"/>
      <c r="F443" s="3"/>
      <c r="G443" s="3"/>
      <c r="H443" s="3"/>
      <c r="I443" s="3"/>
      <c r="J443" s="3"/>
      <c r="K443" s="20">
        <v>24093</v>
      </c>
      <c r="L443" s="20" t="str">
        <v>0-1 Cars</v>
      </c>
      <c r="M443" s="20" t="str">
        <v>31-40</v>
      </c>
      <c r="N443" s="20" t="str">
        <v>0-1 Miles</v>
      </c>
      <c r="O443" s="20">
        <v>0</v>
      </c>
      <c r="P443" s="20" t="str">
        <v>Graduate Degree</v>
      </c>
      <c r="Q443" s="20" t="str">
        <v>Europe</v>
      </c>
      <c r="R443" s="20" t="str">
        <v>Single</v>
      </c>
      <c r="S443" s="20" t="str">
        <v>$70k-90k</v>
      </c>
      <c r="T443" s="89">
        <v>0.54824026891442379</v>
      </c>
      <c r="U443" s="91">
        <v>91.169847529619844</v>
      </c>
      <c r="V443" s="49">
        <v>51</v>
      </c>
      <c r="W443" s="20">
        <v>1</v>
      </c>
      <c r="X443" s="20" t="str">
        <v>Hot</v>
      </c>
      <c r="Y443" s="20">
        <v>1</v>
      </c>
    </row>
    <row r="444" spans="1:25" ht="15" customHeight="1" x14ac:dyDescent="0.25">
      <c r="A444" s="3"/>
      <c r="B444" s="3"/>
      <c r="C444" s="3"/>
      <c r="D444" s="3"/>
      <c r="E444" s="3"/>
      <c r="F444" s="3"/>
      <c r="G444" s="3"/>
      <c r="H444" s="3"/>
      <c r="I444" s="3"/>
      <c r="J444" s="3"/>
      <c r="K444" s="20">
        <v>19618</v>
      </c>
      <c r="L444" s="20" t="str">
        <v>2+ Cars</v>
      </c>
      <c r="M444" s="20" t="str">
        <v>41-50</v>
      </c>
      <c r="N444" s="20" t="str">
        <v>0-1 Miles</v>
      </c>
      <c r="O444" s="20">
        <v>5</v>
      </c>
      <c r="P444" s="20" t="str">
        <v>Partial College</v>
      </c>
      <c r="Q444" s="20" t="str">
        <v>Pacific</v>
      </c>
      <c r="R444" s="20" t="str">
        <v>Married</v>
      </c>
      <c r="S444" s="20" t="str">
        <v>$70k-90k</v>
      </c>
      <c r="T444" s="89">
        <v>0.43485656419675095</v>
      </c>
      <c r="U444" s="91">
        <v>36.195358538692531</v>
      </c>
      <c r="V444" s="49">
        <v>803</v>
      </c>
      <c r="W444" s="20">
        <v>9</v>
      </c>
      <c r="X444" s="20" t="str">
        <v>Cold</v>
      </c>
      <c r="Y444" s="20">
        <v>0</v>
      </c>
    </row>
    <row r="445" spans="1:25" ht="15" customHeight="1" x14ac:dyDescent="0.25">
      <c r="A445" s="3"/>
      <c r="B445" s="3"/>
      <c r="C445" s="3"/>
      <c r="D445" s="3"/>
      <c r="E445" s="3"/>
      <c r="F445" s="3"/>
      <c r="G445" s="3"/>
      <c r="H445" s="3"/>
      <c r="I445" s="3"/>
      <c r="J445" s="3"/>
      <c r="K445" s="20">
        <v>21561</v>
      </c>
      <c r="L445" s="20" t="str">
        <v>2+ Cars</v>
      </c>
      <c r="M445" s="20" t="str">
        <v>31-40</v>
      </c>
      <c r="N445" s="20" t="str">
        <v>10+ Miles</v>
      </c>
      <c r="O445" s="20">
        <v>0</v>
      </c>
      <c r="P445" s="20" t="str">
        <v>Bachelors</v>
      </c>
      <c r="Q445" s="20" t="str">
        <v>Pacific</v>
      </c>
      <c r="R445" s="20" t="str">
        <v>Single</v>
      </c>
      <c r="S445" s="20" t="str">
        <v>$70k-90k</v>
      </c>
      <c r="T445" s="89">
        <v>0.48374381756216484</v>
      </c>
      <c r="U445" s="91">
        <v>59.898515695407994</v>
      </c>
      <c r="V445" s="49">
        <v>488</v>
      </c>
      <c r="W445" s="20">
        <v>5</v>
      </c>
      <c r="X445" s="20" t="str">
        <v>Warm</v>
      </c>
      <c r="Y445" s="20">
        <v>1</v>
      </c>
    </row>
    <row r="446" spans="1:25" ht="15" customHeight="1" x14ac:dyDescent="0.25">
      <c r="A446" s="3"/>
      <c r="B446" s="3"/>
      <c r="C446" s="3"/>
      <c r="D446" s="3"/>
      <c r="E446" s="3"/>
      <c r="F446" s="3"/>
      <c r="G446" s="3"/>
      <c r="H446" s="3"/>
      <c r="I446" s="3"/>
      <c r="J446" s="3"/>
      <c r="K446" s="20">
        <v>11061</v>
      </c>
      <c r="L446" s="20" t="str">
        <v>2+ Cars</v>
      </c>
      <c r="M446" s="20" t="str">
        <v>51-60</v>
      </c>
      <c r="N446" s="20" t="str">
        <v>5-10 Miles</v>
      </c>
      <c r="O446" s="20">
        <v>2</v>
      </c>
      <c r="P446" s="20" t="str">
        <v>Partial College</v>
      </c>
      <c r="Q446" s="20" t="str">
        <v>Pacific</v>
      </c>
      <c r="R446" s="20" t="str">
        <v>Married</v>
      </c>
      <c r="S446" s="20" t="str">
        <v>$70k-90k</v>
      </c>
      <c r="T446" s="89">
        <v>0.44486123024966379</v>
      </c>
      <c r="U446" s="91">
        <v>41.046156148042769</v>
      </c>
      <c r="V446" s="49">
        <v>759</v>
      </c>
      <c r="W446" s="20">
        <v>8</v>
      </c>
      <c r="X446" s="20" t="str">
        <v>Cold</v>
      </c>
      <c r="Y446" s="20">
        <v>1</v>
      </c>
    </row>
    <row r="447" spans="1:25" ht="15" customHeight="1" x14ac:dyDescent="0.25">
      <c r="A447" s="3"/>
      <c r="B447" s="3"/>
      <c r="C447" s="3"/>
      <c r="D447" s="3"/>
      <c r="E447" s="3"/>
      <c r="F447" s="3"/>
      <c r="G447" s="3"/>
      <c r="H447" s="3"/>
      <c r="I447" s="3"/>
      <c r="J447" s="3"/>
      <c r="K447" s="20">
        <v>26651</v>
      </c>
      <c r="L447" s="20" t="str">
        <v>0-1 Cars</v>
      </c>
      <c r="M447" s="20" t="str">
        <v>31-40</v>
      </c>
      <c r="N447" s="20" t="str">
        <v>0-1 Miles</v>
      </c>
      <c r="O447" s="20">
        <v>4</v>
      </c>
      <c r="P447" s="20" t="str">
        <v>Graduate Degree</v>
      </c>
      <c r="Q447" s="20" t="str">
        <v>Pacific</v>
      </c>
      <c r="R447" s="20" t="str">
        <v>Single</v>
      </c>
      <c r="S447" s="20" t="str">
        <v>$70k-90k</v>
      </c>
      <c r="T447" s="89">
        <v>0.54623740616318883</v>
      </c>
      <c r="U447" s="91">
        <v>90.198752463161469</v>
      </c>
      <c r="V447" s="49">
        <v>65</v>
      </c>
      <c r="W447" s="20">
        <v>1</v>
      </c>
      <c r="X447" s="20" t="str">
        <v>Hot</v>
      </c>
      <c r="Y447" s="20">
        <v>1</v>
      </c>
    </row>
    <row r="448" spans="1:25" ht="15" customHeight="1" x14ac:dyDescent="0.25">
      <c r="A448" s="3"/>
      <c r="B448" s="3"/>
      <c r="C448" s="3"/>
      <c r="D448" s="3"/>
      <c r="E448" s="3"/>
      <c r="F448" s="3"/>
      <c r="G448" s="3"/>
      <c r="H448" s="3"/>
      <c r="I448" s="3"/>
      <c r="J448" s="3"/>
      <c r="K448" s="20">
        <v>21108</v>
      </c>
      <c r="L448" s="20" t="str">
        <v>0-1 Cars</v>
      </c>
      <c r="M448" s="20" t="str">
        <v>41-50</v>
      </c>
      <c r="N448" s="20" t="str">
        <v>0-1 Miles</v>
      </c>
      <c r="O448" s="20">
        <v>1</v>
      </c>
      <c r="P448" s="20" t="str">
        <v>Bachelors</v>
      </c>
      <c r="Q448" s="20" t="str">
        <v>Europe</v>
      </c>
      <c r="R448" s="20" t="str">
        <v>Married</v>
      </c>
      <c r="S448" s="20" t="str">
        <v>$40k-60k</v>
      </c>
      <c r="T448" s="89">
        <v>0.52952886380755659</v>
      </c>
      <c r="U448" s="91">
        <v>82.097556792484326</v>
      </c>
      <c r="V448" s="49">
        <v>199</v>
      </c>
      <c r="W448" s="20">
        <v>2</v>
      </c>
      <c r="X448" s="20" t="str">
        <v>Hot</v>
      </c>
      <c r="Y448" s="20">
        <v>1</v>
      </c>
    </row>
    <row r="449" spans="1:25" ht="15" customHeight="1" x14ac:dyDescent="0.25">
      <c r="A449" s="3"/>
      <c r="B449" s="3"/>
      <c r="C449" s="3"/>
      <c r="D449" s="3"/>
      <c r="E449" s="3"/>
      <c r="F449" s="3"/>
      <c r="G449" s="3"/>
      <c r="H449" s="3"/>
      <c r="I449" s="3"/>
      <c r="J449" s="3"/>
      <c r="K449" s="20">
        <v>12731</v>
      </c>
      <c r="L449" s="20" t="str">
        <v>0-1 Cars</v>
      </c>
      <c r="M449" s="20" t="str">
        <v>31-40</v>
      </c>
      <c r="N449" s="20" t="str">
        <v>1-2 Miles</v>
      </c>
      <c r="O449" s="20">
        <v>0</v>
      </c>
      <c r="P449" s="20" t="str">
        <v>High School</v>
      </c>
      <c r="Q449" s="20" t="str">
        <v>Europe</v>
      </c>
      <c r="R449" s="20" t="str">
        <v>Single</v>
      </c>
      <c r="S449" s="20" t="str">
        <v>$10k-30k</v>
      </c>
      <c r="T449" s="89">
        <v>0.51505417002809939</v>
      </c>
      <c r="U449" s="91">
        <v>75.079450479877792</v>
      </c>
      <c r="V449" s="49">
        <v>282</v>
      </c>
      <c r="W449" s="20">
        <v>3</v>
      </c>
      <c r="X449" s="20" t="str">
        <v>Hot</v>
      </c>
      <c r="Y449" s="20">
        <v>0</v>
      </c>
    </row>
    <row r="450" spans="1:25" ht="15" customHeight="1" x14ac:dyDescent="0.25">
      <c r="A450" s="3"/>
      <c r="B450" s="3"/>
      <c r="C450" s="3"/>
      <c r="D450" s="3"/>
      <c r="E450" s="3"/>
      <c r="F450" s="3"/>
      <c r="G450" s="3"/>
      <c r="H450" s="3"/>
      <c r="I450" s="3"/>
      <c r="J450" s="3"/>
      <c r="K450" s="20">
        <v>25307</v>
      </c>
      <c r="L450" s="20" t="str">
        <v>0-1 Cars</v>
      </c>
      <c r="M450" s="20" t="str">
        <v>31-40</v>
      </c>
      <c r="N450" s="20" t="str">
        <v>1-2 Miles</v>
      </c>
      <c r="O450" s="20">
        <v>1</v>
      </c>
      <c r="P450" s="20" t="str">
        <v>Bachelors</v>
      </c>
      <c r="Q450" s="20" t="str">
        <v>Europe</v>
      </c>
      <c r="R450" s="20" t="str">
        <v>Married</v>
      </c>
      <c r="S450" s="20" t="str">
        <v>$40k-60k</v>
      </c>
      <c r="T450" s="89">
        <v>0.53945608369932752</v>
      </c>
      <c r="U450" s="91">
        <v>86.910804357551868</v>
      </c>
      <c r="V450" s="49">
        <v>115</v>
      </c>
      <c r="W450" s="20">
        <v>2</v>
      </c>
      <c r="X450" s="20" t="str">
        <v>Hot</v>
      </c>
      <c r="Y450" s="20">
        <v>1</v>
      </c>
    </row>
    <row r="451" spans="1:25" ht="15" customHeight="1" x14ac:dyDescent="0.25">
      <c r="A451" s="3"/>
      <c r="B451" s="3"/>
      <c r="C451" s="3"/>
      <c r="D451" s="3"/>
      <c r="E451" s="3"/>
      <c r="F451" s="3"/>
      <c r="G451" s="3"/>
      <c r="H451" s="3"/>
      <c r="I451" s="3"/>
      <c r="J451" s="3"/>
      <c r="K451" s="20">
        <v>14278</v>
      </c>
      <c r="L451" s="20" t="str">
        <v>0-1 Cars</v>
      </c>
      <c r="M451" s="20" t="str">
        <v>41-50</v>
      </c>
      <c r="N451" s="20" t="str">
        <v>10+ Miles</v>
      </c>
      <c r="O451" s="20">
        <v>0</v>
      </c>
      <c r="P451" s="20" t="str">
        <v>Graduate Degree</v>
      </c>
      <c r="Q451" s="20" t="str">
        <v>Pacific</v>
      </c>
      <c r="R451" s="20" t="str">
        <v>Married</v>
      </c>
      <c r="S451" s="20" t="str">
        <v>$100k+</v>
      </c>
      <c r="T451" s="89">
        <v>0.48740545548650677</v>
      </c>
      <c r="U451" s="91">
        <v>61.673873752914844</v>
      </c>
      <c r="V451" s="49">
        <v>464</v>
      </c>
      <c r="W451" s="20">
        <v>5</v>
      </c>
      <c r="X451" s="20" t="str">
        <v>Warm</v>
      </c>
      <c r="Y451" s="20">
        <v>0</v>
      </c>
    </row>
    <row r="452" spans="1:25" ht="15" customHeight="1" x14ac:dyDescent="0.25">
      <c r="A452" s="3"/>
      <c r="B452" s="3"/>
      <c r="C452" s="3"/>
      <c r="D452" s="3"/>
      <c r="E452" s="3"/>
      <c r="F452" s="3"/>
      <c r="G452" s="3"/>
      <c r="H452" s="3"/>
      <c r="I452" s="3"/>
      <c r="J452" s="3"/>
      <c r="K452" s="20">
        <v>20711</v>
      </c>
      <c r="L452" s="20" t="str">
        <v>0-1 Cars</v>
      </c>
      <c r="M452" s="20" t="str">
        <v>31-40</v>
      </c>
      <c r="N452" s="20" t="str">
        <v>1-2 Miles</v>
      </c>
      <c r="O452" s="20">
        <v>1</v>
      </c>
      <c r="P452" s="20" t="str">
        <v>Bachelors</v>
      </c>
      <c r="Q452" s="20" t="str">
        <v>Europe</v>
      </c>
      <c r="R452" s="20" t="str">
        <v>Married</v>
      </c>
      <c r="S452" s="20" t="str">
        <v>$40k-60k</v>
      </c>
      <c r="T452" s="89">
        <v>0.53945608369932752</v>
      </c>
      <c r="U452" s="91">
        <v>86.910804357551868</v>
      </c>
      <c r="V452" s="49">
        <v>114</v>
      </c>
      <c r="W452" s="20">
        <v>2</v>
      </c>
      <c r="X452" s="20" t="str">
        <v>Hot</v>
      </c>
      <c r="Y452" s="20">
        <v>1</v>
      </c>
    </row>
    <row r="453" spans="1:25" ht="15" customHeight="1" x14ac:dyDescent="0.25">
      <c r="A453" s="3"/>
      <c r="B453" s="3"/>
      <c r="C453" s="3"/>
      <c r="D453" s="3"/>
      <c r="E453" s="3"/>
      <c r="F453" s="3"/>
      <c r="G453" s="3"/>
      <c r="H453" s="3"/>
      <c r="I453" s="3"/>
      <c r="J453" s="3"/>
      <c r="K453" s="20">
        <v>11383</v>
      </c>
      <c r="L453" s="20" t="str">
        <v>0-1 Cars</v>
      </c>
      <c r="M453" s="20" t="str">
        <v>41-50</v>
      </c>
      <c r="N453" s="20" t="str">
        <v>0-1 Miles</v>
      </c>
      <c r="O453" s="20">
        <v>3</v>
      </c>
      <c r="P453" s="20" t="str">
        <v>Graduate Degree</v>
      </c>
      <c r="Q453" s="20" t="str">
        <v>Europe</v>
      </c>
      <c r="R453" s="20" t="str">
        <v>Married</v>
      </c>
      <c r="S453" s="20" t="str">
        <v>$10k-30k</v>
      </c>
      <c r="T453" s="89">
        <v>0.51315491486405374</v>
      </c>
      <c r="U453" s="91">
        <v>74.158589917358924</v>
      </c>
      <c r="V453" s="49">
        <v>296</v>
      </c>
      <c r="W453" s="20">
        <v>3</v>
      </c>
      <c r="X453" s="20" t="str">
        <v>Hot</v>
      </c>
      <c r="Y453" s="20">
        <v>0</v>
      </c>
    </row>
    <row r="454" spans="1:25" ht="15" customHeight="1" x14ac:dyDescent="0.25">
      <c r="A454" s="3"/>
      <c r="B454" s="3"/>
      <c r="C454" s="3"/>
      <c r="D454" s="3"/>
      <c r="E454" s="3"/>
      <c r="F454" s="3"/>
      <c r="G454" s="3"/>
      <c r="H454" s="3"/>
      <c r="I454" s="3"/>
      <c r="J454" s="3"/>
      <c r="K454" s="20">
        <v>12497</v>
      </c>
      <c r="L454" s="20" t="str">
        <v>0-1 Cars</v>
      </c>
      <c r="M454" s="20" t="str">
        <v>41-50</v>
      </c>
      <c r="N454" s="20" t="str">
        <v>0-1 Miles</v>
      </c>
      <c r="O454" s="20">
        <v>1</v>
      </c>
      <c r="P454" s="20" t="str">
        <v>Bachelors</v>
      </c>
      <c r="Q454" s="20" t="str">
        <v>Europe</v>
      </c>
      <c r="R454" s="20" t="str">
        <v>Married</v>
      </c>
      <c r="S454" s="20" t="str">
        <v>$40k-60k</v>
      </c>
      <c r="T454" s="89">
        <v>0.52952886380755659</v>
      </c>
      <c r="U454" s="91">
        <v>82.097556792484326</v>
      </c>
      <c r="V454" s="49">
        <v>193</v>
      </c>
      <c r="W454" s="20">
        <v>2</v>
      </c>
      <c r="X454" s="20" t="str">
        <v>Hot</v>
      </c>
      <c r="Y454" s="20">
        <v>0</v>
      </c>
    </row>
    <row r="455" spans="1:25" ht="15" customHeight="1" x14ac:dyDescent="0.25">
      <c r="A455" s="3"/>
      <c r="B455" s="3"/>
      <c r="C455" s="3"/>
      <c r="D455" s="3"/>
      <c r="E455" s="3"/>
      <c r="F455" s="3"/>
      <c r="G455" s="3"/>
      <c r="H455" s="3"/>
      <c r="I455" s="3"/>
      <c r="J455" s="3"/>
      <c r="K455" s="20">
        <v>16559</v>
      </c>
      <c r="L455" s="20" t="str">
        <v>0-1 Cars</v>
      </c>
      <c r="M455" s="20" t="str">
        <v>31-40</v>
      </c>
      <c r="N455" s="20" t="str">
        <v>0-1 Miles</v>
      </c>
      <c r="O455" s="20">
        <v>2</v>
      </c>
      <c r="P455" s="20" t="str">
        <v>High School</v>
      </c>
      <c r="Q455" s="20" t="str">
        <v>Europe</v>
      </c>
      <c r="R455" s="20" t="str">
        <v>Single</v>
      </c>
      <c r="S455" s="20" t="str">
        <v>$10k-30k</v>
      </c>
      <c r="T455" s="89">
        <v>0.52242580388292881</v>
      </c>
      <c r="U455" s="91">
        <v>78.653613144667673</v>
      </c>
      <c r="V455" s="49">
        <v>234</v>
      </c>
      <c r="W455" s="20">
        <v>3</v>
      </c>
      <c r="X455" s="20" t="str">
        <v>Hot</v>
      </c>
      <c r="Y455" s="20">
        <v>1</v>
      </c>
    </row>
    <row r="456" spans="1:25" ht="15" customHeight="1" x14ac:dyDescent="0.25">
      <c r="A456" s="3"/>
      <c r="B456" s="3"/>
      <c r="C456" s="3"/>
      <c r="D456" s="3"/>
      <c r="E456" s="3"/>
      <c r="F456" s="3"/>
      <c r="G456" s="3"/>
      <c r="H456" s="3"/>
      <c r="I456" s="3"/>
      <c r="J456" s="3"/>
      <c r="K456" s="20">
        <v>11585</v>
      </c>
      <c r="L456" s="20" t="str">
        <v>0-1 Cars</v>
      </c>
      <c r="M456" s="20" t="str">
        <v>41-50</v>
      </c>
      <c r="N456" s="20" t="str">
        <v>0-1 Miles</v>
      </c>
      <c r="O456" s="20">
        <v>1</v>
      </c>
      <c r="P456" s="20" t="str">
        <v>Bachelors</v>
      </c>
      <c r="Q456" s="20" t="str">
        <v>Europe</v>
      </c>
      <c r="R456" s="20" t="str">
        <v>Married</v>
      </c>
      <c r="S456" s="20" t="str">
        <v>$40k-60k</v>
      </c>
      <c r="T456" s="89">
        <v>0.52952886380755659</v>
      </c>
      <c r="U456" s="91">
        <v>82.097556792484326</v>
      </c>
      <c r="V456" s="49">
        <v>191</v>
      </c>
      <c r="W456" s="20">
        <v>2</v>
      </c>
      <c r="X456" s="20" t="str">
        <v>Hot</v>
      </c>
      <c r="Y456" s="20">
        <v>0</v>
      </c>
    </row>
    <row r="457" spans="1:25" ht="15" customHeight="1" x14ac:dyDescent="0.25">
      <c r="A457" s="3"/>
      <c r="B457" s="3"/>
      <c r="C457" s="3"/>
      <c r="D457" s="3"/>
      <c r="E457" s="3"/>
      <c r="F457" s="3"/>
      <c r="G457" s="3"/>
      <c r="H457" s="3"/>
      <c r="I457" s="3"/>
      <c r="J457" s="3"/>
      <c r="K457" s="20">
        <v>20277</v>
      </c>
      <c r="L457" s="20" t="str">
        <v>2+ Cars</v>
      </c>
      <c r="M457" s="20" t="str">
        <v>61+</v>
      </c>
      <c r="N457" s="20" t="str">
        <v>0-1 Miles</v>
      </c>
      <c r="O457" s="20">
        <v>2</v>
      </c>
      <c r="P457" s="20" t="str">
        <v>Partial College</v>
      </c>
      <c r="Q457" s="20" t="str">
        <v>Pacific</v>
      </c>
      <c r="R457" s="20" t="str">
        <v>Married</v>
      </c>
      <c r="S457" s="20" t="str">
        <v>$10k-30k</v>
      </c>
      <c r="T457" s="89">
        <v>0.43406673151869063</v>
      </c>
      <c r="U457" s="91">
        <v>35.812405380010517</v>
      </c>
      <c r="V457" s="49">
        <v>811</v>
      </c>
      <c r="W457" s="20">
        <v>9</v>
      </c>
      <c r="X457" s="20" t="str">
        <v>Cold</v>
      </c>
      <c r="Y457" s="20">
        <v>0</v>
      </c>
    </row>
    <row r="458" spans="1:25" ht="15" customHeight="1" x14ac:dyDescent="0.25">
      <c r="A458" s="3"/>
      <c r="B458" s="3"/>
      <c r="C458" s="3"/>
      <c r="D458" s="3"/>
      <c r="E458" s="3"/>
      <c r="F458" s="3"/>
      <c r="G458" s="3"/>
      <c r="H458" s="3"/>
      <c r="I458" s="3"/>
      <c r="J458" s="3"/>
      <c r="K458" s="20">
        <v>26765</v>
      </c>
      <c r="L458" s="20" t="str">
        <v>2+ Cars</v>
      </c>
      <c r="M458" s="20" t="str">
        <v>41-50</v>
      </c>
      <c r="N458" s="20" t="str">
        <v>5-10 Miles</v>
      </c>
      <c r="O458" s="20">
        <v>5</v>
      </c>
      <c r="P458" s="20" t="str">
        <v>Partial College</v>
      </c>
      <c r="Q458" s="20" t="str">
        <v>Pacific</v>
      </c>
      <c r="R458" s="20" t="str">
        <v>Single</v>
      </c>
      <c r="S458" s="20" t="str">
        <v>$70k-90k</v>
      </c>
      <c r="T458" s="89">
        <v>0.42280613522849775</v>
      </c>
      <c r="U458" s="91">
        <v>30.352665567063685</v>
      </c>
      <c r="V458" s="49">
        <v>866</v>
      </c>
      <c r="W458" s="20">
        <v>9</v>
      </c>
      <c r="X458" s="20" t="str">
        <v>Cold</v>
      </c>
      <c r="Y458" s="20">
        <v>0</v>
      </c>
    </row>
    <row r="459" spans="1:25" ht="15" customHeight="1" x14ac:dyDescent="0.25">
      <c r="A459" s="3"/>
      <c r="B459" s="3"/>
      <c r="C459" s="3"/>
      <c r="D459" s="3"/>
      <c r="E459" s="3"/>
      <c r="F459" s="3"/>
      <c r="G459" s="3"/>
      <c r="H459" s="3"/>
      <c r="I459" s="3"/>
      <c r="J459" s="3"/>
      <c r="K459" s="20">
        <v>12389</v>
      </c>
      <c r="L459" s="20" t="str">
        <v>0-1 Cars</v>
      </c>
      <c r="M459" s="20" t="str">
        <v>31-40</v>
      </c>
      <c r="N459" s="20" t="str">
        <v>2-5 Miles</v>
      </c>
      <c r="O459" s="20">
        <v>0</v>
      </c>
      <c r="P459" s="20" t="str">
        <v>High School</v>
      </c>
      <c r="Q459" s="20" t="str">
        <v>Europe</v>
      </c>
      <c r="R459" s="20" t="str">
        <v>Single</v>
      </c>
      <c r="S459" s="20" t="str">
        <v>$10k-30k</v>
      </c>
      <c r="T459" s="89">
        <v>0.53392383828606993</v>
      </c>
      <c r="U459" s="91">
        <v>84.228475663816454</v>
      </c>
      <c r="V459" s="49">
        <v>162</v>
      </c>
      <c r="W459" s="20">
        <v>2</v>
      </c>
      <c r="X459" s="20" t="str">
        <v>Hot</v>
      </c>
      <c r="Y459" s="20">
        <v>0</v>
      </c>
    </row>
    <row r="460" spans="1:25" ht="15" customHeight="1" x14ac:dyDescent="0.25">
      <c r="A460" s="3"/>
      <c r="B460" s="3"/>
      <c r="C460" s="3"/>
      <c r="D460" s="3"/>
      <c r="E460" s="3"/>
      <c r="F460" s="3"/>
      <c r="G460" s="3"/>
      <c r="H460" s="3"/>
      <c r="I460" s="3"/>
      <c r="J460" s="3"/>
      <c r="K460" s="20">
        <v>13585</v>
      </c>
      <c r="L460" s="20" t="str">
        <v>0-1 Cars</v>
      </c>
      <c r="M460" s="20" t="str">
        <v>51-60</v>
      </c>
      <c r="N460" s="20" t="str">
        <v>2-5 Miles</v>
      </c>
      <c r="O460" s="20">
        <v>4</v>
      </c>
      <c r="P460" s="20" t="str">
        <v>Partial College</v>
      </c>
      <c r="Q460" s="20" t="str">
        <v>Europe</v>
      </c>
      <c r="R460" s="20" t="str">
        <v>Married</v>
      </c>
      <c r="S460" s="20" t="str">
        <v>$70k-90k</v>
      </c>
      <c r="T460" s="89">
        <v>0.49745740100674479</v>
      </c>
      <c r="U460" s="91">
        <v>66.547594978691592</v>
      </c>
      <c r="V460" s="49">
        <v>395</v>
      </c>
      <c r="W460" s="20">
        <v>4</v>
      </c>
      <c r="X460" s="20" t="str">
        <v>Warm</v>
      </c>
      <c r="Y460" s="20">
        <v>1</v>
      </c>
    </row>
    <row r="461" spans="1:25" ht="15" customHeight="1" x14ac:dyDescent="0.25">
      <c r="A461" s="3"/>
      <c r="B461" s="3"/>
      <c r="C461" s="3"/>
      <c r="D461" s="3"/>
      <c r="E461" s="3"/>
      <c r="F461" s="3"/>
      <c r="G461" s="3"/>
      <c r="H461" s="3"/>
      <c r="I461" s="3"/>
      <c r="J461" s="3"/>
      <c r="K461" s="20">
        <v>26385</v>
      </c>
      <c r="L461" s="20" t="str">
        <v>2+ Cars</v>
      </c>
      <c r="M461" s="20" t="str">
        <v>41-50</v>
      </c>
      <c r="N461" s="20" t="str">
        <v>5-10 Miles</v>
      </c>
      <c r="O461" s="20">
        <v>3</v>
      </c>
      <c r="P461" s="20" t="str">
        <v>High School</v>
      </c>
      <c r="Q461" s="20" t="str">
        <v>Europe</v>
      </c>
      <c r="R461" s="20" t="str">
        <v>Single</v>
      </c>
      <c r="S461" s="20" t="str">
        <v>$100k+</v>
      </c>
      <c r="T461" s="89">
        <v>0.45717551453319216</v>
      </c>
      <c r="U461" s="91">
        <v>47.016780299561276</v>
      </c>
      <c r="V461" s="49">
        <v>673</v>
      </c>
      <c r="W461" s="20">
        <v>7</v>
      </c>
      <c r="X461" s="20" t="str">
        <v>Cold</v>
      </c>
      <c r="Y461" s="20">
        <v>0</v>
      </c>
    </row>
    <row r="462" spans="1:25" ht="15" customHeight="1" x14ac:dyDescent="0.25">
      <c r="A462" s="3"/>
      <c r="B462" s="3"/>
      <c r="C462" s="3"/>
      <c r="D462" s="3"/>
      <c r="E462" s="3"/>
      <c r="F462" s="3"/>
      <c r="G462" s="3"/>
      <c r="H462" s="3"/>
      <c r="I462" s="3"/>
      <c r="J462" s="3"/>
      <c r="K462" s="20">
        <v>12236</v>
      </c>
      <c r="L462" s="20" t="str">
        <v>0-1 Cars</v>
      </c>
      <c r="M462" s="20" t="str">
        <v>61+</v>
      </c>
      <c r="N462" s="20" t="str">
        <v>0-1 Miles</v>
      </c>
      <c r="O462" s="20">
        <v>1</v>
      </c>
      <c r="P462" s="20" t="str">
        <v>Partial College</v>
      </c>
      <c r="Q462" s="20" t="str">
        <v>Europe</v>
      </c>
      <c r="R462" s="20" t="str">
        <v>Married</v>
      </c>
      <c r="S462" s="20" t="str">
        <v>$10k-30k</v>
      </c>
      <c r="T462" s="89">
        <v>0.47938277205914731</v>
      </c>
      <c r="U462" s="91">
        <v>57.784047407468897</v>
      </c>
      <c r="V462" s="49">
        <v>517</v>
      </c>
      <c r="W462" s="20">
        <v>6</v>
      </c>
      <c r="X462" s="20" t="str">
        <v>Warm</v>
      </c>
      <c r="Y462" s="20">
        <v>0</v>
      </c>
    </row>
    <row r="463" spans="1:25" ht="15" customHeight="1" x14ac:dyDescent="0.25">
      <c r="A463" s="3"/>
      <c r="B463" s="3"/>
      <c r="C463" s="3"/>
      <c r="D463" s="3"/>
      <c r="E463" s="3"/>
      <c r="F463" s="3"/>
      <c r="G463" s="3"/>
      <c r="H463" s="3"/>
      <c r="I463" s="3"/>
      <c r="J463" s="3"/>
      <c r="K463" s="20">
        <v>21560</v>
      </c>
      <c r="L463" s="20" t="str">
        <v>2+ Cars</v>
      </c>
      <c r="M463" s="20" t="str">
        <v>31-40</v>
      </c>
      <c r="N463" s="20" t="str">
        <v>10+ Miles</v>
      </c>
      <c r="O463" s="20">
        <v>0</v>
      </c>
      <c r="P463" s="20" t="str">
        <v>Partial High School</v>
      </c>
      <c r="Q463" s="20" t="str">
        <v>Pacific</v>
      </c>
      <c r="R463" s="20" t="str">
        <v>Married</v>
      </c>
      <c r="S463" s="20" t="str">
        <v>$100k+</v>
      </c>
      <c r="T463" s="89">
        <v>0.43747624964223869</v>
      </c>
      <c r="U463" s="91">
        <v>37.465522263200029</v>
      </c>
      <c r="V463" s="49">
        <v>797</v>
      </c>
      <c r="W463" s="20">
        <v>8</v>
      </c>
      <c r="X463" s="20" t="str">
        <v>Cold</v>
      </c>
      <c r="Y463" s="20">
        <v>1</v>
      </c>
    </row>
    <row r="464" spans="1:25" ht="15" customHeight="1" x14ac:dyDescent="0.25">
      <c r="A464" s="3"/>
      <c r="B464" s="3"/>
      <c r="C464" s="3"/>
      <c r="D464" s="3"/>
      <c r="E464" s="3"/>
      <c r="F464" s="3"/>
      <c r="G464" s="3"/>
      <c r="H464" s="3"/>
      <c r="I464" s="3"/>
      <c r="J464" s="3"/>
      <c r="K464" s="20">
        <v>21554</v>
      </c>
      <c r="L464" s="20" t="str">
        <v>2+ Cars</v>
      </c>
      <c r="M464" s="20" t="str">
        <v>31-40</v>
      </c>
      <c r="N464" s="20" t="str">
        <v>10+ Miles</v>
      </c>
      <c r="O464" s="20">
        <v>0</v>
      </c>
      <c r="P464" s="20" t="str">
        <v>Bachelors</v>
      </c>
      <c r="Q464" s="20" t="str">
        <v>Pacific</v>
      </c>
      <c r="R464" s="20" t="str">
        <v>Single</v>
      </c>
      <c r="S464" s="20" t="str">
        <v>$70k-90k</v>
      </c>
      <c r="T464" s="89">
        <v>0.48374381756216484</v>
      </c>
      <c r="U464" s="91">
        <v>59.898515695407994</v>
      </c>
      <c r="V464" s="49">
        <v>487</v>
      </c>
      <c r="W464" s="20">
        <v>5</v>
      </c>
      <c r="X464" s="20" t="str">
        <v>Warm</v>
      </c>
      <c r="Y464" s="20">
        <v>0</v>
      </c>
    </row>
    <row r="465" spans="1:25" ht="15" customHeight="1" x14ac:dyDescent="0.25">
      <c r="A465" s="3"/>
      <c r="B465" s="3"/>
      <c r="C465" s="3"/>
      <c r="D465" s="3"/>
      <c r="E465" s="3"/>
      <c r="F465" s="3"/>
      <c r="G465" s="3"/>
      <c r="H465" s="3"/>
      <c r="I465" s="3"/>
      <c r="J465" s="3"/>
      <c r="K465" s="20">
        <v>13662</v>
      </c>
      <c r="L465" s="20" t="str">
        <v>2+ Cars</v>
      </c>
      <c r="M465" s="20" t="str">
        <v>31-40</v>
      </c>
      <c r="N465" s="20" t="str">
        <v>1-2 Miles</v>
      </c>
      <c r="O465" s="20">
        <v>0</v>
      </c>
      <c r="P465" s="20" t="str">
        <v>Partial High School</v>
      </c>
      <c r="Q465" s="20" t="str">
        <v>Europe</v>
      </c>
      <c r="R465" s="20" t="str">
        <v>Single</v>
      </c>
      <c r="S465" s="20" t="str">
        <v>$10k-30k</v>
      </c>
      <c r="T465" s="89">
        <v>0.45431729951514982</v>
      </c>
      <c r="U465" s="91">
        <v>45.630964670813512</v>
      </c>
      <c r="V465" s="49">
        <v>702</v>
      </c>
      <c r="W465" s="20">
        <v>8</v>
      </c>
      <c r="X465" s="20" t="str">
        <v>Cold</v>
      </c>
      <c r="Y465" s="20">
        <v>1</v>
      </c>
    </row>
    <row r="466" spans="1:25" ht="15" customHeight="1" x14ac:dyDescent="0.25">
      <c r="A466" s="3"/>
      <c r="B466" s="3"/>
      <c r="C466" s="3"/>
      <c r="D466" s="3"/>
      <c r="E466" s="3"/>
      <c r="F466" s="3"/>
      <c r="G466" s="3"/>
      <c r="H466" s="3"/>
      <c r="I466" s="3"/>
      <c r="J466" s="3"/>
      <c r="K466" s="20">
        <v>13089</v>
      </c>
      <c r="L466" s="20" t="str">
        <v>2+ Cars</v>
      </c>
      <c r="M466" s="20" t="str">
        <v>41-50</v>
      </c>
      <c r="N466" s="20" t="str">
        <v>0-1 Miles</v>
      </c>
      <c r="O466" s="20">
        <v>1</v>
      </c>
      <c r="P466" s="20" t="str">
        <v>Bachelors</v>
      </c>
      <c r="Q466" s="20" t="str">
        <v>Pacific</v>
      </c>
      <c r="R466" s="20" t="str">
        <v>Married</v>
      </c>
      <c r="S466" s="20" t="str">
        <v>$100k+</v>
      </c>
      <c r="T466" s="89">
        <v>0.49566767271589168</v>
      </c>
      <c r="U466" s="91">
        <v>65.679838906800597</v>
      </c>
      <c r="V466" s="49">
        <v>413</v>
      </c>
      <c r="W466" s="20">
        <v>5</v>
      </c>
      <c r="X466" s="20" t="str">
        <v>Warm</v>
      </c>
      <c r="Y466" s="20">
        <v>1</v>
      </c>
    </row>
    <row r="467" spans="1:25" ht="15" customHeight="1" x14ac:dyDescent="0.25">
      <c r="A467" s="3"/>
      <c r="B467" s="3"/>
      <c r="C467" s="3"/>
      <c r="D467" s="3"/>
      <c r="E467" s="3"/>
      <c r="F467" s="3"/>
      <c r="G467" s="3"/>
      <c r="H467" s="3"/>
      <c r="I467" s="3"/>
      <c r="J467" s="3"/>
      <c r="K467" s="20">
        <v>14791</v>
      </c>
      <c r="L467" s="20" t="str">
        <v>0-1 Cars</v>
      </c>
      <c r="M467" s="20" t="str">
        <v>31-40</v>
      </c>
      <c r="N467" s="20" t="str">
        <v>0-1 Miles</v>
      </c>
      <c r="O467" s="20">
        <v>0</v>
      </c>
      <c r="P467" s="20" t="str">
        <v>Bachelors</v>
      </c>
      <c r="Q467" s="20" t="str">
        <v>Europe</v>
      </c>
      <c r="R467" s="20" t="str">
        <v>Married</v>
      </c>
      <c r="S467" s="20" t="str">
        <v>$40k-60k</v>
      </c>
      <c r="T467" s="89">
        <v>0.54301769146254275</v>
      </c>
      <c r="U467" s="91">
        <v>88.637662438758653</v>
      </c>
      <c r="V467" s="49">
        <v>85</v>
      </c>
      <c r="W467" s="20">
        <v>1</v>
      </c>
      <c r="X467" s="20" t="str">
        <v>Hot</v>
      </c>
      <c r="Y467" s="20">
        <v>1</v>
      </c>
    </row>
    <row r="468" spans="1:25" ht="15" customHeight="1" x14ac:dyDescent="0.25">
      <c r="A468" s="3"/>
      <c r="B468" s="3"/>
      <c r="C468" s="3"/>
      <c r="D468" s="3"/>
      <c r="E468" s="3"/>
      <c r="F468" s="3"/>
      <c r="G468" s="3"/>
      <c r="H468" s="3"/>
      <c r="I468" s="3"/>
      <c r="J468" s="3"/>
      <c r="K468" s="20">
        <v>19331</v>
      </c>
      <c r="L468" s="20" t="str">
        <v>0-1 Cars</v>
      </c>
      <c r="M468" s="20" t="str">
        <v>31-40</v>
      </c>
      <c r="N468" s="20" t="str">
        <v>0-1 Miles</v>
      </c>
      <c r="O468" s="20">
        <v>2</v>
      </c>
      <c r="P468" s="20" t="str">
        <v>High School</v>
      </c>
      <c r="Q468" s="20" t="str">
        <v>Europe</v>
      </c>
      <c r="R468" s="20" t="str">
        <v>Single</v>
      </c>
      <c r="S468" s="20" t="str">
        <v>$10k-30k</v>
      </c>
      <c r="T468" s="89">
        <v>0.52242580388292881</v>
      </c>
      <c r="U468" s="91">
        <v>78.653613144667673</v>
      </c>
      <c r="V468" s="49">
        <v>237</v>
      </c>
      <c r="W468" s="20">
        <v>3</v>
      </c>
      <c r="X468" s="20" t="str">
        <v>Hot</v>
      </c>
      <c r="Y468" s="20">
        <v>0</v>
      </c>
    </row>
    <row r="469" spans="1:25" ht="15" customHeight="1" x14ac:dyDescent="0.25">
      <c r="A469" s="3"/>
      <c r="B469" s="3"/>
      <c r="C469" s="3"/>
      <c r="D469" s="3"/>
      <c r="E469" s="3"/>
      <c r="F469" s="3"/>
      <c r="G469" s="3"/>
      <c r="H469" s="3"/>
      <c r="I469" s="3"/>
      <c r="J469" s="3"/>
      <c r="K469" s="20">
        <v>17754</v>
      </c>
      <c r="L469" s="20" t="str">
        <v>0-1 Cars</v>
      </c>
      <c r="M469" s="20" t="str">
        <v>41-50</v>
      </c>
      <c r="N469" s="20" t="str">
        <v>0-1 Miles</v>
      </c>
      <c r="O469" s="20">
        <v>3</v>
      </c>
      <c r="P469" s="20" t="str">
        <v>Bachelors</v>
      </c>
      <c r="Q469" s="20" t="str">
        <v>Europe</v>
      </c>
      <c r="R469" s="20" t="str">
        <v>Single</v>
      </c>
      <c r="S469" s="20" t="str">
        <v>$10k-30k</v>
      </c>
      <c r="T469" s="89">
        <v>0.52432328996720845</v>
      </c>
      <c r="U469" s="91">
        <v>79.573615962624729</v>
      </c>
      <c r="V469" s="49">
        <v>222</v>
      </c>
      <c r="W469" s="20">
        <v>3</v>
      </c>
      <c r="X469" s="20" t="str">
        <v>Hot</v>
      </c>
      <c r="Y469" s="20">
        <v>1</v>
      </c>
    </row>
    <row r="470" spans="1:25" ht="15" customHeight="1" x14ac:dyDescent="0.25">
      <c r="A470" s="3"/>
      <c r="B470" s="3"/>
      <c r="C470" s="3"/>
      <c r="D470" s="3"/>
      <c r="E470" s="3"/>
      <c r="F470" s="3"/>
      <c r="G470" s="3"/>
      <c r="H470" s="3"/>
      <c r="I470" s="3"/>
      <c r="J470" s="3"/>
      <c r="K470" s="20">
        <v>11149</v>
      </c>
      <c r="L470" s="20" t="str">
        <v>2+ Cars</v>
      </c>
      <c r="M470" s="20" t="str">
        <v>61+</v>
      </c>
      <c r="N470" s="20" t="str">
        <v>0-1 Miles</v>
      </c>
      <c r="O470" s="20">
        <v>2</v>
      </c>
      <c r="P470" s="20" t="str">
        <v>Bachelors</v>
      </c>
      <c r="Q470" s="20" t="str">
        <v>Pacific</v>
      </c>
      <c r="R470" s="20" t="str">
        <v>Married</v>
      </c>
      <c r="S470" s="20" t="str">
        <v>$40k-60k</v>
      </c>
      <c r="T470" s="89">
        <v>0.45765147256488448</v>
      </c>
      <c r="U470" s="91">
        <v>47.247550229319387</v>
      </c>
      <c r="V470" s="49">
        <v>665</v>
      </c>
      <c r="W470" s="20">
        <v>7</v>
      </c>
      <c r="X470" s="20" t="str">
        <v>Cold</v>
      </c>
      <c r="Y470" s="20">
        <v>0</v>
      </c>
    </row>
    <row r="471" spans="1:25" ht="15" customHeight="1" x14ac:dyDescent="0.25">
      <c r="A471" s="3"/>
      <c r="B471" s="3"/>
      <c r="C471" s="3"/>
      <c r="D471" s="3"/>
      <c r="E471" s="3"/>
      <c r="F471" s="3"/>
      <c r="G471" s="3"/>
      <c r="H471" s="3"/>
      <c r="I471" s="3"/>
      <c r="J471" s="3"/>
      <c r="K471" s="20">
        <v>16549</v>
      </c>
      <c r="L471" s="20" t="str">
        <v>0-1 Cars</v>
      </c>
      <c r="M471" s="20" t="str">
        <v>41-50</v>
      </c>
      <c r="N471" s="20" t="str">
        <v>0-1 Miles</v>
      </c>
      <c r="O471" s="20">
        <v>3</v>
      </c>
      <c r="P471" s="20" t="str">
        <v>Bachelors</v>
      </c>
      <c r="Q471" s="20" t="str">
        <v>Europe</v>
      </c>
      <c r="R471" s="20" t="str">
        <v>Single</v>
      </c>
      <c r="S471" s="20" t="str">
        <v>$10k-30k</v>
      </c>
      <c r="T471" s="89">
        <v>0.52432328996720845</v>
      </c>
      <c r="U471" s="91">
        <v>79.573615962624729</v>
      </c>
      <c r="V471" s="49">
        <v>221</v>
      </c>
      <c r="W471" s="20">
        <v>3</v>
      </c>
      <c r="X471" s="20" t="str">
        <v>Hot</v>
      </c>
      <c r="Y471" s="20">
        <v>1</v>
      </c>
    </row>
    <row r="472" spans="1:25" ht="15" customHeight="1" x14ac:dyDescent="0.25">
      <c r="A472" s="3"/>
      <c r="B472" s="3"/>
      <c r="C472" s="3"/>
      <c r="D472" s="3"/>
      <c r="E472" s="3"/>
      <c r="F472" s="3"/>
      <c r="G472" s="3"/>
      <c r="H472" s="3"/>
      <c r="I472" s="3"/>
      <c r="J472" s="3"/>
      <c r="K472" s="20">
        <v>24305</v>
      </c>
      <c r="L472" s="20" t="str">
        <v>2+ Cars</v>
      </c>
      <c r="M472" s="20" t="str">
        <v>41-50</v>
      </c>
      <c r="N472" s="20" t="str">
        <v>0-1 Miles</v>
      </c>
      <c r="O472" s="20">
        <v>1</v>
      </c>
      <c r="P472" s="20" t="str">
        <v>Bachelors</v>
      </c>
      <c r="Q472" s="20" t="str">
        <v>Pacific</v>
      </c>
      <c r="R472" s="20" t="str">
        <v>Single</v>
      </c>
      <c r="S472" s="20" t="str">
        <v>$100k+</v>
      </c>
      <c r="T472" s="89">
        <v>0.50534571542371687</v>
      </c>
      <c r="U472" s="91">
        <v>70.372272035704469</v>
      </c>
      <c r="V472" s="49">
        <v>338</v>
      </c>
      <c r="W472" s="20">
        <v>4</v>
      </c>
      <c r="X472" s="20" t="str">
        <v>Warm</v>
      </c>
      <c r="Y472" s="20">
        <v>1</v>
      </c>
    </row>
    <row r="473" spans="1:25" ht="15" customHeight="1" x14ac:dyDescent="0.25">
      <c r="A473" s="3"/>
      <c r="B473" s="3"/>
      <c r="C473" s="3"/>
      <c r="D473" s="3"/>
      <c r="E473" s="3"/>
      <c r="F473" s="3"/>
      <c r="G473" s="3"/>
      <c r="H473" s="3"/>
      <c r="I473" s="3"/>
      <c r="J473" s="3"/>
      <c r="K473" s="20">
        <v>18253</v>
      </c>
      <c r="L473" s="20" t="str">
        <v>2+ Cars</v>
      </c>
      <c r="M473" s="20" t="str">
        <v>31-40</v>
      </c>
      <c r="N473" s="20" t="str">
        <v>0-1 Miles</v>
      </c>
      <c r="O473" s="20">
        <v>5</v>
      </c>
      <c r="P473" s="20" t="str">
        <v>Graduate Degree</v>
      </c>
      <c r="Q473" s="20" t="str">
        <v>Pacific</v>
      </c>
      <c r="R473" s="20" t="str">
        <v>Married</v>
      </c>
      <c r="S473" s="20" t="str">
        <v>$70k-90k</v>
      </c>
      <c r="T473" s="89">
        <v>0.46915595674243199</v>
      </c>
      <c r="U473" s="91">
        <v>52.825539944329158</v>
      </c>
      <c r="V473" s="49">
        <v>583</v>
      </c>
      <c r="W473" s="20">
        <v>6</v>
      </c>
      <c r="X473" s="20" t="str">
        <v>Warm</v>
      </c>
      <c r="Y473" s="20">
        <v>0</v>
      </c>
    </row>
    <row r="474" spans="1:25" ht="15" customHeight="1" x14ac:dyDescent="0.25">
      <c r="A474" s="3"/>
      <c r="B474" s="3"/>
      <c r="C474" s="3"/>
      <c r="D474" s="3"/>
      <c r="E474" s="3"/>
      <c r="F474" s="3"/>
      <c r="G474" s="3"/>
      <c r="H474" s="3"/>
      <c r="I474" s="3"/>
      <c r="J474" s="3"/>
      <c r="K474" s="20">
        <v>20147</v>
      </c>
      <c r="L474" s="20" t="str">
        <v>0-1 Cars</v>
      </c>
      <c r="M474" s="20" t="str">
        <v>61+</v>
      </c>
      <c r="N474" s="20" t="str">
        <v>0-1 Miles</v>
      </c>
      <c r="O474" s="20">
        <v>1</v>
      </c>
      <c r="P474" s="20" t="str">
        <v>Bachelors</v>
      </c>
      <c r="Q474" s="20" t="str">
        <v>Europe</v>
      </c>
      <c r="R474" s="20" t="str">
        <v>Married</v>
      </c>
      <c r="S474" s="20" t="str">
        <v>$10k-30k</v>
      </c>
      <c r="T474" s="89">
        <v>0.49214213026608866</v>
      </c>
      <c r="U474" s="91">
        <v>63.970467219957726</v>
      </c>
      <c r="V474" s="49">
        <v>444</v>
      </c>
      <c r="W474" s="20">
        <v>5</v>
      </c>
      <c r="X474" s="20" t="str">
        <v>Warm</v>
      </c>
      <c r="Y474" s="20">
        <v>0</v>
      </c>
    </row>
    <row r="475" spans="1:25" ht="15" customHeight="1" x14ac:dyDescent="0.25">
      <c r="A475" s="3"/>
      <c r="B475" s="3"/>
      <c r="C475" s="3"/>
      <c r="D475" s="3"/>
      <c r="E475" s="3"/>
      <c r="F475" s="3"/>
      <c r="G475" s="3"/>
      <c r="H475" s="3"/>
      <c r="I475" s="3"/>
      <c r="J475" s="3"/>
      <c r="K475" s="20">
        <v>15612</v>
      </c>
      <c r="L475" s="20" t="str">
        <v>0-1 Cars</v>
      </c>
      <c r="M475" s="20" t="str">
        <v>25-30</v>
      </c>
      <c r="N475" s="20" t="str">
        <v>1-2 Miles</v>
      </c>
      <c r="O475" s="20">
        <v>0</v>
      </c>
      <c r="P475" s="20" t="str">
        <v>High School</v>
      </c>
      <c r="Q475" s="20" t="str">
        <v>Europe</v>
      </c>
      <c r="R475" s="20" t="str">
        <v>Single</v>
      </c>
      <c r="S475" s="20" t="str">
        <v>$10k-30k</v>
      </c>
      <c r="T475" s="89">
        <v>0.47416694215478394</v>
      </c>
      <c r="U475" s="91">
        <v>55.255133888811571</v>
      </c>
      <c r="V475" s="49">
        <v>544</v>
      </c>
      <c r="W475" s="20">
        <v>6</v>
      </c>
      <c r="X475" s="20" t="str">
        <v>Warm</v>
      </c>
      <c r="Y475" s="20">
        <v>0</v>
      </c>
    </row>
    <row r="476" spans="1:25" ht="15" customHeight="1" x14ac:dyDescent="0.25">
      <c r="A476" s="3"/>
      <c r="B476" s="3"/>
      <c r="C476" s="3"/>
      <c r="D476" s="3"/>
      <c r="E476" s="3"/>
      <c r="F476" s="3"/>
      <c r="G476" s="3"/>
      <c r="H476" s="3"/>
      <c r="I476" s="3"/>
      <c r="J476" s="3"/>
      <c r="K476" s="20">
        <v>28323</v>
      </c>
      <c r="L476" s="20" t="str">
        <v>2+ Cars</v>
      </c>
      <c r="M476" s="20" t="str">
        <v>41-50</v>
      </c>
      <c r="N476" s="20" t="str">
        <v>5-10 Miles</v>
      </c>
      <c r="O476" s="20">
        <v>0</v>
      </c>
      <c r="P476" s="20" t="str">
        <v>Bachelors</v>
      </c>
      <c r="Q476" s="20" t="str">
        <v>Pacific</v>
      </c>
      <c r="R476" s="20" t="str">
        <v>Single</v>
      </c>
      <c r="S476" s="20" t="str">
        <v>$70k-90k</v>
      </c>
      <c r="T476" s="89">
        <v>0.47492877442570142</v>
      </c>
      <c r="U476" s="91">
        <v>55.624510951368933</v>
      </c>
      <c r="V476" s="49">
        <v>539</v>
      </c>
      <c r="W476" s="20">
        <v>6</v>
      </c>
      <c r="X476" s="20" t="str">
        <v>Warm</v>
      </c>
      <c r="Y476" s="20">
        <v>1</v>
      </c>
    </row>
    <row r="477" spans="1:25" ht="15" customHeight="1" x14ac:dyDescent="0.25">
      <c r="A477" s="3"/>
      <c r="B477" s="3"/>
      <c r="C477" s="3"/>
      <c r="D477" s="3"/>
      <c r="E477" s="3"/>
      <c r="F477" s="3"/>
      <c r="G477" s="3"/>
      <c r="H477" s="3"/>
      <c r="I477" s="3"/>
      <c r="J477" s="3"/>
      <c r="K477" s="20">
        <v>22634</v>
      </c>
      <c r="L477" s="20" t="str">
        <v>0-1 Cars</v>
      </c>
      <c r="M477" s="20" t="str">
        <v>31-40</v>
      </c>
      <c r="N477" s="20" t="str">
        <v>0-1 Miles</v>
      </c>
      <c r="O477" s="20">
        <v>0</v>
      </c>
      <c r="P477" s="20" t="str">
        <v>Graduate Degree</v>
      </c>
      <c r="Q477" s="20" t="str">
        <v>Europe</v>
      </c>
      <c r="R477" s="20" t="str">
        <v>Single</v>
      </c>
      <c r="S477" s="20" t="str">
        <v>$40k-60k</v>
      </c>
      <c r="T477" s="89">
        <v>0.5512054017750383</v>
      </c>
      <c r="U477" s="91">
        <v>92.607502651300493</v>
      </c>
      <c r="V477" s="49">
        <v>43</v>
      </c>
      <c r="W477" s="20">
        <v>1</v>
      </c>
      <c r="X477" s="20" t="str">
        <v>Hot</v>
      </c>
      <c r="Y477" s="20">
        <v>1</v>
      </c>
    </row>
    <row r="478" spans="1:25" ht="15" customHeight="1" x14ac:dyDescent="0.25">
      <c r="A478" s="3"/>
      <c r="B478" s="3"/>
      <c r="C478" s="3"/>
      <c r="D478" s="3"/>
      <c r="E478" s="3"/>
      <c r="F478" s="3"/>
      <c r="G478" s="3"/>
      <c r="H478" s="3"/>
      <c r="I478" s="3"/>
      <c r="J478" s="3"/>
      <c r="K478" s="20">
        <v>15665</v>
      </c>
      <c r="L478" s="20" t="str">
        <v>0-1 Cars</v>
      </c>
      <c r="M478" s="20" t="str">
        <v>41-50</v>
      </c>
      <c r="N478" s="20" t="str">
        <v>0-1 Miles</v>
      </c>
      <c r="O478" s="20">
        <v>0</v>
      </c>
      <c r="P478" s="20" t="str">
        <v>Bachelors</v>
      </c>
      <c r="Q478" s="20" t="str">
        <v>Europe</v>
      </c>
      <c r="R478" s="20" t="str">
        <v>Married</v>
      </c>
      <c r="S478" s="20" t="str">
        <v>$10k-30k</v>
      </c>
      <c r="T478" s="89">
        <v>0.50916194188922093</v>
      </c>
      <c r="U478" s="91">
        <v>72.222582892428804</v>
      </c>
      <c r="V478" s="49">
        <v>322</v>
      </c>
      <c r="W478" s="20">
        <v>4</v>
      </c>
      <c r="X478" s="20" t="str">
        <v>Warm</v>
      </c>
      <c r="Y478" s="20">
        <v>1</v>
      </c>
    </row>
    <row r="479" spans="1:25" ht="15" customHeight="1" x14ac:dyDescent="0.25">
      <c r="A479" s="3"/>
      <c r="B479" s="3"/>
      <c r="C479" s="3"/>
      <c r="D479" s="3"/>
      <c r="E479" s="3"/>
      <c r="F479" s="3"/>
      <c r="G479" s="3"/>
      <c r="H479" s="3"/>
      <c r="I479" s="3"/>
      <c r="J479" s="3"/>
      <c r="K479" s="20">
        <v>27585</v>
      </c>
      <c r="L479" s="20" t="str">
        <v>0-1 Cars</v>
      </c>
      <c r="M479" s="20" t="str">
        <v>31-40</v>
      </c>
      <c r="N479" s="20" t="str">
        <v>0-1 Miles</v>
      </c>
      <c r="O479" s="20">
        <v>2</v>
      </c>
      <c r="P479" s="20" t="str">
        <v>Bachelors</v>
      </c>
      <c r="Q479" s="20" t="str">
        <v>Pacific</v>
      </c>
      <c r="R479" s="20" t="str">
        <v>Married</v>
      </c>
      <c r="S479" s="20" t="str">
        <v>$70k-90k</v>
      </c>
      <c r="T479" s="89">
        <v>0.54299150665926699</v>
      </c>
      <c r="U479" s="91">
        <v>88.62496664457025</v>
      </c>
      <c r="V479" s="49">
        <v>91</v>
      </c>
      <c r="W479" s="20">
        <v>1</v>
      </c>
      <c r="X479" s="20" t="str">
        <v>Hot</v>
      </c>
      <c r="Y479" s="20">
        <v>1</v>
      </c>
    </row>
    <row r="480" spans="1:25" ht="15" customHeight="1" x14ac:dyDescent="0.25">
      <c r="A480" s="3"/>
      <c r="B480" s="3"/>
      <c r="C480" s="3"/>
      <c r="D480" s="3"/>
      <c r="E480" s="3"/>
      <c r="F480" s="3"/>
      <c r="G480" s="3"/>
      <c r="H480" s="3"/>
      <c r="I480" s="3"/>
      <c r="J480" s="3"/>
      <c r="K480" s="20">
        <v>19748</v>
      </c>
      <c r="L480" s="20" t="str">
        <v>2+ Cars</v>
      </c>
      <c r="M480" s="20" t="str">
        <v>51-60</v>
      </c>
      <c r="N480" s="20" t="str">
        <v>1-2 Miles</v>
      </c>
      <c r="O480" s="20">
        <v>4</v>
      </c>
      <c r="P480" s="20" t="str">
        <v>High School</v>
      </c>
      <c r="Q480" s="20" t="str">
        <v>Pacific</v>
      </c>
      <c r="R480" s="20" t="str">
        <v>Married</v>
      </c>
      <c r="S480" s="20" t="str">
        <v>$10k-30k</v>
      </c>
      <c r="T480" s="89">
        <v>0.43973081804245562</v>
      </c>
      <c r="U480" s="91">
        <v>38.558657701009544</v>
      </c>
      <c r="V480" s="49">
        <v>791</v>
      </c>
      <c r="W480" s="20">
        <v>8</v>
      </c>
      <c r="X480" s="20" t="str">
        <v>Cold</v>
      </c>
      <c r="Y480" s="20">
        <v>0</v>
      </c>
    </row>
    <row r="481" spans="1:25" ht="15" customHeight="1" x14ac:dyDescent="0.25">
      <c r="A481" s="3"/>
      <c r="B481" s="3"/>
      <c r="C481" s="3"/>
      <c r="D481" s="3"/>
      <c r="E481" s="3"/>
      <c r="F481" s="3"/>
      <c r="G481" s="3"/>
      <c r="H481" s="3"/>
      <c r="I481" s="3"/>
      <c r="J481" s="3"/>
      <c r="K481" s="20">
        <v>21974</v>
      </c>
      <c r="L481" s="20" t="str">
        <v>0-1 Cars</v>
      </c>
      <c r="M481" s="20" t="str">
        <v>41-50</v>
      </c>
      <c r="N481" s="20" t="str">
        <v>5-10 Miles</v>
      </c>
      <c r="O481" s="20">
        <v>0</v>
      </c>
      <c r="P481" s="20" t="str">
        <v>Bachelors</v>
      </c>
      <c r="Q481" s="20" t="str">
        <v>Pacific</v>
      </c>
      <c r="R481" s="20" t="str">
        <v>Single</v>
      </c>
      <c r="S481" s="20" t="str">
        <v>$70k-90k</v>
      </c>
      <c r="T481" s="89">
        <v>0.51364222394441361</v>
      </c>
      <c r="U481" s="91">
        <v>74.394863443084063</v>
      </c>
      <c r="V481" s="49">
        <v>291</v>
      </c>
      <c r="W481" s="20">
        <v>3</v>
      </c>
      <c r="X481" s="20" t="str">
        <v>Hot</v>
      </c>
      <c r="Y481" s="20">
        <v>1</v>
      </c>
    </row>
    <row r="482" spans="1:25" ht="15" customHeight="1" x14ac:dyDescent="0.25">
      <c r="A482" s="3"/>
      <c r="B482" s="3"/>
      <c r="C482" s="3"/>
      <c r="D482" s="3"/>
      <c r="E482" s="3"/>
      <c r="F482" s="3"/>
      <c r="G482" s="3"/>
      <c r="H482" s="3"/>
      <c r="I482" s="3"/>
      <c r="J482" s="3"/>
      <c r="K482" s="20">
        <v>14032</v>
      </c>
      <c r="L482" s="20" t="str">
        <v>2+ Cars</v>
      </c>
      <c r="M482" s="20" t="str">
        <v>41-50</v>
      </c>
      <c r="N482" s="20" t="str">
        <v>1-2 Miles</v>
      </c>
      <c r="O482" s="20">
        <v>2</v>
      </c>
      <c r="P482" s="20" t="str">
        <v>High School</v>
      </c>
      <c r="Q482" s="20" t="str">
        <v>Pacific</v>
      </c>
      <c r="R482" s="20" t="str">
        <v>Married</v>
      </c>
      <c r="S482" s="20" t="str">
        <v>$70k-90k</v>
      </c>
      <c r="T482" s="89">
        <v>0.45443150910346941</v>
      </c>
      <c r="U482" s="91">
        <v>45.686339592380662</v>
      </c>
      <c r="V482" s="49">
        <v>699</v>
      </c>
      <c r="W482" s="20">
        <v>7</v>
      </c>
      <c r="X482" s="20" t="str">
        <v>Cold</v>
      </c>
      <c r="Y482" s="20">
        <v>1</v>
      </c>
    </row>
    <row r="483" spans="1:25" ht="15" customHeight="1" x14ac:dyDescent="0.25">
      <c r="A483" s="3"/>
      <c r="B483" s="3"/>
      <c r="C483" s="3"/>
      <c r="D483" s="3"/>
      <c r="E483" s="3"/>
      <c r="F483" s="3"/>
      <c r="G483" s="3"/>
      <c r="H483" s="3"/>
      <c r="I483" s="3"/>
      <c r="J483" s="3"/>
      <c r="K483" s="20">
        <v>22610</v>
      </c>
      <c r="L483" s="20" t="str">
        <v>0-1 Cars</v>
      </c>
      <c r="M483" s="20" t="str">
        <v>31-40</v>
      </c>
      <c r="N483" s="20" t="str">
        <v>0-1 Miles</v>
      </c>
      <c r="O483" s="20">
        <v>0</v>
      </c>
      <c r="P483" s="20" t="str">
        <v>Bachelors</v>
      </c>
      <c r="Q483" s="20" t="str">
        <v>Europe</v>
      </c>
      <c r="R483" s="20" t="str">
        <v>Married</v>
      </c>
      <c r="S483" s="20" t="str">
        <v>$10k-30k</v>
      </c>
      <c r="T483" s="89">
        <v>0.53219230862329037</v>
      </c>
      <c r="U483" s="91">
        <v>83.388937401938662</v>
      </c>
      <c r="V483" s="49">
        <v>178</v>
      </c>
      <c r="W483" s="20">
        <v>2</v>
      </c>
      <c r="X483" s="20" t="str">
        <v>Hot</v>
      </c>
      <c r="Y483" s="20">
        <v>1</v>
      </c>
    </row>
    <row r="484" spans="1:25" ht="15" customHeight="1" x14ac:dyDescent="0.25">
      <c r="A484" s="3"/>
      <c r="B484" s="3"/>
      <c r="C484" s="3"/>
      <c r="D484" s="3"/>
      <c r="E484" s="3"/>
      <c r="F484" s="3"/>
      <c r="G484" s="3"/>
      <c r="H484" s="3"/>
      <c r="I484" s="3"/>
      <c r="J484" s="3"/>
      <c r="K484" s="20">
        <v>26984</v>
      </c>
      <c r="L484" s="20" t="str">
        <v>0-1 Cars</v>
      </c>
      <c r="M484" s="20" t="str">
        <v>31-40</v>
      </c>
      <c r="N484" s="20" t="str">
        <v>0-1 Miles</v>
      </c>
      <c r="O484" s="20">
        <v>1</v>
      </c>
      <c r="P484" s="20" t="str">
        <v>Bachelors</v>
      </c>
      <c r="Q484" s="20" t="str">
        <v>Europe</v>
      </c>
      <c r="R484" s="20" t="str">
        <v>Married</v>
      </c>
      <c r="S484" s="20" t="str">
        <v>$40k-60k</v>
      </c>
      <c r="T484" s="89">
        <v>0.55255923054162592</v>
      </c>
      <c r="U484" s="91">
        <v>93.263911301994114</v>
      </c>
      <c r="V484" s="49">
        <v>27</v>
      </c>
      <c r="W484" s="20">
        <v>1</v>
      </c>
      <c r="X484" s="20" t="str">
        <v>Hot</v>
      </c>
      <c r="Y484" s="20">
        <v>1</v>
      </c>
    </row>
    <row r="485" spans="1:25" ht="15" customHeight="1" x14ac:dyDescent="0.25">
      <c r="A485" s="3"/>
      <c r="B485" s="3"/>
      <c r="C485" s="3"/>
      <c r="D485" s="3"/>
      <c r="E485" s="3"/>
      <c r="F485" s="3"/>
      <c r="G485" s="3"/>
      <c r="H485" s="3"/>
      <c r="I485" s="3"/>
      <c r="J485" s="3"/>
      <c r="K485" s="20">
        <v>18294</v>
      </c>
      <c r="L485" s="20" t="str">
        <v>0-1 Cars</v>
      </c>
      <c r="M485" s="20" t="str">
        <v>41-50</v>
      </c>
      <c r="N485" s="20" t="str">
        <v>5-10 Miles</v>
      </c>
      <c r="O485" s="20">
        <v>1</v>
      </c>
      <c r="P485" s="20" t="str">
        <v>Bachelors</v>
      </c>
      <c r="Q485" s="20" t="str">
        <v>Pacific</v>
      </c>
      <c r="R485" s="20" t="str">
        <v>Married</v>
      </c>
      <c r="S485" s="20" t="str">
        <v>$70k-90k</v>
      </c>
      <c r="T485" s="89">
        <v>0.51350572031567165</v>
      </c>
      <c r="U485" s="91">
        <v>74.328679177415722</v>
      </c>
      <c r="V485" s="49">
        <v>293</v>
      </c>
      <c r="W485" s="20">
        <v>3</v>
      </c>
      <c r="X485" s="20" t="str">
        <v>Hot</v>
      </c>
      <c r="Y485" s="20">
        <v>0</v>
      </c>
    </row>
    <row r="486" spans="1:25" ht="15" customHeight="1" x14ac:dyDescent="0.25">
      <c r="A486" s="3"/>
      <c r="B486" s="3"/>
      <c r="C486" s="3"/>
      <c r="D486" s="3"/>
      <c r="E486" s="3"/>
      <c r="F486" s="3"/>
      <c r="G486" s="3"/>
      <c r="H486" s="3"/>
      <c r="I486" s="3"/>
      <c r="J486" s="3"/>
      <c r="K486" s="20">
        <v>28564</v>
      </c>
      <c r="L486" s="20" t="str">
        <v>0-1 Cars</v>
      </c>
      <c r="M486" s="20" t="str">
        <v>31-40</v>
      </c>
      <c r="N486" s="20" t="str">
        <v>1-2 Miles</v>
      </c>
      <c r="O486" s="20">
        <v>2</v>
      </c>
      <c r="P486" s="20" t="str">
        <v>Partial College</v>
      </c>
      <c r="Q486" s="20" t="str">
        <v>Europe</v>
      </c>
      <c r="R486" s="20" t="str">
        <v>Single</v>
      </c>
      <c r="S486" s="20" t="str">
        <v>$40k-60k</v>
      </c>
      <c r="T486" s="89">
        <v>0.52110171613365897</v>
      </c>
      <c r="U486" s="91">
        <v>78.011624531078922</v>
      </c>
      <c r="V486" s="49">
        <v>247</v>
      </c>
      <c r="W486" s="20">
        <v>3</v>
      </c>
      <c r="X486" s="20" t="str">
        <v>Hot</v>
      </c>
      <c r="Y486" s="20">
        <v>1</v>
      </c>
    </row>
    <row r="487" spans="1:25" ht="15" customHeight="1" x14ac:dyDescent="0.25">
      <c r="A487" s="3"/>
      <c r="B487" s="3"/>
      <c r="C487" s="3"/>
      <c r="D487" s="3"/>
      <c r="E487" s="3"/>
      <c r="F487" s="3"/>
      <c r="G487" s="3"/>
      <c r="H487" s="3"/>
      <c r="I487" s="3"/>
      <c r="J487" s="3"/>
      <c r="K487" s="20">
        <v>28521</v>
      </c>
      <c r="L487" s="20" t="str">
        <v>0-1 Cars</v>
      </c>
      <c r="M487" s="20" t="str">
        <v>31-40</v>
      </c>
      <c r="N487" s="20" t="str">
        <v>0-1 Miles</v>
      </c>
      <c r="O487" s="20">
        <v>0</v>
      </c>
      <c r="P487" s="20" t="str">
        <v>Graduate Degree</v>
      </c>
      <c r="Q487" s="20" t="str">
        <v>Europe</v>
      </c>
      <c r="R487" s="20" t="str">
        <v>Single</v>
      </c>
      <c r="S487" s="20" t="str">
        <v>$40k-60k</v>
      </c>
      <c r="T487" s="89">
        <v>0.5512054017750383</v>
      </c>
      <c r="U487" s="91">
        <v>92.607502651300493</v>
      </c>
      <c r="V487" s="49">
        <v>46</v>
      </c>
      <c r="W487" s="20">
        <v>1</v>
      </c>
      <c r="X487" s="20" t="str">
        <v>Hot</v>
      </c>
      <c r="Y487" s="20">
        <v>1</v>
      </c>
    </row>
    <row r="488" spans="1:25" ht="15" customHeight="1" x14ac:dyDescent="0.25">
      <c r="A488" s="3"/>
      <c r="B488" s="3"/>
      <c r="C488" s="3"/>
      <c r="D488" s="3"/>
      <c r="E488" s="3"/>
      <c r="F488" s="3"/>
      <c r="G488" s="3"/>
      <c r="H488" s="3"/>
      <c r="I488" s="3"/>
      <c r="J488" s="3"/>
      <c r="K488" s="20">
        <v>15450</v>
      </c>
      <c r="L488" s="20" t="str">
        <v>0-1 Cars</v>
      </c>
      <c r="M488" s="20" t="str">
        <v>61+</v>
      </c>
      <c r="N488" s="20" t="str">
        <v>0-1 Miles</v>
      </c>
      <c r="O488" s="20">
        <v>1</v>
      </c>
      <c r="P488" s="20" t="str">
        <v>Graduate Degree</v>
      </c>
      <c r="Q488" s="20" t="str">
        <v>Europe</v>
      </c>
      <c r="R488" s="20" t="str">
        <v>Married</v>
      </c>
      <c r="S488" s="20" t="str">
        <v>$10k-30k</v>
      </c>
      <c r="T488" s="89">
        <v>0.49065179787075902</v>
      </c>
      <c r="U488" s="91">
        <v>63.247874303595729</v>
      </c>
      <c r="V488" s="49">
        <v>453</v>
      </c>
      <c r="W488" s="20">
        <v>5</v>
      </c>
      <c r="X488" s="20" t="str">
        <v>Warm</v>
      </c>
      <c r="Y488" s="20">
        <v>0</v>
      </c>
    </row>
    <row r="489" spans="1:25" ht="15" customHeight="1" x14ac:dyDescent="0.25">
      <c r="A489" s="3"/>
      <c r="B489" s="3"/>
      <c r="C489" s="3"/>
      <c r="D489" s="3"/>
      <c r="E489" s="3"/>
      <c r="F489" s="3"/>
      <c r="G489" s="3"/>
      <c r="H489" s="3"/>
      <c r="I489" s="3"/>
      <c r="J489" s="3"/>
      <c r="K489" s="20">
        <v>25681</v>
      </c>
      <c r="L489" s="20" t="str">
        <v>0-1 Cars</v>
      </c>
      <c r="M489" s="20" t="str">
        <v>31-40</v>
      </c>
      <c r="N489" s="20" t="str">
        <v>2-5 Miles</v>
      </c>
      <c r="O489" s="20">
        <v>0</v>
      </c>
      <c r="P489" s="20" t="str">
        <v>Partial College</v>
      </c>
      <c r="Q489" s="20" t="str">
        <v>Europe</v>
      </c>
      <c r="R489" s="20" t="str">
        <v>Single</v>
      </c>
      <c r="S489" s="20" t="str">
        <v>$10k-30k</v>
      </c>
      <c r="T489" s="89">
        <v>0.53487751453984622</v>
      </c>
      <c r="U489" s="91">
        <v>84.69086895785</v>
      </c>
      <c r="V489" s="49">
        <v>154</v>
      </c>
      <c r="W489" s="20">
        <v>2</v>
      </c>
      <c r="X489" s="20" t="str">
        <v>Hot</v>
      </c>
      <c r="Y489" s="20">
        <v>1</v>
      </c>
    </row>
    <row r="490" spans="1:25" ht="15" customHeight="1" x14ac:dyDescent="0.25">
      <c r="A490" s="3"/>
      <c r="B490" s="3"/>
      <c r="C490" s="3"/>
      <c r="D490" s="3"/>
      <c r="E490" s="3"/>
      <c r="F490" s="3"/>
      <c r="G490" s="3"/>
      <c r="H490" s="3"/>
      <c r="I490" s="3"/>
      <c r="J490" s="3"/>
      <c r="K490" s="20">
        <v>19491</v>
      </c>
      <c r="L490" s="20" t="str">
        <v>2+ Cars</v>
      </c>
      <c r="M490" s="20" t="str">
        <v>41-50</v>
      </c>
      <c r="N490" s="20" t="str">
        <v>0-1 Miles</v>
      </c>
      <c r="O490" s="20">
        <v>2</v>
      </c>
      <c r="P490" s="20" t="str">
        <v>Partial College</v>
      </c>
      <c r="Q490" s="20" t="str">
        <v>Europe</v>
      </c>
      <c r="R490" s="20" t="str">
        <v>Single</v>
      </c>
      <c r="S490" s="20" t="str">
        <v>$10k-30k</v>
      </c>
      <c r="T490" s="89">
        <v>0.46163566388392346</v>
      </c>
      <c r="U490" s="91">
        <v>49.17929943747626</v>
      </c>
      <c r="V490" s="49">
        <v>635</v>
      </c>
      <c r="W490" s="20">
        <v>7</v>
      </c>
      <c r="X490" s="20" t="str">
        <v>Cold</v>
      </c>
      <c r="Y490" s="20">
        <v>0</v>
      </c>
    </row>
    <row r="491" spans="1:25" ht="15" customHeight="1" x14ac:dyDescent="0.25">
      <c r="A491" s="3"/>
      <c r="B491" s="3"/>
      <c r="C491" s="3"/>
      <c r="D491" s="3"/>
      <c r="E491" s="3"/>
      <c r="F491" s="3"/>
      <c r="G491" s="3"/>
      <c r="H491" s="3"/>
      <c r="I491" s="3"/>
      <c r="J491" s="3"/>
      <c r="K491" s="20">
        <v>26415</v>
      </c>
      <c r="L491" s="20" t="str">
        <v>2+ Cars</v>
      </c>
      <c r="M491" s="20" t="str">
        <v>51-60</v>
      </c>
      <c r="N491" s="20" t="str">
        <v>10+ Miles</v>
      </c>
      <c r="O491" s="20">
        <v>4</v>
      </c>
      <c r="P491" s="20" t="str">
        <v>Partial High School</v>
      </c>
      <c r="Q491" s="20" t="str">
        <v>Europe</v>
      </c>
      <c r="R491" s="20" t="str">
        <v>Married</v>
      </c>
      <c r="S491" s="20" t="str">
        <v>$70k-90k</v>
      </c>
      <c r="T491" s="89">
        <v>0.39405653755066278</v>
      </c>
      <c r="U491" s="91">
        <v>16.413321770094065</v>
      </c>
      <c r="V491" s="49">
        <v>981</v>
      </c>
      <c r="W491" s="20">
        <v>10</v>
      </c>
      <c r="X491" s="20" t="str">
        <v>Cold</v>
      </c>
      <c r="Y491" s="20">
        <v>0</v>
      </c>
    </row>
    <row r="492" spans="1:25" ht="15" customHeight="1" x14ac:dyDescent="0.25">
      <c r="A492" s="3"/>
      <c r="B492" s="3"/>
      <c r="C492" s="3"/>
      <c r="D492" s="3"/>
      <c r="E492" s="3"/>
      <c r="F492" s="3"/>
      <c r="G492" s="3"/>
      <c r="H492" s="3"/>
      <c r="I492" s="3"/>
      <c r="J492" s="3"/>
      <c r="K492" s="20">
        <v>12821</v>
      </c>
      <c r="L492" s="20" t="str">
        <v>0-1 Cars</v>
      </c>
      <c r="M492" s="20" t="str">
        <v>31-40</v>
      </c>
      <c r="N492" s="20" t="str">
        <v>0-1 Miles</v>
      </c>
      <c r="O492" s="20">
        <v>0</v>
      </c>
      <c r="P492" s="20" t="str">
        <v>Bachelors</v>
      </c>
      <c r="Q492" s="20" t="str">
        <v>Europe</v>
      </c>
      <c r="R492" s="20" t="str">
        <v>Married</v>
      </c>
      <c r="S492" s="20" t="str">
        <v>$40k-60k</v>
      </c>
      <c r="T492" s="89">
        <v>0.54301769146254275</v>
      </c>
      <c r="U492" s="91">
        <v>88.637662438758653</v>
      </c>
      <c r="V492" s="49">
        <v>83</v>
      </c>
      <c r="W492" s="20">
        <v>1</v>
      </c>
      <c r="X492" s="20" t="str">
        <v>Hot</v>
      </c>
      <c r="Y492" s="20">
        <v>0</v>
      </c>
    </row>
    <row r="493" spans="1:25" ht="15" customHeight="1" x14ac:dyDescent="0.25">
      <c r="A493" s="3"/>
      <c r="B493" s="3"/>
      <c r="C493" s="3"/>
      <c r="D493" s="3"/>
      <c r="E493" s="3"/>
      <c r="F493" s="3"/>
      <c r="G493" s="3"/>
      <c r="H493" s="3"/>
      <c r="I493" s="3"/>
      <c r="J493" s="3"/>
      <c r="K493" s="20">
        <v>15629</v>
      </c>
      <c r="L493" s="20" t="str">
        <v>2+ Cars</v>
      </c>
      <c r="M493" s="20" t="str">
        <v>31-40</v>
      </c>
      <c r="N493" s="20" t="str">
        <v>1-2 Miles</v>
      </c>
      <c r="O493" s="20">
        <v>0</v>
      </c>
      <c r="P493" s="20" t="str">
        <v>Partial High School</v>
      </c>
      <c r="Q493" s="20" t="str">
        <v>Europe</v>
      </c>
      <c r="R493" s="20" t="str">
        <v>Single</v>
      </c>
      <c r="S493" s="20" t="str">
        <v>$10k-30k</v>
      </c>
      <c r="T493" s="89">
        <v>0.45431729951514982</v>
      </c>
      <c r="U493" s="91">
        <v>45.630964670813512</v>
      </c>
      <c r="V493" s="49">
        <v>704</v>
      </c>
      <c r="W493" s="20">
        <v>8</v>
      </c>
      <c r="X493" s="20" t="str">
        <v>Cold</v>
      </c>
      <c r="Y493" s="20">
        <v>0</v>
      </c>
    </row>
    <row r="494" spans="1:25" ht="15" customHeight="1" x14ac:dyDescent="0.25">
      <c r="A494" s="3"/>
      <c r="B494" s="3"/>
      <c r="C494" s="3"/>
      <c r="D494" s="3"/>
      <c r="E494" s="3"/>
      <c r="F494" s="3"/>
      <c r="G494" s="3"/>
      <c r="H494" s="3"/>
      <c r="I494" s="3"/>
      <c r="J494" s="3"/>
      <c r="K494" s="20">
        <v>27835</v>
      </c>
      <c r="L494" s="20" t="str">
        <v>2+ Cars</v>
      </c>
      <c r="M494" s="20" t="str">
        <v>31-40</v>
      </c>
      <c r="N494" s="20" t="str">
        <v>0-1 Miles</v>
      </c>
      <c r="O494" s="20">
        <v>0</v>
      </c>
      <c r="P494" s="20" t="str">
        <v>Partial High School</v>
      </c>
      <c r="Q494" s="20" t="str">
        <v>Europe</v>
      </c>
      <c r="R494" s="20" t="str">
        <v>Married</v>
      </c>
      <c r="S494" s="20" t="str">
        <v>$10k-30k</v>
      </c>
      <c r="T494" s="89">
        <v>0.45774240364962321</v>
      </c>
      <c r="U494" s="91">
        <v>47.291638486351999</v>
      </c>
      <c r="V494" s="49">
        <v>663</v>
      </c>
      <c r="W494" s="20">
        <v>7</v>
      </c>
      <c r="X494" s="20" t="str">
        <v>Cold</v>
      </c>
      <c r="Y494" s="20">
        <v>0</v>
      </c>
    </row>
    <row r="495" spans="1:25" ht="15" customHeight="1" x14ac:dyDescent="0.25">
      <c r="A495" s="3"/>
      <c r="B495" s="3"/>
      <c r="C495" s="3"/>
      <c r="D495" s="3"/>
      <c r="E495" s="3"/>
      <c r="F495" s="3"/>
      <c r="G495" s="3"/>
      <c r="H495" s="3"/>
      <c r="I495" s="3"/>
      <c r="J495" s="3"/>
      <c r="K495" s="20">
        <v>11738</v>
      </c>
      <c r="L495" s="20" t="str">
        <v>0-1 Cars</v>
      </c>
      <c r="M495" s="20" t="str">
        <v>41-50</v>
      </c>
      <c r="N495" s="20" t="str">
        <v>2-5 Miles</v>
      </c>
      <c r="O495" s="20">
        <v>4</v>
      </c>
      <c r="P495" s="20" t="str">
        <v>Bachelors</v>
      </c>
      <c r="Q495" s="20" t="str">
        <v>North America</v>
      </c>
      <c r="R495" s="20" t="str">
        <v>Married</v>
      </c>
      <c r="S495" s="20" t="str">
        <v>$40k-60k</v>
      </c>
      <c r="T495" s="89">
        <v>0.50959252191835602</v>
      </c>
      <c r="U495" s="91">
        <v>72.431351137657188</v>
      </c>
      <c r="V495" s="49">
        <v>321</v>
      </c>
      <c r="W495" s="20">
        <v>4</v>
      </c>
      <c r="X495" s="20" t="str">
        <v>Warm</v>
      </c>
      <c r="Y495" s="20">
        <v>0</v>
      </c>
    </row>
    <row r="496" spans="1:25" ht="15" customHeight="1" x14ac:dyDescent="0.25">
      <c r="A496" s="3"/>
      <c r="B496" s="3"/>
      <c r="C496" s="3"/>
      <c r="D496" s="3"/>
      <c r="E496" s="3"/>
      <c r="F496" s="3"/>
      <c r="G496" s="3"/>
      <c r="H496" s="3"/>
      <c r="I496" s="3"/>
      <c r="J496" s="3"/>
      <c r="K496" s="20">
        <v>25065</v>
      </c>
      <c r="L496" s="20" t="str">
        <v>2+ Cars</v>
      </c>
      <c r="M496" s="20" t="str">
        <v>41-50</v>
      </c>
      <c r="N496" s="20" t="str">
        <v>5-10 Miles</v>
      </c>
      <c r="O496" s="20">
        <v>2</v>
      </c>
      <c r="P496" s="20" t="str">
        <v>Partial High School</v>
      </c>
      <c r="Q496" s="20" t="str">
        <v>North America</v>
      </c>
      <c r="R496" s="20" t="str">
        <v>Married</v>
      </c>
      <c r="S496" s="20" t="str">
        <v>$70k-90k</v>
      </c>
      <c r="T496" s="89">
        <v>0.40962430180089787</v>
      </c>
      <c r="U496" s="91">
        <v>23.96140715431158</v>
      </c>
      <c r="V496" s="49">
        <v>948</v>
      </c>
      <c r="W496" s="20">
        <v>10</v>
      </c>
      <c r="X496" s="20" t="str">
        <v>Cold</v>
      </c>
      <c r="Y496" s="20">
        <v>0</v>
      </c>
    </row>
    <row r="497" spans="1:25" ht="15" customHeight="1" x14ac:dyDescent="0.25">
      <c r="A497" s="3"/>
      <c r="B497" s="3"/>
      <c r="C497" s="3"/>
      <c r="D497" s="3"/>
      <c r="E497" s="3"/>
      <c r="F497" s="3"/>
      <c r="G497" s="3"/>
      <c r="H497" s="3"/>
      <c r="I497" s="3"/>
      <c r="J497" s="3"/>
      <c r="K497" s="20">
        <v>26238</v>
      </c>
      <c r="L497" s="20" t="str">
        <v>0-1 Cars</v>
      </c>
      <c r="M497" s="20" t="str">
        <v>31-40</v>
      </c>
      <c r="N497" s="20" t="str">
        <v>1-2 Miles</v>
      </c>
      <c r="O497" s="20">
        <v>3</v>
      </c>
      <c r="P497" s="20" t="str">
        <v>Partial College</v>
      </c>
      <c r="Q497" s="20" t="str">
        <v>North America</v>
      </c>
      <c r="R497" s="20" t="str">
        <v>Single</v>
      </c>
      <c r="S497" s="20" t="str">
        <v>$40k-60k</v>
      </c>
      <c r="T497" s="89">
        <v>0.52682853406154373</v>
      </c>
      <c r="U497" s="91">
        <v>80.788292394538445</v>
      </c>
      <c r="V497" s="49">
        <v>213</v>
      </c>
      <c r="W497" s="20">
        <v>3</v>
      </c>
      <c r="X497" s="20" t="str">
        <v>Hot</v>
      </c>
      <c r="Y497" s="20">
        <v>1</v>
      </c>
    </row>
    <row r="498" spans="1:25" ht="15" customHeight="1" x14ac:dyDescent="0.25">
      <c r="A498" s="3"/>
      <c r="B498" s="3"/>
      <c r="C498" s="3"/>
      <c r="D498" s="3"/>
      <c r="E498" s="3"/>
      <c r="F498" s="3"/>
      <c r="G498" s="3"/>
      <c r="H498" s="3"/>
      <c r="I498" s="3"/>
      <c r="J498" s="3"/>
      <c r="K498" s="20">
        <v>23707</v>
      </c>
      <c r="L498" s="20" t="str">
        <v>2+ Cars</v>
      </c>
      <c r="M498" s="20" t="str">
        <v>51-60</v>
      </c>
      <c r="N498" s="20" t="str">
        <v>10+ Miles</v>
      </c>
      <c r="O498" s="20">
        <v>5</v>
      </c>
      <c r="P498" s="20" t="str">
        <v>Bachelors</v>
      </c>
      <c r="Q498" s="20" t="str">
        <v>North America</v>
      </c>
      <c r="R498" s="20" t="str">
        <v>Single</v>
      </c>
      <c r="S498" s="20" t="str">
        <v>$70k-90k</v>
      </c>
      <c r="T498" s="89">
        <v>0.40529307808947662</v>
      </c>
      <c r="U498" s="91">
        <v>21.861398067171056</v>
      </c>
      <c r="V498" s="49">
        <v>959</v>
      </c>
      <c r="W498" s="20">
        <v>10</v>
      </c>
      <c r="X498" s="20" t="str">
        <v>Cold</v>
      </c>
      <c r="Y498" s="20">
        <v>1</v>
      </c>
    </row>
    <row r="499" spans="1:25" ht="15" customHeight="1" x14ac:dyDescent="0.25">
      <c r="A499" s="3"/>
      <c r="B499" s="3"/>
      <c r="C499" s="3"/>
      <c r="D499" s="3"/>
      <c r="E499" s="3"/>
      <c r="F499" s="3"/>
      <c r="G499" s="3"/>
      <c r="H499" s="3"/>
      <c r="I499" s="3"/>
      <c r="J499" s="3"/>
      <c r="K499" s="20">
        <v>27650</v>
      </c>
      <c r="L499" s="20" t="str">
        <v>0-1 Cars</v>
      </c>
      <c r="M499" s="20" t="str">
        <v>51-60</v>
      </c>
      <c r="N499" s="20" t="str">
        <v>5-10 Miles</v>
      </c>
      <c r="O499" s="20">
        <v>4</v>
      </c>
      <c r="P499" s="20" t="str">
        <v>High School</v>
      </c>
      <c r="Q499" s="20" t="str">
        <v>North America</v>
      </c>
      <c r="R499" s="20" t="str">
        <v>Married</v>
      </c>
      <c r="S499" s="20" t="str">
        <v>$70k-90k</v>
      </c>
      <c r="T499" s="89">
        <v>0.46352073123147153</v>
      </c>
      <c r="U499" s="91">
        <v>50.093280987144084</v>
      </c>
      <c r="V499" s="49">
        <v>619</v>
      </c>
      <c r="W499" s="20">
        <v>7</v>
      </c>
      <c r="X499" s="20" t="str">
        <v>Cold</v>
      </c>
      <c r="Y499" s="20">
        <v>0</v>
      </c>
    </row>
    <row r="500" spans="1:25" ht="15" customHeight="1" x14ac:dyDescent="0.25">
      <c r="A500" s="3"/>
      <c r="B500" s="3"/>
      <c r="C500" s="3"/>
      <c r="D500" s="3"/>
      <c r="E500" s="3"/>
      <c r="F500" s="3"/>
      <c r="G500" s="3"/>
      <c r="H500" s="3"/>
      <c r="I500" s="3"/>
      <c r="J500" s="3"/>
      <c r="K500" s="20">
        <v>24981</v>
      </c>
      <c r="L500" s="20" t="str">
        <v>2+ Cars</v>
      </c>
      <c r="M500" s="20" t="str">
        <v>51-60</v>
      </c>
      <c r="N500" s="20" t="str">
        <v>10+ Miles</v>
      </c>
      <c r="O500" s="20">
        <v>2</v>
      </c>
      <c r="P500" s="20" t="str">
        <v>Partial College</v>
      </c>
      <c r="Q500" s="20" t="str">
        <v>North America</v>
      </c>
      <c r="R500" s="20" t="str">
        <v>Married</v>
      </c>
      <c r="S500" s="20" t="str">
        <v>$40k-60k</v>
      </c>
      <c r="T500" s="89">
        <v>0.41945257803811792</v>
      </c>
      <c r="U500" s="91">
        <v>28.726681539623051</v>
      </c>
      <c r="V500" s="49">
        <v>895</v>
      </c>
      <c r="W500" s="20">
        <v>9</v>
      </c>
      <c r="X500" s="20" t="str">
        <v>Cold</v>
      </c>
      <c r="Y500" s="20">
        <v>0</v>
      </c>
    </row>
    <row r="501" spans="1:25" ht="15" customHeight="1" x14ac:dyDescent="0.25">
      <c r="A501" s="3"/>
      <c r="B501" s="3"/>
      <c r="C501" s="3"/>
      <c r="D501" s="3"/>
      <c r="E501" s="3"/>
      <c r="F501" s="3"/>
      <c r="G501" s="3"/>
      <c r="H501" s="3"/>
      <c r="I501" s="3"/>
      <c r="J501" s="3"/>
      <c r="K501" s="20">
        <v>20678</v>
      </c>
      <c r="L501" s="20" t="str">
        <v>0-1 Cars</v>
      </c>
      <c r="M501" s="20" t="str">
        <v>31-40</v>
      </c>
      <c r="N501" s="20" t="str">
        <v>2-5 Miles</v>
      </c>
      <c r="O501" s="20">
        <v>3</v>
      </c>
      <c r="P501" s="20" t="str">
        <v>Bachelors</v>
      </c>
      <c r="Q501" s="20" t="str">
        <v>North America</v>
      </c>
      <c r="R501" s="20" t="str">
        <v>Single</v>
      </c>
      <c r="S501" s="20" t="str">
        <v>$40k-60k</v>
      </c>
      <c r="T501" s="89">
        <v>0.55845756052645568</v>
      </c>
      <c r="U501" s="91">
        <v>96.123737390965957</v>
      </c>
      <c r="V501" s="49">
        <v>10</v>
      </c>
      <c r="W501" s="20">
        <v>1</v>
      </c>
      <c r="X501" s="20" t="str">
        <v>Hot</v>
      </c>
      <c r="Y501" s="20">
        <v>1</v>
      </c>
    </row>
    <row r="502" spans="1:25" ht="15" customHeight="1" x14ac:dyDescent="0.25">
      <c r="A502" s="3"/>
      <c r="B502" s="3"/>
      <c r="C502" s="3"/>
      <c r="D502" s="3"/>
      <c r="E502" s="3"/>
      <c r="F502" s="3"/>
      <c r="G502" s="3"/>
      <c r="H502" s="3"/>
      <c r="I502" s="3"/>
      <c r="J502" s="3"/>
      <c r="K502" s="20">
        <v>15302</v>
      </c>
      <c r="L502" s="20" t="str">
        <v>0-1 Cars</v>
      </c>
      <c r="M502" s="20" t="str">
        <v>31-40</v>
      </c>
      <c r="N502" s="20" t="str">
        <v>2-5 Miles</v>
      </c>
      <c r="O502" s="20">
        <v>1</v>
      </c>
      <c r="P502" s="20" t="str">
        <v>Graduate Degree</v>
      </c>
      <c r="Q502" s="20" t="str">
        <v>North America</v>
      </c>
      <c r="R502" s="20" t="str">
        <v>Single</v>
      </c>
      <c r="S502" s="20" t="str">
        <v>$70k-90k</v>
      </c>
      <c r="T502" s="89">
        <v>0.55806032897943236</v>
      </c>
      <c r="U502" s="91">
        <v>95.931138274866697</v>
      </c>
      <c r="V502" s="49">
        <v>12</v>
      </c>
      <c r="W502" s="20">
        <v>1</v>
      </c>
      <c r="X502" s="20" t="str">
        <v>Hot</v>
      </c>
      <c r="Y502" s="20">
        <v>1</v>
      </c>
    </row>
    <row r="503" spans="1:25" ht="15" customHeight="1" x14ac:dyDescent="0.25">
      <c r="A503" s="3"/>
      <c r="B503" s="3"/>
      <c r="C503" s="3"/>
      <c r="D503" s="3"/>
      <c r="E503" s="3"/>
      <c r="F503" s="3"/>
      <c r="G503" s="3"/>
      <c r="H503" s="3"/>
      <c r="I503" s="3"/>
      <c r="J503" s="3"/>
      <c r="K503" s="20">
        <v>26012</v>
      </c>
      <c r="L503" s="20" t="str">
        <v>0-1 Cars</v>
      </c>
      <c r="M503" s="20" t="str">
        <v>41-50</v>
      </c>
      <c r="N503" s="20" t="str">
        <v>2-5 Miles</v>
      </c>
      <c r="O503" s="20">
        <v>1</v>
      </c>
      <c r="P503" s="20" t="str">
        <v>Partial College</v>
      </c>
      <c r="Q503" s="20" t="str">
        <v>North America</v>
      </c>
      <c r="R503" s="20" t="str">
        <v>Married</v>
      </c>
      <c r="S503" s="20" t="str">
        <v>$70k-90k</v>
      </c>
      <c r="T503" s="89">
        <v>0.51408289372592619</v>
      </c>
      <c r="U503" s="91">
        <v>74.608523740326248</v>
      </c>
      <c r="V503" s="49">
        <v>287</v>
      </c>
      <c r="W503" s="20">
        <v>3</v>
      </c>
      <c r="X503" s="20" t="str">
        <v>Hot</v>
      </c>
      <c r="Y503" s="20">
        <v>1</v>
      </c>
    </row>
    <row r="504" spans="1:25" ht="15" customHeight="1" x14ac:dyDescent="0.25">
      <c r="A504" s="3"/>
      <c r="B504" s="3"/>
      <c r="C504" s="3"/>
      <c r="D504" s="3"/>
      <c r="E504" s="3"/>
      <c r="F504" s="3"/>
      <c r="G504" s="3"/>
      <c r="H504" s="3"/>
      <c r="I504" s="3"/>
      <c r="J504" s="3"/>
      <c r="K504" s="20">
        <v>26575</v>
      </c>
      <c r="L504" s="20" t="str">
        <v>2+ Cars</v>
      </c>
      <c r="M504" s="20" t="str">
        <v>31-40</v>
      </c>
      <c r="N504" s="20" t="str">
        <v>1-2 Miles</v>
      </c>
      <c r="O504" s="20">
        <v>0</v>
      </c>
      <c r="P504" s="20" t="str">
        <v>High School</v>
      </c>
      <c r="Q504" s="20" t="str">
        <v>North America</v>
      </c>
      <c r="R504" s="20" t="str">
        <v>Single</v>
      </c>
      <c r="S504" s="20" t="str">
        <v>$40k-60k</v>
      </c>
      <c r="T504" s="89">
        <v>0.48167810291889301</v>
      </c>
      <c r="U504" s="91">
        <v>58.89694666749773</v>
      </c>
      <c r="V504" s="49">
        <v>497</v>
      </c>
      <c r="W504" s="20">
        <v>5</v>
      </c>
      <c r="X504" s="20" t="str">
        <v>Warm</v>
      </c>
      <c r="Y504" s="20">
        <v>1</v>
      </c>
    </row>
    <row r="505" spans="1:25" ht="15" customHeight="1" x14ac:dyDescent="0.25">
      <c r="A505" s="3"/>
      <c r="B505" s="3"/>
      <c r="C505" s="3"/>
      <c r="D505" s="3"/>
      <c r="E505" s="3"/>
      <c r="F505" s="3"/>
      <c r="G505" s="3"/>
      <c r="H505" s="3"/>
      <c r="I505" s="3"/>
      <c r="J505" s="3"/>
      <c r="K505" s="20">
        <v>15559</v>
      </c>
      <c r="L505" s="20" t="str">
        <v>0-1 Cars</v>
      </c>
      <c r="M505" s="20" t="str">
        <v>41-50</v>
      </c>
      <c r="N505" s="20" t="str">
        <v>2-5 Miles</v>
      </c>
      <c r="O505" s="20">
        <v>5</v>
      </c>
      <c r="P505" s="20" t="str">
        <v>Bachelors</v>
      </c>
      <c r="Q505" s="20" t="str">
        <v>North America</v>
      </c>
      <c r="R505" s="20" t="str">
        <v>Married</v>
      </c>
      <c r="S505" s="20" t="str">
        <v>$40k-60k</v>
      </c>
      <c r="T505" s="89">
        <v>0.48090256472413651</v>
      </c>
      <c r="U505" s="91">
        <v>58.520924239443829</v>
      </c>
      <c r="V505" s="49">
        <v>503</v>
      </c>
      <c r="W505" s="20">
        <v>6</v>
      </c>
      <c r="X505" s="20" t="str">
        <v>Warm</v>
      </c>
      <c r="Y505" s="20">
        <v>0</v>
      </c>
    </row>
    <row r="506" spans="1:25" ht="15" customHeight="1" x14ac:dyDescent="0.25">
      <c r="A506" s="3"/>
      <c r="B506" s="3"/>
      <c r="C506" s="3"/>
      <c r="D506" s="3"/>
      <c r="E506" s="3"/>
      <c r="F506" s="3"/>
      <c r="G506" s="3"/>
      <c r="H506" s="3"/>
      <c r="I506" s="3"/>
      <c r="J506" s="3"/>
      <c r="K506" s="20">
        <v>19235</v>
      </c>
      <c r="L506" s="20" t="str">
        <v>0-1 Cars</v>
      </c>
      <c r="M506" s="20" t="str">
        <v>31-40</v>
      </c>
      <c r="N506" s="20" t="str">
        <v>0-1 Miles</v>
      </c>
      <c r="O506" s="20">
        <v>0</v>
      </c>
      <c r="P506" s="20" t="str">
        <v>Graduate Degree</v>
      </c>
      <c r="Q506" s="20" t="str">
        <v>North America</v>
      </c>
      <c r="R506" s="20" t="str">
        <v>Married</v>
      </c>
      <c r="S506" s="20" t="str">
        <v>$40k-60k</v>
      </c>
      <c r="T506" s="89">
        <v>0.53603935863746655</v>
      </c>
      <c r="U506" s="91">
        <v>85.254193164911712</v>
      </c>
      <c r="V506" s="49">
        <v>140</v>
      </c>
      <c r="W506" s="20">
        <v>2</v>
      </c>
      <c r="X506" s="20" t="str">
        <v>Hot</v>
      </c>
      <c r="Y506" s="20">
        <v>0</v>
      </c>
    </row>
    <row r="507" spans="1:25" ht="15" customHeight="1" x14ac:dyDescent="0.25">
      <c r="A507" s="3"/>
      <c r="B507" s="3"/>
      <c r="C507" s="3"/>
      <c r="D507" s="3"/>
      <c r="E507" s="3"/>
      <c r="F507" s="3"/>
      <c r="G507" s="3"/>
      <c r="H507" s="3"/>
      <c r="I507" s="3"/>
      <c r="J507" s="3"/>
      <c r="K507" s="20">
        <v>15275</v>
      </c>
      <c r="L507" s="20" t="str">
        <v>0-1 Cars</v>
      </c>
      <c r="M507" s="20" t="str">
        <v>25-30</v>
      </c>
      <c r="N507" s="20" t="str">
        <v>5-10 Miles</v>
      </c>
      <c r="O507" s="20">
        <v>0</v>
      </c>
      <c r="P507" s="20" t="str">
        <v>Partial College</v>
      </c>
      <c r="Q507" s="20" t="str">
        <v>North America</v>
      </c>
      <c r="R507" s="20" t="str">
        <v>Married</v>
      </c>
      <c r="S507" s="20" t="str">
        <v>$40k-60k</v>
      </c>
      <c r="T507" s="89">
        <v>0.46215463327646117</v>
      </c>
      <c r="U507" s="91">
        <v>49.430923577186043</v>
      </c>
      <c r="V507" s="49">
        <v>628</v>
      </c>
      <c r="W507" s="20">
        <v>7</v>
      </c>
      <c r="X507" s="20" t="str">
        <v>Cold</v>
      </c>
      <c r="Y507" s="20">
        <v>0</v>
      </c>
    </row>
    <row r="508" spans="1:25" ht="15" customHeight="1" x14ac:dyDescent="0.25">
      <c r="A508" s="3"/>
      <c r="B508" s="3"/>
      <c r="C508" s="3"/>
      <c r="D508" s="3"/>
      <c r="E508" s="3"/>
      <c r="F508" s="3"/>
      <c r="G508" s="3"/>
      <c r="H508" s="3"/>
      <c r="I508" s="3"/>
      <c r="J508" s="3"/>
      <c r="K508" s="20">
        <v>20339</v>
      </c>
      <c r="L508" s="20" t="str">
        <v>2+ Cars</v>
      </c>
      <c r="M508" s="20" t="str">
        <v>41-50</v>
      </c>
      <c r="N508" s="20" t="str">
        <v>2-5 Miles</v>
      </c>
      <c r="O508" s="20">
        <v>1</v>
      </c>
      <c r="P508" s="20" t="str">
        <v>Bachelors</v>
      </c>
      <c r="Q508" s="20" t="str">
        <v>North America</v>
      </c>
      <c r="R508" s="20" t="str">
        <v>Married</v>
      </c>
      <c r="S508" s="20" t="str">
        <v>$100k+</v>
      </c>
      <c r="T508" s="89">
        <v>0.4872757326570093</v>
      </c>
      <c r="U508" s="91">
        <v>61.610977181667337</v>
      </c>
      <c r="V508" s="49">
        <v>465</v>
      </c>
      <c r="W508" s="20">
        <v>5</v>
      </c>
      <c r="X508" s="20" t="str">
        <v>Warm</v>
      </c>
      <c r="Y508" s="20">
        <v>1</v>
      </c>
    </row>
    <row r="509" spans="1:25" ht="15" customHeight="1" x14ac:dyDescent="0.25">
      <c r="A509" s="3"/>
      <c r="B509" s="3"/>
      <c r="C509" s="3"/>
      <c r="D509" s="3"/>
      <c r="E509" s="3"/>
      <c r="F509" s="3"/>
      <c r="G509" s="3"/>
      <c r="H509" s="3"/>
      <c r="I509" s="3"/>
      <c r="J509" s="3"/>
      <c r="K509" s="20">
        <v>25405</v>
      </c>
      <c r="L509" s="20" t="str">
        <v>0-1 Cars</v>
      </c>
      <c r="M509" s="20" t="str">
        <v>31-40</v>
      </c>
      <c r="N509" s="20" t="str">
        <v>2-5 Miles</v>
      </c>
      <c r="O509" s="20">
        <v>2</v>
      </c>
      <c r="P509" s="20" t="str">
        <v>Bachelors</v>
      </c>
      <c r="Q509" s="20" t="str">
        <v>North America</v>
      </c>
      <c r="R509" s="20" t="str">
        <v>Married</v>
      </c>
      <c r="S509" s="20" t="str">
        <v>$70k-90k</v>
      </c>
      <c r="T509" s="89">
        <v>0.53459956660038455</v>
      </c>
      <c r="U509" s="91">
        <v>84.556104919436962</v>
      </c>
      <c r="V509" s="49">
        <v>156</v>
      </c>
      <c r="W509" s="20">
        <v>2</v>
      </c>
      <c r="X509" s="20" t="str">
        <v>Hot</v>
      </c>
      <c r="Y509" s="20">
        <v>1</v>
      </c>
    </row>
    <row r="510" spans="1:25" ht="15" customHeight="1" x14ac:dyDescent="0.25">
      <c r="A510" s="3"/>
      <c r="B510" s="3"/>
      <c r="C510" s="3"/>
      <c r="D510" s="3"/>
      <c r="E510" s="3"/>
      <c r="F510" s="3"/>
      <c r="G510" s="3"/>
      <c r="H510" s="3"/>
      <c r="I510" s="3"/>
      <c r="J510" s="3"/>
      <c r="K510" s="20">
        <v>15940</v>
      </c>
      <c r="L510" s="20" t="str">
        <v>2+ Cars</v>
      </c>
      <c r="M510" s="20" t="str">
        <v>31-40</v>
      </c>
      <c r="N510" s="20" t="str">
        <v>0-1 Miles</v>
      </c>
      <c r="O510" s="20">
        <v>4</v>
      </c>
      <c r="P510" s="20" t="str">
        <v>Partial College</v>
      </c>
      <c r="Q510" s="20" t="str">
        <v>North America</v>
      </c>
      <c r="R510" s="20" t="str">
        <v>Married</v>
      </c>
      <c r="S510" s="20" t="str">
        <v>$100k+</v>
      </c>
      <c r="T510" s="89">
        <v>0.47156535689333917</v>
      </c>
      <c r="U510" s="91">
        <v>53.993746102353377</v>
      </c>
      <c r="V510" s="49">
        <v>563</v>
      </c>
      <c r="W510" s="20">
        <v>6</v>
      </c>
      <c r="X510" s="20" t="str">
        <v>Warm</v>
      </c>
      <c r="Y510" s="20">
        <v>0</v>
      </c>
    </row>
    <row r="511" spans="1:25" ht="15" customHeight="1" x14ac:dyDescent="0.25">
      <c r="A511" s="3"/>
      <c r="B511" s="3"/>
      <c r="C511" s="3"/>
      <c r="D511" s="3"/>
      <c r="E511" s="3"/>
      <c r="F511" s="3"/>
      <c r="G511" s="3"/>
      <c r="H511" s="3"/>
      <c r="I511" s="3"/>
      <c r="J511" s="3"/>
      <c r="K511" s="20">
        <v>25074</v>
      </c>
      <c r="L511" s="20" t="str">
        <v>2+ Cars</v>
      </c>
      <c r="M511" s="20" t="str">
        <v>41-50</v>
      </c>
      <c r="N511" s="20" t="str">
        <v>2-5 Miles</v>
      </c>
      <c r="O511" s="20">
        <v>4</v>
      </c>
      <c r="P511" s="20" t="str">
        <v>Bachelors</v>
      </c>
      <c r="Q511" s="20" t="str">
        <v>North America</v>
      </c>
      <c r="R511" s="20" t="str">
        <v>Married</v>
      </c>
      <c r="S511" s="20" t="str">
        <v>$70k-90k</v>
      </c>
      <c r="T511" s="89">
        <v>0.46791393953902938</v>
      </c>
      <c r="U511" s="91">
        <v>52.223343524261423</v>
      </c>
      <c r="V511" s="49">
        <v>592</v>
      </c>
      <c r="W511" s="20">
        <v>6</v>
      </c>
      <c r="X511" s="20" t="str">
        <v>Warm</v>
      </c>
      <c r="Y511" s="20">
        <v>1</v>
      </c>
    </row>
    <row r="512" spans="1:25" ht="15" customHeight="1" x14ac:dyDescent="0.25">
      <c r="A512" s="3"/>
      <c r="B512" s="3"/>
      <c r="C512" s="3"/>
      <c r="D512" s="3"/>
      <c r="E512" s="3"/>
      <c r="F512" s="3"/>
      <c r="G512" s="3"/>
      <c r="H512" s="3"/>
      <c r="I512" s="3"/>
      <c r="J512" s="3"/>
      <c r="K512" s="20">
        <v>24738</v>
      </c>
      <c r="L512" s="20" t="str">
        <v>0-1 Cars</v>
      </c>
      <c r="M512" s="20" t="str">
        <v>51-60</v>
      </c>
      <c r="N512" s="20" t="str">
        <v>1-2 Miles</v>
      </c>
      <c r="O512" s="20">
        <v>1</v>
      </c>
      <c r="P512" s="20" t="str">
        <v>Partial College</v>
      </c>
      <c r="Q512" s="20" t="str">
        <v>North America</v>
      </c>
      <c r="R512" s="20" t="str">
        <v>Married</v>
      </c>
      <c r="S512" s="20" t="str">
        <v>$40k-60k</v>
      </c>
      <c r="T512" s="89">
        <v>0.49627972805476811</v>
      </c>
      <c r="U512" s="91">
        <v>65.976596095787187</v>
      </c>
      <c r="V512" s="49">
        <v>408</v>
      </c>
      <c r="W512" s="20">
        <v>5</v>
      </c>
      <c r="X512" s="20" t="str">
        <v>Warm</v>
      </c>
      <c r="Y512" s="20">
        <v>1</v>
      </c>
    </row>
    <row r="513" spans="1:25" ht="15" customHeight="1" x14ac:dyDescent="0.25">
      <c r="A513" s="3"/>
      <c r="B513" s="3"/>
      <c r="C513" s="3"/>
      <c r="D513" s="3"/>
      <c r="E513" s="3"/>
      <c r="F513" s="3"/>
      <c r="G513" s="3"/>
      <c r="H513" s="3"/>
      <c r="I513" s="3"/>
      <c r="J513" s="3"/>
      <c r="K513" s="20">
        <v>16337</v>
      </c>
      <c r="L513" s="20" t="str">
        <v>2+ Cars</v>
      </c>
      <c r="M513" s="20" t="str">
        <v>25-30</v>
      </c>
      <c r="N513" s="20" t="str">
        <v>1-2 Miles</v>
      </c>
      <c r="O513" s="20">
        <v>0</v>
      </c>
      <c r="P513" s="20" t="str">
        <v>Partial College</v>
      </c>
      <c r="Q513" s="20" t="str">
        <v>North America</v>
      </c>
      <c r="R513" s="20" t="str">
        <v>Married</v>
      </c>
      <c r="S513" s="20" t="str">
        <v>$40k-60k</v>
      </c>
      <c r="T513" s="89">
        <v>0.43206650859152879</v>
      </c>
      <c r="U513" s="91">
        <v>34.842590241561261</v>
      </c>
      <c r="V513" s="49">
        <v>829</v>
      </c>
      <c r="W513" s="20">
        <v>9</v>
      </c>
      <c r="X513" s="20" t="str">
        <v>Cold</v>
      </c>
      <c r="Y513" s="20">
        <v>0</v>
      </c>
    </row>
    <row r="514" spans="1:25" ht="15" customHeight="1" x14ac:dyDescent="0.25">
      <c r="A514" s="3"/>
      <c r="B514" s="3"/>
      <c r="C514" s="3"/>
      <c r="D514" s="3"/>
      <c r="E514" s="3"/>
      <c r="F514" s="3"/>
      <c r="G514" s="3"/>
      <c r="H514" s="3"/>
      <c r="I514" s="3"/>
      <c r="J514" s="3"/>
      <c r="K514" s="20">
        <v>24357</v>
      </c>
      <c r="L514" s="20" t="str">
        <v>0-1 Cars</v>
      </c>
      <c r="M514" s="20" t="str">
        <v>41-50</v>
      </c>
      <c r="N514" s="20" t="str">
        <v>2-5 Miles</v>
      </c>
      <c r="O514" s="20">
        <v>3</v>
      </c>
      <c r="P514" s="20" t="str">
        <v>Bachelors</v>
      </c>
      <c r="Q514" s="20" t="str">
        <v>North America</v>
      </c>
      <c r="R514" s="20" t="str">
        <v>Married</v>
      </c>
      <c r="S514" s="20" t="str">
        <v>$70k-90k</v>
      </c>
      <c r="T514" s="89">
        <v>0.52278401822394671</v>
      </c>
      <c r="U514" s="91">
        <v>78.827294630871677</v>
      </c>
      <c r="V514" s="49">
        <v>232</v>
      </c>
      <c r="W514" s="20">
        <v>3</v>
      </c>
      <c r="X514" s="20" t="str">
        <v>Hot</v>
      </c>
      <c r="Y514" s="20">
        <v>1</v>
      </c>
    </row>
    <row r="515" spans="1:25" ht="15" customHeight="1" x14ac:dyDescent="0.25">
      <c r="A515" s="3"/>
      <c r="B515" s="3"/>
      <c r="C515" s="3"/>
      <c r="D515" s="3"/>
      <c r="E515" s="3"/>
      <c r="F515" s="3"/>
      <c r="G515" s="3"/>
      <c r="H515" s="3"/>
      <c r="I515" s="3"/>
      <c r="J515" s="3"/>
      <c r="K515" s="20">
        <v>18613</v>
      </c>
      <c r="L515" s="20" t="str">
        <v>0-1 Cars</v>
      </c>
      <c r="M515" s="20" t="str">
        <v>31-40</v>
      </c>
      <c r="N515" s="20" t="str">
        <v>2-5 Miles</v>
      </c>
      <c r="O515" s="20">
        <v>0</v>
      </c>
      <c r="P515" s="20" t="str">
        <v>Bachelors</v>
      </c>
      <c r="Q515" s="20" t="str">
        <v>North America</v>
      </c>
      <c r="R515" s="20" t="str">
        <v>Single</v>
      </c>
      <c r="S515" s="20" t="str">
        <v>$70k-90k</v>
      </c>
      <c r="T515" s="89">
        <v>0.55000912229567878</v>
      </c>
      <c r="U515" s="91">
        <v>92.027482327993198</v>
      </c>
      <c r="V515" s="49">
        <v>48</v>
      </c>
      <c r="W515" s="20">
        <v>1</v>
      </c>
      <c r="X515" s="20" t="str">
        <v>Hot</v>
      </c>
      <c r="Y515" s="20">
        <v>1</v>
      </c>
    </row>
    <row r="516" spans="1:25" ht="15" customHeight="1" x14ac:dyDescent="0.25">
      <c r="A516" s="3"/>
      <c r="B516" s="3"/>
      <c r="C516" s="3"/>
      <c r="D516" s="3"/>
      <c r="E516" s="3"/>
      <c r="F516" s="3"/>
      <c r="G516" s="3"/>
      <c r="H516" s="3"/>
      <c r="I516" s="3"/>
      <c r="J516" s="3"/>
      <c r="K516" s="20">
        <v>12207</v>
      </c>
      <c r="L516" s="20" t="str">
        <v>0-1 Cars</v>
      </c>
      <c r="M516" s="20" t="str">
        <v>61+</v>
      </c>
      <c r="N516" s="20" t="str">
        <v>5-10 Miles</v>
      </c>
      <c r="O516" s="20">
        <v>4</v>
      </c>
      <c r="P516" s="20" t="str">
        <v>Bachelors</v>
      </c>
      <c r="Q516" s="20" t="str">
        <v>North America</v>
      </c>
      <c r="R516" s="20" t="str">
        <v>Single</v>
      </c>
      <c r="S516" s="20" t="str">
        <v>$70k-90k</v>
      </c>
      <c r="T516" s="89">
        <v>0.4622490879716008</v>
      </c>
      <c r="U516" s="91">
        <v>49.476720269144778</v>
      </c>
      <c r="V516" s="49">
        <v>625</v>
      </c>
      <c r="W516" s="20">
        <v>7</v>
      </c>
      <c r="X516" s="20" t="str">
        <v>Cold</v>
      </c>
      <c r="Y516" s="20">
        <v>1</v>
      </c>
    </row>
    <row r="517" spans="1:25" ht="15" customHeight="1" x14ac:dyDescent="0.25">
      <c r="A517" s="3"/>
      <c r="B517" s="3"/>
      <c r="C517" s="3"/>
      <c r="D517" s="3"/>
      <c r="E517" s="3"/>
      <c r="F517" s="3"/>
      <c r="G517" s="3"/>
      <c r="H517" s="3"/>
      <c r="I517" s="3"/>
      <c r="J517" s="3"/>
      <c r="K517" s="20">
        <v>18052</v>
      </c>
      <c r="L517" s="20" t="str">
        <v>0-1 Cars</v>
      </c>
      <c r="M517" s="20" t="str">
        <v>41-50</v>
      </c>
      <c r="N517" s="20" t="str">
        <v>0-1 Miles</v>
      </c>
      <c r="O517" s="20">
        <v>1</v>
      </c>
      <c r="P517" s="20" t="str">
        <v>Partial College</v>
      </c>
      <c r="Q517" s="20" t="str">
        <v>North America</v>
      </c>
      <c r="R517" s="20" t="str">
        <v>Married</v>
      </c>
      <c r="S517" s="20" t="str">
        <v>$40k-60k</v>
      </c>
      <c r="T517" s="89">
        <v>0.51128150517086868</v>
      </c>
      <c r="U517" s="91">
        <v>73.250260622510567</v>
      </c>
      <c r="V517" s="49">
        <v>315</v>
      </c>
      <c r="W517" s="20">
        <v>4</v>
      </c>
      <c r="X517" s="20" t="str">
        <v>Warm</v>
      </c>
      <c r="Y517" s="20">
        <v>1</v>
      </c>
    </row>
    <row r="518" spans="1:25" ht="15" customHeight="1" x14ac:dyDescent="0.25">
      <c r="A518" s="3"/>
      <c r="B518" s="3"/>
      <c r="C518" s="3"/>
      <c r="D518" s="3"/>
      <c r="E518" s="3"/>
      <c r="F518" s="3"/>
      <c r="G518" s="3"/>
      <c r="H518" s="3"/>
      <c r="I518" s="3"/>
      <c r="J518" s="3"/>
      <c r="K518" s="20">
        <v>13353</v>
      </c>
      <c r="L518" s="20" t="str">
        <v>2+ Cars</v>
      </c>
      <c r="M518" s="20" t="str">
        <v>61+</v>
      </c>
      <c r="N518" s="20" t="str">
        <v>10+ Miles</v>
      </c>
      <c r="O518" s="20">
        <v>4</v>
      </c>
      <c r="P518" s="20" t="str">
        <v>Graduate Degree</v>
      </c>
      <c r="Q518" s="20" t="str">
        <v>North America</v>
      </c>
      <c r="R518" s="20" t="str">
        <v>Single</v>
      </c>
      <c r="S518" s="20" t="str">
        <v>$40k-60k</v>
      </c>
      <c r="T518" s="89">
        <v>0.41079511532056762</v>
      </c>
      <c r="U518" s="91">
        <v>24.529080217277574</v>
      </c>
      <c r="V518" s="49">
        <v>944</v>
      </c>
      <c r="W518" s="20">
        <v>10</v>
      </c>
      <c r="X518" s="20" t="str">
        <v>Cold</v>
      </c>
      <c r="Y518" s="20">
        <v>1</v>
      </c>
    </row>
    <row r="519" spans="1:25" ht="15" customHeight="1" x14ac:dyDescent="0.25">
      <c r="A519" s="3"/>
      <c r="B519" s="3"/>
      <c r="C519" s="3"/>
      <c r="D519" s="3"/>
      <c r="E519" s="3"/>
      <c r="F519" s="3"/>
      <c r="G519" s="3"/>
      <c r="H519" s="3"/>
      <c r="I519" s="3"/>
      <c r="J519" s="3"/>
      <c r="K519" s="20">
        <v>19399</v>
      </c>
      <c r="L519" s="20" t="str">
        <v>0-1 Cars</v>
      </c>
      <c r="M519" s="20" t="str">
        <v>41-50</v>
      </c>
      <c r="N519" s="20" t="str">
        <v>2-5 Miles</v>
      </c>
      <c r="O519" s="20">
        <v>0</v>
      </c>
      <c r="P519" s="20" t="str">
        <v>Bachelors</v>
      </c>
      <c r="Q519" s="20" t="str">
        <v>North America</v>
      </c>
      <c r="R519" s="20" t="str">
        <v>Single</v>
      </c>
      <c r="S519" s="20" t="str">
        <v>$40k-60k</v>
      </c>
      <c r="T519" s="89">
        <v>0.52994388842222395</v>
      </c>
      <c r="U519" s="91">
        <v>82.29878294016406</v>
      </c>
      <c r="V519" s="49">
        <v>185</v>
      </c>
      <c r="W519" s="20">
        <v>2</v>
      </c>
      <c r="X519" s="20" t="str">
        <v>Hot</v>
      </c>
      <c r="Y519" s="20">
        <v>0</v>
      </c>
    </row>
    <row r="520" spans="1:25" ht="15" customHeight="1" x14ac:dyDescent="0.25">
      <c r="A520" s="3"/>
      <c r="B520" s="3"/>
      <c r="C520" s="3"/>
      <c r="D520" s="3"/>
      <c r="E520" s="3"/>
      <c r="F520" s="3"/>
      <c r="G520" s="3"/>
      <c r="H520" s="3"/>
      <c r="I520" s="3"/>
      <c r="J520" s="3"/>
      <c r="K520" s="20">
        <v>16154</v>
      </c>
      <c r="L520" s="20" t="str">
        <v>2+ Cars</v>
      </c>
      <c r="M520" s="20" t="str">
        <v>41-50</v>
      </c>
      <c r="N520" s="20" t="str">
        <v>2-5 Miles</v>
      </c>
      <c r="O520" s="20">
        <v>5</v>
      </c>
      <c r="P520" s="20" t="str">
        <v>Bachelors</v>
      </c>
      <c r="Q520" s="20" t="str">
        <v>North America</v>
      </c>
      <c r="R520" s="20" t="str">
        <v>Married</v>
      </c>
      <c r="S520" s="20" t="str">
        <v>$70k-90k</v>
      </c>
      <c r="T520" s="89">
        <v>0.43922398234480986</v>
      </c>
      <c r="U520" s="91">
        <v>38.312916626048072</v>
      </c>
      <c r="V520" s="49">
        <v>794</v>
      </c>
      <c r="W520" s="20">
        <v>8</v>
      </c>
      <c r="X520" s="20" t="str">
        <v>Cold</v>
      </c>
      <c r="Y520" s="20">
        <v>0</v>
      </c>
    </row>
    <row r="521" spans="1:25" ht="15" customHeight="1" x14ac:dyDescent="0.25">
      <c r="A521" s="3"/>
      <c r="B521" s="3"/>
      <c r="C521" s="3"/>
      <c r="D521" s="3"/>
      <c r="E521" s="3"/>
      <c r="F521" s="3"/>
      <c r="G521" s="3"/>
      <c r="H521" s="3"/>
      <c r="I521" s="3"/>
      <c r="J521" s="3"/>
      <c r="K521" s="20">
        <v>22219</v>
      </c>
      <c r="L521" s="20" t="str">
        <v>2+ Cars</v>
      </c>
      <c r="M521" s="20" t="str">
        <v>41-50</v>
      </c>
      <c r="N521" s="20" t="str">
        <v>5-10 Miles</v>
      </c>
      <c r="O521" s="20">
        <v>2</v>
      </c>
      <c r="P521" s="20" t="str">
        <v>High School</v>
      </c>
      <c r="Q521" s="20" t="str">
        <v>North America</v>
      </c>
      <c r="R521" s="20" t="str">
        <v>Married</v>
      </c>
      <c r="S521" s="20" t="str">
        <v>$40k-60k</v>
      </c>
      <c r="T521" s="89">
        <v>0.43461285565574964</v>
      </c>
      <c r="U521" s="91">
        <v>36.07719559334133</v>
      </c>
      <c r="V521" s="49">
        <v>805</v>
      </c>
      <c r="W521" s="20">
        <v>9</v>
      </c>
      <c r="X521" s="20" t="str">
        <v>Cold</v>
      </c>
      <c r="Y521" s="20">
        <v>0</v>
      </c>
    </row>
    <row r="522" spans="1:25" ht="15" customHeight="1" x14ac:dyDescent="0.25">
      <c r="A522" s="3"/>
      <c r="B522" s="3"/>
      <c r="C522" s="3"/>
      <c r="D522" s="3"/>
      <c r="E522" s="3"/>
      <c r="F522" s="3"/>
      <c r="G522" s="3"/>
      <c r="H522" s="3"/>
      <c r="I522" s="3"/>
      <c r="J522" s="3"/>
      <c r="K522" s="20">
        <v>17269</v>
      </c>
      <c r="L522" s="20" t="str">
        <v>0-1 Cars</v>
      </c>
      <c r="M522" s="20" t="str">
        <v>41-50</v>
      </c>
      <c r="N522" s="20" t="str">
        <v>0-1 Miles</v>
      </c>
      <c r="O522" s="20">
        <v>3</v>
      </c>
      <c r="P522" s="20" t="str">
        <v>Bachelors</v>
      </c>
      <c r="Q522" s="20" t="str">
        <v>North America</v>
      </c>
      <c r="R522" s="20" t="str">
        <v>Single</v>
      </c>
      <c r="S522" s="20" t="str">
        <v>$40k-60k</v>
      </c>
      <c r="T522" s="89">
        <v>0.52966067237671433</v>
      </c>
      <c r="U522" s="91">
        <v>82.161464641959824</v>
      </c>
      <c r="V522" s="49">
        <v>189</v>
      </c>
      <c r="W522" s="20">
        <v>2</v>
      </c>
      <c r="X522" s="20" t="str">
        <v>Hot</v>
      </c>
      <c r="Y522" s="20">
        <v>1</v>
      </c>
    </row>
    <row r="523" spans="1:25" ht="15" customHeight="1" x14ac:dyDescent="0.25">
      <c r="A523" s="3"/>
      <c r="B523" s="3"/>
      <c r="C523" s="3"/>
      <c r="D523" s="3"/>
      <c r="E523" s="3"/>
      <c r="F523" s="3"/>
      <c r="G523" s="3"/>
      <c r="H523" s="3"/>
      <c r="I523" s="3"/>
      <c r="J523" s="3"/>
      <c r="K523" s="20">
        <v>23586</v>
      </c>
      <c r="L523" s="20" t="str">
        <v>0-1 Cars</v>
      </c>
      <c r="M523" s="20" t="str">
        <v>31-40</v>
      </c>
      <c r="N523" s="20" t="str">
        <v>1-2 Miles</v>
      </c>
      <c r="O523" s="20">
        <v>0</v>
      </c>
      <c r="P523" s="20" t="str">
        <v>Bachelors</v>
      </c>
      <c r="Q523" s="20" t="str">
        <v>North America</v>
      </c>
      <c r="R523" s="20" t="str">
        <v>Married</v>
      </c>
      <c r="S523" s="20" t="str">
        <v>$70k-90k</v>
      </c>
      <c r="T523" s="89">
        <v>0.52146141132988311</v>
      </c>
      <c r="U523" s="91">
        <v>78.186024015150736</v>
      </c>
      <c r="V523" s="49">
        <v>242</v>
      </c>
      <c r="W523" s="20">
        <v>3</v>
      </c>
      <c r="X523" s="20" t="str">
        <v>Hot</v>
      </c>
      <c r="Y523" s="20">
        <v>1</v>
      </c>
    </row>
    <row r="524" spans="1:25" ht="15" customHeight="1" x14ac:dyDescent="0.25">
      <c r="A524" s="3"/>
      <c r="B524" s="3"/>
      <c r="C524" s="3"/>
      <c r="D524" s="3"/>
      <c r="E524" s="3"/>
      <c r="F524" s="3"/>
      <c r="G524" s="3"/>
      <c r="H524" s="3"/>
      <c r="I524" s="3"/>
      <c r="J524" s="3"/>
      <c r="K524" s="20">
        <v>15740</v>
      </c>
      <c r="L524" s="20" t="str">
        <v>2+ Cars</v>
      </c>
      <c r="M524" s="20" t="str">
        <v>61+</v>
      </c>
      <c r="N524" s="20" t="str">
        <v>1-2 Miles</v>
      </c>
      <c r="O524" s="20">
        <v>5</v>
      </c>
      <c r="P524" s="20" t="str">
        <v>Bachelors</v>
      </c>
      <c r="Q524" s="20" t="str">
        <v>North America</v>
      </c>
      <c r="R524" s="20" t="str">
        <v>Married</v>
      </c>
      <c r="S524" s="20" t="str">
        <v>$70k-90k</v>
      </c>
      <c r="T524" s="89">
        <v>0.39379296338462377</v>
      </c>
      <c r="U524" s="91">
        <v>16.285526906402815</v>
      </c>
      <c r="V524" s="49">
        <v>983</v>
      </c>
      <c r="W524" s="20">
        <v>10</v>
      </c>
      <c r="X524" s="20" t="str">
        <v>Cold</v>
      </c>
      <c r="Y524" s="20">
        <v>0</v>
      </c>
    </row>
    <row r="525" spans="1:25" ht="15" customHeight="1" x14ac:dyDescent="0.25">
      <c r="A525" s="3"/>
      <c r="B525" s="3"/>
      <c r="C525" s="3"/>
      <c r="D525" s="3"/>
      <c r="E525" s="3"/>
      <c r="F525" s="3"/>
      <c r="G525" s="3"/>
      <c r="H525" s="3"/>
      <c r="I525" s="3"/>
      <c r="J525" s="3"/>
      <c r="K525" s="20">
        <v>27638</v>
      </c>
      <c r="L525" s="20" t="str">
        <v>2+ Cars</v>
      </c>
      <c r="M525" s="20" t="str">
        <v>41-50</v>
      </c>
      <c r="N525" s="20" t="str">
        <v>1-2 Miles</v>
      </c>
      <c r="O525" s="20">
        <v>1</v>
      </c>
      <c r="P525" s="20" t="str">
        <v>Partial College</v>
      </c>
      <c r="Q525" s="20" t="str">
        <v>North America</v>
      </c>
      <c r="R525" s="20" t="str">
        <v>Single</v>
      </c>
      <c r="S525" s="20" t="str">
        <v>$100k+</v>
      </c>
      <c r="T525" s="89">
        <v>0.46532474889992254</v>
      </c>
      <c r="U525" s="91">
        <v>50.967965314143683</v>
      </c>
      <c r="V525" s="49">
        <v>609</v>
      </c>
      <c r="W525" s="20">
        <v>7</v>
      </c>
      <c r="X525" s="20" t="str">
        <v>Cold</v>
      </c>
      <c r="Y525" s="20">
        <v>0</v>
      </c>
    </row>
    <row r="526" spans="1:25" ht="15" customHeight="1" x14ac:dyDescent="0.25">
      <c r="A526" s="3"/>
      <c r="B526" s="3"/>
      <c r="C526" s="3"/>
      <c r="D526" s="3"/>
      <c r="E526" s="3"/>
      <c r="F526" s="3"/>
      <c r="G526" s="3"/>
      <c r="H526" s="3"/>
      <c r="I526" s="3"/>
      <c r="J526" s="3"/>
      <c r="K526" s="20">
        <v>18976</v>
      </c>
      <c r="L526" s="20" t="str">
        <v>2+ Cars</v>
      </c>
      <c r="M526" s="20" t="str">
        <v>61+</v>
      </c>
      <c r="N526" s="20" t="str">
        <v>10+ Miles</v>
      </c>
      <c r="O526" s="20">
        <v>4</v>
      </c>
      <c r="P526" s="20" t="str">
        <v>High School</v>
      </c>
      <c r="Q526" s="20" t="str">
        <v>North America</v>
      </c>
      <c r="R526" s="20" t="str">
        <v>Single</v>
      </c>
      <c r="S526" s="20" t="str">
        <v>$40k-60k</v>
      </c>
      <c r="T526" s="89">
        <v>0.39857241325517961</v>
      </c>
      <c r="U526" s="91">
        <v>18.602860027117181</v>
      </c>
      <c r="V526" s="49">
        <v>973</v>
      </c>
      <c r="W526" s="20">
        <v>10</v>
      </c>
      <c r="X526" s="20" t="str">
        <v>Cold</v>
      </c>
      <c r="Y526" s="20">
        <v>1</v>
      </c>
    </row>
    <row r="527" spans="1:25" ht="15" customHeight="1" x14ac:dyDescent="0.25">
      <c r="A527" s="3"/>
      <c r="B527" s="3"/>
      <c r="C527" s="3"/>
      <c r="D527" s="3"/>
      <c r="E527" s="3"/>
      <c r="F527" s="3"/>
      <c r="G527" s="3"/>
      <c r="H527" s="3"/>
      <c r="I527" s="3"/>
      <c r="J527" s="3"/>
      <c r="K527" s="20">
        <v>19413</v>
      </c>
      <c r="L527" s="20" t="str">
        <v>0-1 Cars</v>
      </c>
      <c r="M527" s="20" t="str">
        <v>41-50</v>
      </c>
      <c r="N527" s="20" t="str">
        <v>0-1 Miles</v>
      </c>
      <c r="O527" s="20">
        <v>3</v>
      </c>
      <c r="P527" s="20" t="str">
        <v>Bachelors</v>
      </c>
      <c r="Q527" s="20" t="str">
        <v>North America</v>
      </c>
      <c r="R527" s="20" t="str">
        <v>Single</v>
      </c>
      <c r="S527" s="20" t="str">
        <v>$40k-60k</v>
      </c>
      <c r="T527" s="89">
        <v>0.52966067237671433</v>
      </c>
      <c r="U527" s="91">
        <v>82.161464641959824</v>
      </c>
      <c r="V527" s="49">
        <v>190</v>
      </c>
      <c r="W527" s="20">
        <v>2</v>
      </c>
      <c r="X527" s="20" t="str">
        <v>Hot</v>
      </c>
      <c r="Y527" s="20">
        <v>1</v>
      </c>
    </row>
    <row r="528" spans="1:25" ht="15" customHeight="1" x14ac:dyDescent="0.25">
      <c r="A528" s="3"/>
      <c r="B528" s="3"/>
      <c r="C528" s="3"/>
      <c r="D528" s="3"/>
      <c r="E528" s="3"/>
      <c r="F528" s="3"/>
      <c r="G528" s="3"/>
      <c r="H528" s="3"/>
      <c r="I528" s="3"/>
      <c r="J528" s="3"/>
      <c r="K528" s="20">
        <v>13283</v>
      </c>
      <c r="L528" s="20" t="str">
        <v>2+ Cars</v>
      </c>
      <c r="M528" s="20" t="str">
        <v>41-50</v>
      </c>
      <c r="N528" s="20" t="str">
        <v>0-1 Miles</v>
      </c>
      <c r="O528" s="20">
        <v>3</v>
      </c>
      <c r="P528" s="20" t="str">
        <v>Partial College</v>
      </c>
      <c r="Q528" s="20" t="str">
        <v>North America</v>
      </c>
      <c r="R528" s="20" t="str">
        <v>Married</v>
      </c>
      <c r="S528" s="20" t="str">
        <v>$70k-90k</v>
      </c>
      <c r="T528" s="89">
        <v>0.4655446890826212</v>
      </c>
      <c r="U528" s="91">
        <v>51.074604087171402</v>
      </c>
      <c r="V528" s="49">
        <v>607</v>
      </c>
      <c r="W528" s="20">
        <v>7</v>
      </c>
      <c r="X528" s="20" t="str">
        <v>Cold</v>
      </c>
      <c r="Y528" s="20">
        <v>1</v>
      </c>
    </row>
    <row r="529" spans="1:25" ht="15" customHeight="1" x14ac:dyDescent="0.25">
      <c r="A529" s="3"/>
      <c r="B529" s="3"/>
      <c r="C529" s="3"/>
      <c r="D529" s="3"/>
      <c r="E529" s="3"/>
      <c r="F529" s="3"/>
      <c r="G529" s="3"/>
      <c r="H529" s="3"/>
      <c r="I529" s="3"/>
      <c r="J529" s="3"/>
      <c r="K529" s="20">
        <v>17471</v>
      </c>
      <c r="L529" s="20" t="str">
        <v>2+ Cars</v>
      </c>
      <c r="M529" s="20" t="str">
        <v>61+</v>
      </c>
      <c r="N529" s="20" t="str">
        <v>5-10 Miles</v>
      </c>
      <c r="O529" s="20">
        <v>4</v>
      </c>
      <c r="P529" s="20" t="str">
        <v>Graduate Degree</v>
      </c>
      <c r="Q529" s="20" t="str">
        <v>North America</v>
      </c>
      <c r="R529" s="20" t="str">
        <v>Single</v>
      </c>
      <c r="S529" s="20" t="str">
        <v>$70k-90k</v>
      </c>
      <c r="T529" s="89">
        <v>0.42204530605755902</v>
      </c>
      <c r="U529" s="91">
        <v>29.983774861067658</v>
      </c>
      <c r="V529" s="49">
        <v>875</v>
      </c>
      <c r="W529" s="20">
        <v>9</v>
      </c>
      <c r="X529" s="20" t="str">
        <v>Cold</v>
      </c>
      <c r="Y529" s="20">
        <v>0</v>
      </c>
    </row>
    <row r="530" spans="1:25" ht="15" customHeight="1" x14ac:dyDescent="0.25">
      <c r="A530" s="3"/>
      <c r="B530" s="3"/>
      <c r="C530" s="3"/>
      <c r="D530" s="3"/>
      <c r="E530" s="3"/>
      <c r="F530" s="3"/>
      <c r="G530" s="3"/>
      <c r="H530" s="3"/>
      <c r="I530" s="3"/>
      <c r="J530" s="3"/>
      <c r="K530" s="20">
        <v>16791</v>
      </c>
      <c r="L530" s="20" t="str">
        <v>2+ Cars</v>
      </c>
      <c r="M530" s="20" t="str">
        <v>51-60</v>
      </c>
      <c r="N530" s="20" t="str">
        <v>10+ Miles</v>
      </c>
      <c r="O530" s="20">
        <v>5</v>
      </c>
      <c r="P530" s="20" t="str">
        <v>Bachelors</v>
      </c>
      <c r="Q530" s="20" t="str">
        <v>North America</v>
      </c>
      <c r="R530" s="20" t="str">
        <v>Single</v>
      </c>
      <c r="S530" s="20" t="str">
        <v>$40k-60k</v>
      </c>
      <c r="T530" s="89">
        <v>0.40825821095009113</v>
      </c>
      <c r="U530" s="91">
        <v>23.299053188851708</v>
      </c>
      <c r="V530" s="49">
        <v>952</v>
      </c>
      <c r="W530" s="20">
        <v>10</v>
      </c>
      <c r="X530" s="20" t="str">
        <v>Cold</v>
      </c>
      <c r="Y530" s="20">
        <v>1</v>
      </c>
    </row>
    <row r="531" spans="1:25" ht="15" customHeight="1" x14ac:dyDescent="0.25">
      <c r="A531" s="3"/>
      <c r="B531" s="3"/>
      <c r="C531" s="3"/>
      <c r="D531" s="3"/>
      <c r="E531" s="3"/>
      <c r="F531" s="3"/>
      <c r="G531" s="3"/>
      <c r="H531" s="3"/>
      <c r="I531" s="3"/>
      <c r="J531" s="3"/>
      <c r="K531" s="20">
        <v>15382</v>
      </c>
      <c r="L531" s="20" t="str">
        <v>2+ Cars</v>
      </c>
      <c r="M531" s="20" t="str">
        <v>41-50</v>
      </c>
      <c r="N531" s="20" t="str">
        <v>1-2 Miles</v>
      </c>
      <c r="O531" s="20">
        <v>1</v>
      </c>
      <c r="P531" s="20" t="str">
        <v>Bachelors</v>
      </c>
      <c r="Q531" s="20" t="str">
        <v>North America</v>
      </c>
      <c r="R531" s="20" t="str">
        <v>Married</v>
      </c>
      <c r="S531" s="20" t="str">
        <v>$100k+</v>
      </c>
      <c r="T531" s="89">
        <v>0.4684060643990387</v>
      </c>
      <c r="U531" s="91">
        <v>52.461951997728661</v>
      </c>
      <c r="V531" s="49">
        <v>589</v>
      </c>
      <c r="W531" s="20">
        <v>6</v>
      </c>
      <c r="X531" s="20" t="str">
        <v>Warm</v>
      </c>
      <c r="Y531" s="20">
        <v>0</v>
      </c>
    </row>
    <row r="532" spans="1:25" ht="15" customHeight="1" x14ac:dyDescent="0.25">
      <c r="A532" s="3"/>
      <c r="B532" s="3"/>
      <c r="C532" s="3"/>
      <c r="D532" s="3"/>
      <c r="E532" s="3"/>
      <c r="F532" s="3"/>
      <c r="G532" s="3"/>
      <c r="H532" s="3"/>
      <c r="I532" s="3"/>
      <c r="J532" s="3"/>
      <c r="K532" s="20">
        <v>11641</v>
      </c>
      <c r="L532" s="20" t="str">
        <v>0-1 Cars</v>
      </c>
      <c r="M532" s="20" t="str">
        <v>31-40</v>
      </c>
      <c r="N532" s="20" t="str">
        <v>0-1 Miles</v>
      </c>
      <c r="O532" s="20">
        <v>1</v>
      </c>
      <c r="P532" s="20" t="str">
        <v>Bachelors</v>
      </c>
      <c r="Q532" s="20" t="str">
        <v>North America</v>
      </c>
      <c r="R532" s="20" t="str">
        <v>Married</v>
      </c>
      <c r="S532" s="20" t="str">
        <v>$40k-60k</v>
      </c>
      <c r="T532" s="89">
        <v>0.5470712301118793</v>
      </c>
      <c r="U532" s="91">
        <v>90.603034944509176</v>
      </c>
      <c r="V532" s="49">
        <v>60</v>
      </c>
      <c r="W532" s="20">
        <v>1</v>
      </c>
      <c r="X532" s="20" t="str">
        <v>Hot</v>
      </c>
      <c r="Y532" s="20">
        <v>0</v>
      </c>
    </row>
    <row r="533" spans="1:25" ht="15" customHeight="1" x14ac:dyDescent="0.25">
      <c r="A533" s="3"/>
      <c r="B533" s="3"/>
      <c r="C533" s="3"/>
      <c r="D533" s="3"/>
      <c r="E533" s="3"/>
      <c r="F533" s="3"/>
      <c r="G533" s="3"/>
      <c r="H533" s="3"/>
      <c r="I533" s="3"/>
      <c r="J533" s="3"/>
      <c r="K533" s="20">
        <v>11935</v>
      </c>
      <c r="L533" s="20" t="str">
        <v>0-1 Cars</v>
      </c>
      <c r="M533" s="20" t="str">
        <v>25-30</v>
      </c>
      <c r="N533" s="20" t="str">
        <v>5-10 Miles</v>
      </c>
      <c r="O533" s="20">
        <v>0</v>
      </c>
      <c r="P533" s="20" t="str">
        <v>Partial College</v>
      </c>
      <c r="Q533" s="20" t="str">
        <v>North America</v>
      </c>
      <c r="R533" s="20" t="str">
        <v>Single</v>
      </c>
      <c r="S533" s="20" t="str">
        <v>$10k-30k</v>
      </c>
      <c r="T533" s="89">
        <v>0.4610072931450338</v>
      </c>
      <c r="U533" s="91">
        <v>48.874631669269831</v>
      </c>
      <c r="V533" s="49">
        <v>641</v>
      </c>
      <c r="W533" s="20">
        <v>7</v>
      </c>
      <c r="X533" s="20" t="str">
        <v>Cold</v>
      </c>
      <c r="Y533" s="20">
        <v>0</v>
      </c>
    </row>
    <row r="534" spans="1:25" ht="15" customHeight="1" x14ac:dyDescent="0.25">
      <c r="A534" s="3"/>
      <c r="B534" s="3"/>
      <c r="C534" s="3"/>
      <c r="D534" s="3"/>
      <c r="E534" s="3"/>
      <c r="F534" s="3"/>
      <c r="G534" s="3"/>
      <c r="H534" s="3"/>
      <c r="I534" s="3"/>
      <c r="J534" s="3"/>
      <c r="K534" s="20">
        <v>13233</v>
      </c>
      <c r="L534" s="20" t="str">
        <v>0-1 Cars</v>
      </c>
      <c r="M534" s="20" t="str">
        <v>51-60</v>
      </c>
      <c r="N534" s="20" t="str">
        <v>10+ Miles</v>
      </c>
      <c r="O534" s="20">
        <v>2</v>
      </c>
      <c r="P534" s="20" t="str">
        <v>Partial College</v>
      </c>
      <c r="Q534" s="20" t="str">
        <v>North America</v>
      </c>
      <c r="R534" s="20" t="str">
        <v>Married</v>
      </c>
      <c r="S534" s="20" t="str">
        <v>$40k-60k</v>
      </c>
      <c r="T534" s="89">
        <v>0.45816602755683006</v>
      </c>
      <c r="U534" s="91">
        <v>47.497034031338167</v>
      </c>
      <c r="V534" s="49">
        <v>658</v>
      </c>
      <c r="W534" s="20">
        <v>7</v>
      </c>
      <c r="X534" s="20" t="str">
        <v>Cold</v>
      </c>
      <c r="Y534" s="20">
        <v>1</v>
      </c>
    </row>
    <row r="535" spans="1:25" ht="15" customHeight="1" x14ac:dyDescent="0.25">
      <c r="A535" s="3"/>
      <c r="B535" s="3"/>
      <c r="C535" s="3"/>
      <c r="D535" s="3"/>
      <c r="E535" s="3"/>
      <c r="F535" s="3"/>
      <c r="G535" s="3"/>
      <c r="H535" s="3"/>
      <c r="I535" s="3"/>
      <c r="J535" s="3"/>
      <c r="K535" s="20">
        <v>25909</v>
      </c>
      <c r="L535" s="20" t="str">
        <v>0-1 Cars</v>
      </c>
      <c r="M535" s="20" t="str">
        <v>25-30</v>
      </c>
      <c r="N535" s="20" t="str">
        <v>5-10 Miles</v>
      </c>
      <c r="O535" s="20">
        <v>0</v>
      </c>
      <c r="P535" s="20" t="str">
        <v>Partial College</v>
      </c>
      <c r="Q535" s="20" t="str">
        <v>North America</v>
      </c>
      <c r="R535" s="20" t="str">
        <v>Married</v>
      </c>
      <c r="S535" s="20" t="str">
        <v>$40k-60k</v>
      </c>
      <c r="T535" s="89">
        <v>0.46215463327646117</v>
      </c>
      <c r="U535" s="91">
        <v>49.430923577186043</v>
      </c>
      <c r="V535" s="49">
        <v>631</v>
      </c>
      <c r="W535" s="20">
        <v>7</v>
      </c>
      <c r="X535" s="20" t="str">
        <v>Cold</v>
      </c>
      <c r="Y535" s="20">
        <v>1</v>
      </c>
    </row>
    <row r="536" spans="1:25" ht="15" customHeight="1" x14ac:dyDescent="0.25">
      <c r="A536" s="3"/>
      <c r="B536" s="3"/>
      <c r="C536" s="3"/>
      <c r="D536" s="3"/>
      <c r="E536" s="3"/>
      <c r="F536" s="3"/>
      <c r="G536" s="3"/>
      <c r="H536" s="3"/>
      <c r="I536" s="3"/>
      <c r="J536" s="3"/>
      <c r="K536" s="20">
        <v>14092</v>
      </c>
      <c r="L536" s="20" t="str">
        <v>2+ Cars</v>
      </c>
      <c r="M536" s="20" t="str">
        <v>25-30</v>
      </c>
      <c r="N536" s="20" t="str">
        <v>5-10 Miles</v>
      </c>
      <c r="O536" s="20">
        <v>0</v>
      </c>
      <c r="P536" s="20" t="str">
        <v>Partial High School</v>
      </c>
      <c r="Q536" s="20" t="str">
        <v>North America</v>
      </c>
      <c r="R536" s="20" t="str">
        <v>Single</v>
      </c>
      <c r="S536" s="20" t="str">
        <v>$10k-30k</v>
      </c>
      <c r="T536" s="89">
        <v>0.399316746378308</v>
      </c>
      <c r="U536" s="91">
        <v>18.963752566172008</v>
      </c>
      <c r="V536" s="49">
        <v>967</v>
      </c>
      <c r="W536" s="20">
        <v>10</v>
      </c>
      <c r="X536" s="20" t="str">
        <v>Cold</v>
      </c>
      <c r="Y536" s="20">
        <v>0</v>
      </c>
    </row>
    <row r="537" spans="1:25" ht="15" customHeight="1" x14ac:dyDescent="0.25">
      <c r="A537" s="3"/>
      <c r="B537" s="3"/>
      <c r="C537" s="3"/>
      <c r="D537" s="3"/>
      <c r="E537" s="3"/>
      <c r="F537" s="3"/>
      <c r="G537" s="3"/>
      <c r="H537" s="3"/>
      <c r="I537" s="3"/>
      <c r="J537" s="3"/>
      <c r="K537" s="20">
        <v>29143</v>
      </c>
      <c r="L537" s="20" t="str">
        <v>0-1 Cars</v>
      </c>
      <c r="M537" s="20" t="str">
        <v>41-50</v>
      </c>
      <c r="N537" s="20" t="str">
        <v>0-1 Miles</v>
      </c>
      <c r="O537" s="20">
        <v>1</v>
      </c>
      <c r="P537" s="20" t="str">
        <v>Bachelors</v>
      </c>
      <c r="Q537" s="20" t="str">
        <v>North America</v>
      </c>
      <c r="R537" s="20" t="str">
        <v>Single</v>
      </c>
      <c r="S537" s="20" t="str">
        <v>$40k-60k</v>
      </c>
      <c r="T537" s="89">
        <v>0.5337189060856351</v>
      </c>
      <c r="U537" s="91">
        <v>84.129113563903203</v>
      </c>
      <c r="V537" s="49">
        <v>168</v>
      </c>
      <c r="W537" s="20">
        <v>2</v>
      </c>
      <c r="X537" s="20" t="str">
        <v>Hot</v>
      </c>
      <c r="Y537" s="20">
        <v>1</v>
      </c>
    </row>
    <row r="538" spans="1:25" ht="15" customHeight="1" x14ac:dyDescent="0.25">
      <c r="A538" s="3"/>
      <c r="B538" s="3"/>
      <c r="C538" s="3"/>
      <c r="D538" s="3"/>
      <c r="E538" s="3"/>
      <c r="F538" s="3"/>
      <c r="G538" s="3"/>
      <c r="H538" s="3"/>
      <c r="I538" s="3"/>
      <c r="J538" s="3"/>
      <c r="K538" s="20">
        <v>24941</v>
      </c>
      <c r="L538" s="20" t="str">
        <v>2+ Cars</v>
      </c>
      <c r="M538" s="20" t="str">
        <v>61+</v>
      </c>
      <c r="N538" s="20" t="str">
        <v>10+ Miles</v>
      </c>
      <c r="O538" s="20">
        <v>3</v>
      </c>
      <c r="P538" s="20" t="str">
        <v>Bachelors</v>
      </c>
      <c r="Q538" s="20" t="str">
        <v>North America</v>
      </c>
      <c r="R538" s="20" t="str">
        <v>Married</v>
      </c>
      <c r="S538" s="20" t="str">
        <v>$40k-60k</v>
      </c>
      <c r="T538" s="89">
        <v>0.41876403417427727</v>
      </c>
      <c r="U538" s="91">
        <v>28.392838619630879</v>
      </c>
      <c r="V538" s="49">
        <v>898</v>
      </c>
      <c r="W538" s="20">
        <v>9</v>
      </c>
      <c r="X538" s="20" t="str">
        <v>Cold</v>
      </c>
      <c r="Y538" s="20">
        <v>0</v>
      </c>
    </row>
    <row r="539" spans="1:25" ht="15" customHeight="1" x14ac:dyDescent="0.25">
      <c r="A539" s="3"/>
      <c r="B539" s="3"/>
      <c r="C539" s="3"/>
      <c r="D539" s="3"/>
      <c r="E539" s="3"/>
      <c r="F539" s="3"/>
      <c r="G539" s="3"/>
      <c r="H539" s="3"/>
      <c r="I539" s="3"/>
      <c r="J539" s="3"/>
      <c r="K539" s="20">
        <v>24637</v>
      </c>
      <c r="L539" s="20" t="str">
        <v>2+ Cars</v>
      </c>
      <c r="M539" s="20" t="str">
        <v>61+</v>
      </c>
      <c r="N539" s="20" t="str">
        <v>10+ Miles</v>
      </c>
      <c r="O539" s="20">
        <v>4</v>
      </c>
      <c r="P539" s="20" t="str">
        <v>High School</v>
      </c>
      <c r="Q539" s="20" t="str">
        <v>North America</v>
      </c>
      <c r="R539" s="20" t="str">
        <v>Married</v>
      </c>
      <c r="S539" s="20" t="str">
        <v>$40k-60k</v>
      </c>
      <c r="T539" s="89">
        <v>0.38889437054735448</v>
      </c>
      <c r="U539" s="91">
        <v>13.910426898213354</v>
      </c>
      <c r="V539" s="49">
        <v>989</v>
      </c>
      <c r="W539" s="20">
        <v>10</v>
      </c>
      <c r="X539" s="20" t="str">
        <v>Cold</v>
      </c>
      <c r="Y539" s="20">
        <v>0</v>
      </c>
    </row>
    <row r="540" spans="1:25" ht="15" customHeight="1" x14ac:dyDescent="0.25">
      <c r="A540" s="3"/>
      <c r="B540" s="3"/>
      <c r="C540" s="3"/>
      <c r="D540" s="3"/>
      <c r="E540" s="3"/>
      <c r="F540" s="3"/>
      <c r="G540" s="3"/>
      <c r="H540" s="3"/>
      <c r="I540" s="3"/>
      <c r="J540" s="3"/>
      <c r="K540" s="20">
        <v>23893</v>
      </c>
      <c r="L540" s="20" t="str">
        <v>2+ Cars</v>
      </c>
      <c r="M540" s="20" t="str">
        <v>41-50</v>
      </c>
      <c r="N540" s="20" t="str">
        <v>10+ Miles</v>
      </c>
      <c r="O540" s="20">
        <v>3</v>
      </c>
      <c r="P540" s="20" t="str">
        <v>Bachelors</v>
      </c>
      <c r="Q540" s="20" t="str">
        <v>North America</v>
      </c>
      <c r="R540" s="20" t="str">
        <v>Married</v>
      </c>
      <c r="S540" s="20" t="str">
        <v>$40k-60k</v>
      </c>
      <c r="T540" s="89">
        <v>0.44532538487649276</v>
      </c>
      <c r="U540" s="91">
        <v>41.27120315533746</v>
      </c>
      <c r="V540" s="49">
        <v>753</v>
      </c>
      <c r="W540" s="20">
        <v>8</v>
      </c>
      <c r="X540" s="20" t="str">
        <v>Cold</v>
      </c>
      <c r="Y540" s="20">
        <v>0</v>
      </c>
    </row>
    <row r="541" spans="1:25" ht="15" customHeight="1" x14ac:dyDescent="0.25">
      <c r="A541" s="3"/>
      <c r="B541" s="3"/>
      <c r="C541" s="3"/>
      <c r="D541" s="3"/>
      <c r="E541" s="3"/>
      <c r="F541" s="3"/>
      <c r="G541" s="3"/>
      <c r="H541" s="3"/>
      <c r="I541" s="3"/>
      <c r="J541" s="3"/>
      <c r="K541" s="20">
        <v>13907</v>
      </c>
      <c r="L541" s="20" t="str">
        <v>0-1 Cars</v>
      </c>
      <c r="M541" s="20" t="str">
        <v>41-50</v>
      </c>
      <c r="N541" s="20" t="str">
        <v>0-1 Miles</v>
      </c>
      <c r="O541" s="20">
        <v>3</v>
      </c>
      <c r="P541" s="20" t="str">
        <v>Bachelors</v>
      </c>
      <c r="Q541" s="20" t="str">
        <v>North America</v>
      </c>
      <c r="R541" s="20" t="str">
        <v>Single</v>
      </c>
      <c r="S541" s="20" t="str">
        <v>$70k-90k</v>
      </c>
      <c r="T541" s="89">
        <v>0.52669553951609982</v>
      </c>
      <c r="U541" s="91">
        <v>80.723809520279175</v>
      </c>
      <c r="V541" s="49">
        <v>214</v>
      </c>
      <c r="W541" s="20">
        <v>3</v>
      </c>
      <c r="X541" s="20" t="str">
        <v>Hot</v>
      </c>
      <c r="Y541" s="20">
        <v>1</v>
      </c>
    </row>
    <row r="542" spans="1:25" ht="15" customHeight="1" x14ac:dyDescent="0.25">
      <c r="A542" s="3"/>
      <c r="B542" s="3"/>
      <c r="C542" s="3"/>
      <c r="D542" s="3"/>
      <c r="E542" s="3"/>
      <c r="F542" s="3"/>
      <c r="G542" s="3"/>
      <c r="H542" s="3"/>
      <c r="I542" s="3"/>
      <c r="J542" s="3"/>
      <c r="K542" s="20">
        <v>14900</v>
      </c>
      <c r="L542" s="20" t="str">
        <v>0-1 Cars</v>
      </c>
      <c r="M542" s="20" t="str">
        <v>41-50</v>
      </c>
      <c r="N542" s="20" t="str">
        <v>1-2 Miles</v>
      </c>
      <c r="O542" s="20">
        <v>1</v>
      </c>
      <c r="P542" s="20" t="str">
        <v>Partial College</v>
      </c>
      <c r="Q542" s="20" t="str">
        <v>North America</v>
      </c>
      <c r="R542" s="20" t="str">
        <v>Married</v>
      </c>
      <c r="S542" s="20" t="str">
        <v>$40k-60k</v>
      </c>
      <c r="T542" s="89">
        <v>0.49817835832857021</v>
      </c>
      <c r="U542" s="91">
        <v>66.897153678068278</v>
      </c>
      <c r="V542" s="49">
        <v>392</v>
      </c>
      <c r="W542" s="20">
        <v>4</v>
      </c>
      <c r="X542" s="20" t="str">
        <v>Warm</v>
      </c>
      <c r="Y542" s="20">
        <v>1</v>
      </c>
    </row>
    <row r="543" spans="1:25" ht="15" customHeight="1" x14ac:dyDescent="0.25">
      <c r="A543" s="3"/>
      <c r="B543" s="3"/>
      <c r="C543" s="3"/>
      <c r="D543" s="3"/>
      <c r="E543" s="3"/>
      <c r="F543" s="3"/>
      <c r="G543" s="3"/>
      <c r="H543" s="3"/>
      <c r="I543" s="3"/>
      <c r="J543" s="3"/>
      <c r="K543" s="20">
        <v>11262</v>
      </c>
      <c r="L543" s="20" t="str">
        <v>0-1 Cars</v>
      </c>
      <c r="M543" s="20" t="str">
        <v>41-50</v>
      </c>
      <c r="N543" s="20" t="str">
        <v>0-1 Miles</v>
      </c>
      <c r="O543" s="20">
        <v>4</v>
      </c>
      <c r="P543" s="20" t="str">
        <v>Bachelors</v>
      </c>
      <c r="Q543" s="20" t="str">
        <v>North America</v>
      </c>
      <c r="R543" s="20" t="str">
        <v>Married</v>
      </c>
      <c r="S543" s="20" t="str">
        <v>$70k-90k</v>
      </c>
      <c r="T543" s="89">
        <v>0.5008608676420695</v>
      </c>
      <c r="U543" s="91">
        <v>68.197777776480194</v>
      </c>
      <c r="V543" s="49">
        <v>368</v>
      </c>
      <c r="W543" s="20">
        <v>4</v>
      </c>
      <c r="X543" s="20" t="str">
        <v>Warm</v>
      </c>
      <c r="Y543" s="20">
        <v>0</v>
      </c>
    </row>
    <row r="544" spans="1:25" ht="15" customHeight="1" x14ac:dyDescent="0.25">
      <c r="A544" s="3"/>
      <c r="B544" s="3"/>
      <c r="C544" s="3"/>
      <c r="D544" s="3"/>
      <c r="E544" s="3"/>
      <c r="F544" s="3"/>
      <c r="G544" s="3"/>
      <c r="H544" s="3"/>
      <c r="I544" s="3"/>
      <c r="J544" s="3"/>
      <c r="K544" s="20">
        <v>22294</v>
      </c>
      <c r="L544" s="20" t="str">
        <v>0-1 Cars</v>
      </c>
      <c r="M544" s="20" t="str">
        <v>31-40</v>
      </c>
      <c r="N544" s="20" t="str">
        <v>2-5 Miles</v>
      </c>
      <c r="O544" s="20">
        <v>0</v>
      </c>
      <c r="P544" s="20" t="str">
        <v>Bachelors</v>
      </c>
      <c r="Q544" s="20" t="str">
        <v>North America</v>
      </c>
      <c r="R544" s="20" t="str">
        <v>Single</v>
      </c>
      <c r="S544" s="20" t="str">
        <v>$70k-90k</v>
      </c>
      <c r="T544" s="89">
        <v>0.55000912229567878</v>
      </c>
      <c r="U544" s="91">
        <v>92.027482327993198</v>
      </c>
      <c r="V544" s="49">
        <v>50</v>
      </c>
      <c r="W544" s="20">
        <v>1</v>
      </c>
      <c r="X544" s="20" t="str">
        <v>Hot</v>
      </c>
      <c r="Y544" s="20">
        <v>1</v>
      </c>
    </row>
    <row r="545" spans="1:25" ht="15" customHeight="1" x14ac:dyDescent="0.25">
      <c r="A545" s="3"/>
      <c r="B545" s="3"/>
      <c r="C545" s="3"/>
      <c r="D545" s="3"/>
      <c r="E545" s="3"/>
      <c r="F545" s="3"/>
      <c r="G545" s="3"/>
      <c r="H545" s="3"/>
      <c r="I545" s="3"/>
      <c r="J545" s="3"/>
      <c r="K545" s="20">
        <v>12195</v>
      </c>
      <c r="L545" s="20" t="str">
        <v>2+ Cars</v>
      </c>
      <c r="M545" s="20" t="str">
        <v>51-60</v>
      </c>
      <c r="N545" s="20" t="str">
        <v>1-2 Miles</v>
      </c>
      <c r="O545" s="20">
        <v>3</v>
      </c>
      <c r="P545" s="20" t="str">
        <v>Graduate Degree</v>
      </c>
      <c r="Q545" s="20" t="str">
        <v>North America</v>
      </c>
      <c r="R545" s="20" t="str">
        <v>Single</v>
      </c>
      <c r="S545" s="20" t="str">
        <v>$70k-90k</v>
      </c>
      <c r="T545" s="89">
        <v>0.47148998048595742</v>
      </c>
      <c r="U545" s="91">
        <v>53.957199585478641</v>
      </c>
      <c r="V545" s="49">
        <v>564</v>
      </c>
      <c r="W545" s="20">
        <v>6</v>
      </c>
      <c r="X545" s="20" t="str">
        <v>Warm</v>
      </c>
      <c r="Y545" s="20">
        <v>0</v>
      </c>
    </row>
    <row r="546" spans="1:25" ht="15" customHeight="1" x14ac:dyDescent="0.25">
      <c r="A546" s="3"/>
      <c r="B546" s="3"/>
      <c r="C546" s="3"/>
      <c r="D546" s="3"/>
      <c r="E546" s="3"/>
      <c r="F546" s="3"/>
      <c r="G546" s="3"/>
      <c r="H546" s="3"/>
      <c r="I546" s="3"/>
      <c r="J546" s="3"/>
      <c r="K546" s="20">
        <v>25375</v>
      </c>
      <c r="L546" s="20" t="str">
        <v>0-1 Cars</v>
      </c>
      <c r="M546" s="20" t="str">
        <v>31-40</v>
      </c>
      <c r="N546" s="20" t="str">
        <v>1-2 Miles</v>
      </c>
      <c r="O546" s="20">
        <v>1</v>
      </c>
      <c r="P546" s="20" t="str">
        <v>Graduate Degree</v>
      </c>
      <c r="Q546" s="20" t="str">
        <v>North America</v>
      </c>
      <c r="R546" s="20" t="str">
        <v>Married</v>
      </c>
      <c r="S546" s="20" t="str">
        <v>$40k-60k</v>
      </c>
      <c r="T546" s="89">
        <v>0.5324777508742512</v>
      </c>
      <c r="U546" s="91">
        <v>83.527335083704884</v>
      </c>
      <c r="V546" s="49">
        <v>174</v>
      </c>
      <c r="W546" s="20">
        <v>2</v>
      </c>
      <c r="X546" s="20" t="str">
        <v>Hot</v>
      </c>
      <c r="Y546" s="20">
        <v>0</v>
      </c>
    </row>
    <row r="547" spans="1:25" ht="15" customHeight="1" x14ac:dyDescent="0.25">
      <c r="A547" s="3"/>
      <c r="B547" s="3"/>
      <c r="C547" s="3"/>
      <c r="D547" s="3"/>
      <c r="E547" s="3"/>
      <c r="F547" s="3"/>
      <c r="G547" s="3"/>
      <c r="H547" s="3"/>
      <c r="I547" s="3"/>
      <c r="J547" s="3"/>
      <c r="K547" s="20">
        <v>11143</v>
      </c>
      <c r="L547" s="20" t="str">
        <v>2+ Cars</v>
      </c>
      <c r="M547" s="20" t="str">
        <v>25-30</v>
      </c>
      <c r="N547" s="20" t="str">
        <v>5-10 Miles</v>
      </c>
      <c r="O547" s="20">
        <v>0</v>
      </c>
      <c r="P547" s="20" t="str">
        <v>High School</v>
      </c>
      <c r="Q547" s="20" t="str">
        <v>North America</v>
      </c>
      <c r="R547" s="20" t="str">
        <v>Married</v>
      </c>
      <c r="S547" s="20" t="str">
        <v>$40k-60k</v>
      </c>
      <c r="T547" s="89">
        <v>0.42248750750397268</v>
      </c>
      <c r="U547" s="91">
        <v>30.198177791437342</v>
      </c>
      <c r="V547" s="49">
        <v>867</v>
      </c>
      <c r="W547" s="20">
        <v>9</v>
      </c>
      <c r="X547" s="20" t="str">
        <v>Cold</v>
      </c>
      <c r="Y547" s="20">
        <v>0</v>
      </c>
    </row>
    <row r="548" spans="1:25" ht="15" customHeight="1" x14ac:dyDescent="0.25">
      <c r="A548" s="3"/>
      <c r="B548" s="3"/>
      <c r="C548" s="3"/>
      <c r="D548" s="3"/>
      <c r="E548" s="3"/>
      <c r="F548" s="3"/>
      <c r="G548" s="3"/>
      <c r="H548" s="3"/>
      <c r="I548" s="3"/>
      <c r="J548" s="3"/>
      <c r="K548" s="20">
        <v>25898</v>
      </c>
      <c r="L548" s="20" t="str">
        <v>2+ Cars</v>
      </c>
      <c r="M548" s="20" t="str">
        <v>51-60</v>
      </c>
      <c r="N548" s="20" t="str">
        <v>2-5 Miles</v>
      </c>
      <c r="O548" s="20">
        <v>2</v>
      </c>
      <c r="P548" s="20" t="str">
        <v>High School</v>
      </c>
      <c r="Q548" s="20" t="str">
        <v>North America</v>
      </c>
      <c r="R548" s="20" t="str">
        <v>Married</v>
      </c>
      <c r="S548" s="20" t="str">
        <v>$70k-90k</v>
      </c>
      <c r="T548" s="89">
        <v>0.45724408561308344</v>
      </c>
      <c r="U548" s="91">
        <v>47.050027229408606</v>
      </c>
      <c r="V548" s="49">
        <v>671</v>
      </c>
      <c r="W548" s="20">
        <v>7</v>
      </c>
      <c r="X548" s="20" t="str">
        <v>Cold</v>
      </c>
      <c r="Y548" s="20">
        <v>0</v>
      </c>
    </row>
    <row r="549" spans="1:25" ht="15" customHeight="1" x14ac:dyDescent="0.25">
      <c r="A549" s="3"/>
      <c r="B549" s="3"/>
      <c r="C549" s="3"/>
      <c r="D549" s="3"/>
      <c r="E549" s="3"/>
      <c r="F549" s="3"/>
      <c r="G549" s="3"/>
      <c r="H549" s="3"/>
      <c r="I549" s="3"/>
      <c r="J549" s="3"/>
      <c r="K549" s="20">
        <v>24397</v>
      </c>
      <c r="L549" s="20" t="str">
        <v>2+ Cars</v>
      </c>
      <c r="M549" s="20" t="str">
        <v>31-40</v>
      </c>
      <c r="N549" s="20" t="str">
        <v>1-2 Miles</v>
      </c>
      <c r="O549" s="20">
        <v>2</v>
      </c>
      <c r="P549" s="20" t="str">
        <v>Bachelors</v>
      </c>
      <c r="Q549" s="20" t="str">
        <v>North America</v>
      </c>
      <c r="R549" s="20" t="str">
        <v>Single</v>
      </c>
      <c r="S549" s="20" t="str">
        <v>$100k+</v>
      </c>
      <c r="T549" s="89">
        <v>0.48584142177438083</v>
      </c>
      <c r="U549" s="91">
        <v>60.915546493254361</v>
      </c>
      <c r="V549" s="49">
        <v>475</v>
      </c>
      <c r="W549" s="20">
        <v>5</v>
      </c>
      <c r="X549" s="20" t="str">
        <v>Warm</v>
      </c>
      <c r="Y549" s="20">
        <v>0</v>
      </c>
    </row>
    <row r="550" spans="1:25" ht="15" customHeight="1" x14ac:dyDescent="0.25">
      <c r="A550" s="3"/>
      <c r="B550" s="3"/>
      <c r="C550" s="3"/>
      <c r="D550" s="3"/>
      <c r="E550" s="3"/>
      <c r="F550" s="3"/>
      <c r="G550" s="3"/>
      <c r="H550" s="3"/>
      <c r="I550" s="3"/>
      <c r="J550" s="3"/>
      <c r="K550" s="20">
        <v>19758</v>
      </c>
      <c r="L550" s="20" t="str">
        <v>2+ Cars</v>
      </c>
      <c r="M550" s="20" t="str">
        <v>25-30</v>
      </c>
      <c r="N550" s="20" t="str">
        <v>1-2 Miles</v>
      </c>
      <c r="O550" s="20">
        <v>0</v>
      </c>
      <c r="P550" s="20" t="str">
        <v>Partial College</v>
      </c>
      <c r="Q550" s="20" t="str">
        <v>North America</v>
      </c>
      <c r="R550" s="20" t="str">
        <v>Single</v>
      </c>
      <c r="S550" s="20" t="str">
        <v>$40k-60k</v>
      </c>
      <c r="T550" s="89">
        <v>0.44174455129935392</v>
      </c>
      <c r="U550" s="91">
        <v>39.535023370465083</v>
      </c>
      <c r="V550" s="49">
        <v>780</v>
      </c>
      <c r="W550" s="20">
        <v>8</v>
      </c>
      <c r="X550" s="20" t="str">
        <v>Cold</v>
      </c>
      <c r="Y550" s="20">
        <v>0</v>
      </c>
    </row>
    <row r="551" spans="1:25" ht="15" customHeight="1" x14ac:dyDescent="0.25">
      <c r="A551" s="3"/>
      <c r="B551" s="3"/>
      <c r="C551" s="3"/>
      <c r="D551" s="3"/>
      <c r="E551" s="3"/>
      <c r="F551" s="3"/>
      <c r="G551" s="3"/>
      <c r="H551" s="3"/>
      <c r="I551" s="3"/>
      <c r="J551" s="3"/>
      <c r="K551" s="20">
        <v>15529</v>
      </c>
      <c r="L551" s="20" t="str">
        <v>2+ Cars</v>
      </c>
      <c r="M551" s="20" t="str">
        <v>41-50</v>
      </c>
      <c r="N551" s="20" t="str">
        <v>2-5 Miles</v>
      </c>
      <c r="O551" s="20">
        <v>4</v>
      </c>
      <c r="P551" s="20" t="str">
        <v>Bachelors</v>
      </c>
      <c r="Q551" s="20" t="str">
        <v>North America</v>
      </c>
      <c r="R551" s="20" t="str">
        <v>Married</v>
      </c>
      <c r="S551" s="20" t="str">
        <v>$40k-60k</v>
      </c>
      <c r="T551" s="89">
        <v>0.47087907239964388</v>
      </c>
      <c r="U551" s="91">
        <v>53.660998645942072</v>
      </c>
      <c r="V551" s="49">
        <v>572</v>
      </c>
      <c r="W551" s="20">
        <v>6</v>
      </c>
      <c r="X551" s="20" t="str">
        <v>Warm</v>
      </c>
      <c r="Y551" s="20">
        <v>1</v>
      </c>
    </row>
    <row r="552" spans="1:25" ht="15" customHeight="1" x14ac:dyDescent="0.25">
      <c r="A552" s="3"/>
      <c r="B552" s="3"/>
      <c r="C552" s="3"/>
      <c r="D552" s="3"/>
      <c r="E552" s="3"/>
      <c r="F552" s="3"/>
      <c r="G552" s="3"/>
      <c r="H552" s="3"/>
      <c r="I552" s="3"/>
      <c r="J552" s="3"/>
      <c r="K552" s="20">
        <v>19884</v>
      </c>
      <c r="L552" s="20" t="str">
        <v>2+ Cars</v>
      </c>
      <c r="M552" s="20" t="str">
        <v>51-60</v>
      </c>
      <c r="N552" s="20" t="str">
        <v>2-5 Miles</v>
      </c>
      <c r="O552" s="20">
        <v>2</v>
      </c>
      <c r="P552" s="20" t="str">
        <v>High School</v>
      </c>
      <c r="Q552" s="20" t="str">
        <v>North America</v>
      </c>
      <c r="R552" s="20" t="str">
        <v>Married</v>
      </c>
      <c r="S552" s="20" t="str">
        <v>$40k-60k</v>
      </c>
      <c r="T552" s="89">
        <v>0.46020921847369795</v>
      </c>
      <c r="U552" s="91">
        <v>48.487682351089255</v>
      </c>
      <c r="V552" s="49">
        <v>647</v>
      </c>
      <c r="W552" s="20">
        <v>7</v>
      </c>
      <c r="X552" s="20" t="str">
        <v>Cold</v>
      </c>
      <c r="Y552" s="20">
        <v>1</v>
      </c>
    </row>
    <row r="553" spans="1:25" ht="15" customHeight="1" x14ac:dyDescent="0.25">
      <c r="A553" s="3"/>
      <c r="B553" s="3"/>
      <c r="C553" s="3"/>
      <c r="D553" s="3"/>
      <c r="E553" s="3"/>
      <c r="F553" s="3"/>
      <c r="G553" s="3"/>
      <c r="H553" s="3"/>
      <c r="I553" s="3"/>
      <c r="J553" s="3"/>
      <c r="K553" s="20">
        <v>18674</v>
      </c>
      <c r="L553" s="20" t="str">
        <v>0-1 Cars</v>
      </c>
      <c r="M553" s="20" t="str">
        <v>41-50</v>
      </c>
      <c r="N553" s="20" t="str">
        <v>0-1 Miles</v>
      </c>
      <c r="O553" s="20">
        <v>4</v>
      </c>
      <c r="P553" s="20" t="str">
        <v>Graduate Degree</v>
      </c>
      <c r="Q553" s="20" t="str">
        <v>North America</v>
      </c>
      <c r="R553" s="20" t="str">
        <v>Single</v>
      </c>
      <c r="S553" s="20" t="str">
        <v>$70k-90k</v>
      </c>
      <c r="T553" s="89">
        <v>0.50904857795456493</v>
      </c>
      <c r="U553" s="91">
        <v>72.167617989021991</v>
      </c>
      <c r="V553" s="49">
        <v>326</v>
      </c>
      <c r="W553" s="20">
        <v>4</v>
      </c>
      <c r="X553" s="20" t="str">
        <v>Warm</v>
      </c>
      <c r="Y553" s="20">
        <v>0</v>
      </c>
    </row>
    <row r="554" spans="1:25" ht="15" customHeight="1" x14ac:dyDescent="0.25">
      <c r="A554" s="3"/>
      <c r="B554" s="3"/>
      <c r="C554" s="3"/>
      <c r="D554" s="3"/>
      <c r="E554" s="3"/>
      <c r="F554" s="3"/>
      <c r="G554" s="3"/>
      <c r="H554" s="3"/>
      <c r="I554" s="3"/>
      <c r="J554" s="3"/>
      <c r="K554" s="20">
        <v>13453</v>
      </c>
      <c r="L554" s="20" t="str">
        <v>2+ Cars</v>
      </c>
      <c r="M554" s="20" t="str">
        <v>41-50</v>
      </c>
      <c r="N554" s="20" t="str">
        <v>0-1 Miles</v>
      </c>
      <c r="O554" s="20">
        <v>3</v>
      </c>
      <c r="P554" s="20" t="str">
        <v>Bachelors</v>
      </c>
      <c r="Q554" s="20" t="str">
        <v>North America</v>
      </c>
      <c r="R554" s="20" t="str">
        <v>Married</v>
      </c>
      <c r="S554" s="20" t="str">
        <v>$100k+</v>
      </c>
      <c r="T554" s="89">
        <v>0.47745097753241633</v>
      </c>
      <c r="U554" s="91">
        <v>56.847410020227542</v>
      </c>
      <c r="V554" s="49">
        <v>529</v>
      </c>
      <c r="W554" s="20">
        <v>6</v>
      </c>
      <c r="X554" s="20" t="str">
        <v>Warm</v>
      </c>
      <c r="Y554" s="20">
        <v>1</v>
      </c>
    </row>
    <row r="555" spans="1:25" ht="15" customHeight="1" x14ac:dyDescent="0.25">
      <c r="A555" s="3"/>
      <c r="B555" s="3"/>
      <c r="C555" s="3"/>
      <c r="D555" s="3"/>
      <c r="E555" s="3"/>
      <c r="F555" s="3"/>
      <c r="G555" s="3"/>
      <c r="H555" s="3"/>
      <c r="I555" s="3"/>
      <c r="J555" s="3"/>
      <c r="K555" s="20">
        <v>14063</v>
      </c>
      <c r="L555" s="20" t="str">
        <v>0-1 Cars</v>
      </c>
      <c r="M555" s="20" t="str">
        <v>41-50</v>
      </c>
      <c r="N555" s="20" t="str">
        <v>0-1 Miles</v>
      </c>
      <c r="O555" s="20">
        <v>0</v>
      </c>
      <c r="P555" s="20" t="str">
        <v>Bachelors</v>
      </c>
      <c r="Q555" s="20" t="str">
        <v>Pacific</v>
      </c>
      <c r="R555" s="20" t="str">
        <v>Single</v>
      </c>
      <c r="S555" s="20" t="str">
        <v>$70k-90k</v>
      </c>
      <c r="T555" s="89">
        <v>0.53537069562049189</v>
      </c>
      <c r="U555" s="91">
        <v>84.929989543616713</v>
      </c>
      <c r="V555" s="49">
        <v>144</v>
      </c>
      <c r="W555" s="20">
        <v>2</v>
      </c>
      <c r="X555" s="20" t="str">
        <v>Hot</v>
      </c>
      <c r="Y555" s="20">
        <v>1</v>
      </c>
    </row>
    <row r="556" spans="1:25" ht="15" customHeight="1" x14ac:dyDescent="0.25">
      <c r="A556" s="3"/>
      <c r="B556" s="3"/>
      <c r="C556" s="3"/>
      <c r="D556" s="3"/>
      <c r="E556" s="3"/>
      <c r="F556" s="3"/>
      <c r="G556" s="3"/>
      <c r="H556" s="3"/>
      <c r="I556" s="3"/>
      <c r="J556" s="3"/>
      <c r="K556" s="20">
        <v>27393</v>
      </c>
      <c r="L556" s="20" t="str">
        <v>2+ Cars</v>
      </c>
      <c r="M556" s="20" t="str">
        <v>61+</v>
      </c>
      <c r="N556" s="20" t="str">
        <v>10+ Miles</v>
      </c>
      <c r="O556" s="20">
        <v>4</v>
      </c>
      <c r="P556" s="20" t="str">
        <v>Bachelors</v>
      </c>
      <c r="Q556" s="20" t="str">
        <v>North America</v>
      </c>
      <c r="R556" s="20" t="str">
        <v>Married</v>
      </c>
      <c r="S556" s="20" t="str">
        <v>$40k-60k</v>
      </c>
      <c r="T556" s="89">
        <v>0.40260740500807207</v>
      </c>
      <c r="U556" s="91">
        <v>20.559240004735731</v>
      </c>
      <c r="V556" s="49">
        <v>964</v>
      </c>
      <c r="W556" s="20">
        <v>10</v>
      </c>
      <c r="X556" s="20" t="str">
        <v>Cold</v>
      </c>
      <c r="Y556" s="20">
        <v>0</v>
      </c>
    </row>
    <row r="557" spans="1:25" ht="15" customHeight="1" x14ac:dyDescent="0.25">
      <c r="A557" s="3"/>
      <c r="B557" s="3"/>
      <c r="C557" s="3"/>
      <c r="D557" s="3"/>
      <c r="E557" s="3"/>
      <c r="F557" s="3"/>
      <c r="G557" s="3"/>
      <c r="H557" s="3"/>
      <c r="I557" s="3"/>
      <c r="J557" s="3"/>
      <c r="K557" s="20">
        <v>14417</v>
      </c>
      <c r="L557" s="20" t="str">
        <v>2+ Cars</v>
      </c>
      <c r="M557" s="20" t="str">
        <v>51-60</v>
      </c>
      <c r="N557" s="20" t="str">
        <v>10+ Miles</v>
      </c>
      <c r="O557" s="20">
        <v>3</v>
      </c>
      <c r="P557" s="20" t="str">
        <v>High School</v>
      </c>
      <c r="Q557" s="20" t="str">
        <v>North America</v>
      </c>
      <c r="R557" s="20" t="str">
        <v>Single</v>
      </c>
      <c r="S557" s="20" t="str">
        <v>$40k-60k</v>
      </c>
      <c r="T557" s="89">
        <v>0.4393917628497982</v>
      </c>
      <c r="U557" s="91">
        <v>38.394265595437808</v>
      </c>
      <c r="V557" s="49">
        <v>793</v>
      </c>
      <c r="W557" s="20">
        <v>8</v>
      </c>
      <c r="X557" s="20" t="str">
        <v>Cold</v>
      </c>
      <c r="Y557" s="20">
        <v>1</v>
      </c>
    </row>
    <row r="558" spans="1:25" ht="15" customHeight="1" x14ac:dyDescent="0.25">
      <c r="A558" s="3"/>
      <c r="B558" s="3"/>
      <c r="C558" s="3"/>
      <c r="D558" s="3"/>
      <c r="E558" s="3"/>
      <c r="F558" s="3"/>
      <c r="G558" s="3"/>
      <c r="H558" s="3"/>
      <c r="I558" s="3"/>
      <c r="J558" s="3"/>
      <c r="K558" s="20">
        <v>17533</v>
      </c>
      <c r="L558" s="20" t="str">
        <v>2+ Cars</v>
      </c>
      <c r="M558" s="20" t="str">
        <v>61+</v>
      </c>
      <c r="N558" s="20" t="str">
        <v>5-10 Miles</v>
      </c>
      <c r="O558" s="20">
        <v>3</v>
      </c>
      <c r="P558" s="20" t="str">
        <v>Partial College</v>
      </c>
      <c r="Q558" s="20" t="str">
        <v>North America</v>
      </c>
      <c r="R558" s="20" t="str">
        <v>Married</v>
      </c>
      <c r="S558" s="20" t="str">
        <v>$40k-60k</v>
      </c>
      <c r="T558" s="89">
        <v>0.42021999956494183</v>
      </c>
      <c r="U558" s="91">
        <v>29.098768572612776</v>
      </c>
      <c r="V558" s="49">
        <v>892</v>
      </c>
      <c r="W558" s="20">
        <v>9</v>
      </c>
      <c r="X558" s="20" t="str">
        <v>Cold</v>
      </c>
      <c r="Y558" s="20">
        <v>1</v>
      </c>
    </row>
    <row r="559" spans="1:25" ht="15" customHeight="1" x14ac:dyDescent="0.25">
      <c r="A559" s="3"/>
      <c r="B559" s="3"/>
      <c r="C559" s="3"/>
      <c r="D559" s="3"/>
      <c r="E559" s="3"/>
      <c r="F559" s="3"/>
      <c r="G559" s="3"/>
      <c r="H559" s="3"/>
      <c r="I559" s="3"/>
      <c r="J559" s="3"/>
      <c r="K559" s="20">
        <v>18580</v>
      </c>
      <c r="L559" s="20" t="str">
        <v>0-1 Cars</v>
      </c>
      <c r="M559" s="20" t="str">
        <v>31-40</v>
      </c>
      <c r="N559" s="20" t="str">
        <v>2-5 Miles</v>
      </c>
      <c r="O559" s="20">
        <v>2</v>
      </c>
      <c r="P559" s="20" t="str">
        <v>Graduate Degree</v>
      </c>
      <c r="Q559" s="20" t="str">
        <v>North America</v>
      </c>
      <c r="R559" s="20" t="str">
        <v>Married</v>
      </c>
      <c r="S559" s="20" t="str">
        <v>$40k-60k</v>
      </c>
      <c r="T559" s="89">
        <v>0.53607436706566947</v>
      </c>
      <c r="U559" s="91">
        <v>85.271167124755635</v>
      </c>
      <c r="V559" s="49">
        <v>135</v>
      </c>
      <c r="W559" s="20">
        <v>2</v>
      </c>
      <c r="X559" s="20" t="str">
        <v>Hot</v>
      </c>
      <c r="Y559" s="20">
        <v>1</v>
      </c>
    </row>
    <row r="560" spans="1:25" ht="15" customHeight="1" x14ac:dyDescent="0.25">
      <c r="A560" s="3"/>
      <c r="B560" s="3"/>
      <c r="C560" s="3"/>
      <c r="D560" s="3"/>
      <c r="E560" s="3"/>
      <c r="F560" s="3"/>
      <c r="G560" s="3"/>
      <c r="H560" s="3"/>
      <c r="I560" s="3"/>
      <c r="J560" s="3"/>
      <c r="K560" s="20">
        <v>17025</v>
      </c>
      <c r="L560" s="20" t="str">
        <v>0-1 Cars</v>
      </c>
      <c r="M560" s="20" t="str">
        <v>31-40</v>
      </c>
      <c r="N560" s="20" t="str">
        <v>2-5 Miles</v>
      </c>
      <c r="O560" s="20">
        <v>0</v>
      </c>
      <c r="P560" s="20" t="str">
        <v>Partial College</v>
      </c>
      <c r="Q560" s="20" t="str">
        <v>North America</v>
      </c>
      <c r="R560" s="20" t="str">
        <v>Single</v>
      </c>
      <c r="S560" s="20" t="str">
        <v>$40k-60k</v>
      </c>
      <c r="T560" s="89">
        <v>0.54021489694935199</v>
      </c>
      <c r="U560" s="91">
        <v>87.278717637185039</v>
      </c>
      <c r="V560" s="49">
        <v>113</v>
      </c>
      <c r="W560" s="20">
        <v>2</v>
      </c>
      <c r="X560" s="20" t="str">
        <v>Hot</v>
      </c>
      <c r="Y560" s="20">
        <v>1</v>
      </c>
    </row>
    <row r="561" spans="1:25" ht="15" customHeight="1" x14ac:dyDescent="0.25">
      <c r="A561" s="3"/>
      <c r="B561" s="3"/>
      <c r="C561" s="3"/>
      <c r="D561" s="3"/>
      <c r="E561" s="3"/>
      <c r="F561" s="3"/>
      <c r="G561" s="3"/>
      <c r="H561" s="3"/>
      <c r="I561" s="3"/>
      <c r="J561" s="3"/>
      <c r="K561" s="20">
        <v>25293</v>
      </c>
      <c r="L561" s="20" t="str">
        <v>0-1 Cars</v>
      </c>
      <c r="M561" s="20" t="str">
        <v>41-50</v>
      </c>
      <c r="N561" s="20" t="str">
        <v>1-2 Miles</v>
      </c>
      <c r="O561" s="20">
        <v>4</v>
      </c>
      <c r="P561" s="20" t="str">
        <v>Bachelors</v>
      </c>
      <c r="Q561" s="20" t="str">
        <v>North America</v>
      </c>
      <c r="R561" s="20" t="str">
        <v>Married</v>
      </c>
      <c r="S561" s="20" t="str">
        <v>$70k-90k</v>
      </c>
      <c r="T561" s="89">
        <v>0.48775772079977098</v>
      </c>
      <c r="U561" s="91">
        <v>61.844670832037885</v>
      </c>
      <c r="V561" s="49">
        <v>463</v>
      </c>
      <c r="W561" s="20">
        <v>5</v>
      </c>
      <c r="X561" s="20" t="str">
        <v>Warm</v>
      </c>
      <c r="Y561" s="20">
        <v>0</v>
      </c>
    </row>
    <row r="562" spans="1:25" ht="15" customHeight="1" x14ac:dyDescent="0.25">
      <c r="A562" s="3"/>
      <c r="B562" s="3"/>
      <c r="C562" s="3"/>
      <c r="D562" s="3"/>
      <c r="E562" s="3"/>
      <c r="F562" s="3"/>
      <c r="G562" s="3"/>
      <c r="H562" s="3"/>
      <c r="I562" s="3"/>
      <c r="J562" s="3"/>
      <c r="K562" s="20">
        <v>24725</v>
      </c>
      <c r="L562" s="20" t="str">
        <v>0-1 Cars</v>
      </c>
      <c r="M562" s="20" t="str">
        <v>31-40</v>
      </c>
      <c r="N562" s="20" t="str">
        <v>1-2 Miles</v>
      </c>
      <c r="O562" s="20">
        <v>3</v>
      </c>
      <c r="P562" s="20" t="str">
        <v>Partial College</v>
      </c>
      <c r="Q562" s="20" t="str">
        <v>North America</v>
      </c>
      <c r="R562" s="20" t="str">
        <v>Married</v>
      </c>
      <c r="S562" s="20" t="str">
        <v>$40k-60k</v>
      </c>
      <c r="T562" s="89">
        <v>0.5171504913537186</v>
      </c>
      <c r="U562" s="91">
        <v>76.095859265634616</v>
      </c>
      <c r="V562" s="49">
        <v>270</v>
      </c>
      <c r="W562" s="20">
        <v>3</v>
      </c>
      <c r="X562" s="20" t="str">
        <v>Hot</v>
      </c>
      <c r="Y562" s="20">
        <v>0</v>
      </c>
    </row>
    <row r="563" spans="1:25" ht="15" customHeight="1" x14ac:dyDescent="0.25">
      <c r="A563" s="3"/>
      <c r="B563" s="3"/>
      <c r="C563" s="3"/>
      <c r="D563" s="3"/>
      <c r="E563" s="3"/>
      <c r="F563" s="3"/>
      <c r="G563" s="3"/>
      <c r="H563" s="3"/>
      <c r="I563" s="3"/>
      <c r="J563" s="3"/>
      <c r="K563" s="20">
        <v>23200</v>
      </c>
      <c r="L563" s="20" t="str">
        <v>2+ Cars</v>
      </c>
      <c r="M563" s="20" t="str">
        <v>41-50</v>
      </c>
      <c r="N563" s="20" t="str">
        <v>0-1 Miles</v>
      </c>
      <c r="O563" s="20">
        <v>3</v>
      </c>
      <c r="P563" s="20" t="str">
        <v>Bachelors</v>
      </c>
      <c r="Q563" s="20" t="str">
        <v>North America</v>
      </c>
      <c r="R563" s="20" t="str">
        <v>Married</v>
      </c>
      <c r="S563" s="20" t="str">
        <v>$40k-60k</v>
      </c>
      <c r="T563" s="89">
        <v>0.481269180150177</v>
      </c>
      <c r="U563" s="91">
        <v>58.698679021340858</v>
      </c>
      <c r="V563" s="49">
        <v>500</v>
      </c>
      <c r="W563" s="20">
        <v>5</v>
      </c>
      <c r="X563" s="20" t="str">
        <v>Warm</v>
      </c>
      <c r="Y563" s="20">
        <v>0</v>
      </c>
    </row>
    <row r="564" spans="1:25" ht="15" customHeight="1" x14ac:dyDescent="0.25">
      <c r="A564" s="3"/>
      <c r="B564" s="3"/>
      <c r="C564" s="3"/>
      <c r="D564" s="3"/>
      <c r="E564" s="3"/>
      <c r="F564" s="3"/>
      <c r="G564" s="3"/>
      <c r="H564" s="3"/>
      <c r="I564" s="3"/>
      <c r="J564" s="3"/>
      <c r="K564" s="20">
        <v>15895</v>
      </c>
      <c r="L564" s="20" t="str">
        <v>0-1 Cars</v>
      </c>
      <c r="M564" s="20" t="str">
        <v>51-60</v>
      </c>
      <c r="N564" s="20" t="str">
        <v>10+ Miles</v>
      </c>
      <c r="O564" s="20">
        <v>2</v>
      </c>
      <c r="P564" s="20" t="str">
        <v>Bachelors</v>
      </c>
      <c r="Q564" s="20" t="str">
        <v>North America</v>
      </c>
      <c r="R564" s="20" t="str">
        <v>Single</v>
      </c>
      <c r="S564" s="20" t="str">
        <v>$40k-60k</v>
      </c>
      <c r="T564" s="89">
        <v>0.48060342847159654</v>
      </c>
      <c r="U564" s="91">
        <v>58.375886972730825</v>
      </c>
      <c r="V564" s="49">
        <v>506</v>
      </c>
      <c r="W564" s="20">
        <v>6</v>
      </c>
      <c r="X564" s="20" t="str">
        <v>Warm</v>
      </c>
      <c r="Y564" s="20">
        <v>0</v>
      </c>
    </row>
    <row r="565" spans="1:25" ht="15" customHeight="1" x14ac:dyDescent="0.25">
      <c r="A565" s="3"/>
      <c r="B565" s="3"/>
      <c r="C565" s="3"/>
      <c r="D565" s="3"/>
      <c r="E565" s="3"/>
      <c r="F565" s="3"/>
      <c r="G565" s="3"/>
      <c r="H565" s="3"/>
      <c r="I565" s="3"/>
      <c r="J565" s="3"/>
      <c r="K565" s="20">
        <v>18577</v>
      </c>
      <c r="L565" s="20" t="str">
        <v>0-1 Cars</v>
      </c>
      <c r="M565" s="20" t="str">
        <v>31-40</v>
      </c>
      <c r="N565" s="20" t="str">
        <v>0-1 Miles</v>
      </c>
      <c r="O565" s="20">
        <v>0</v>
      </c>
      <c r="P565" s="20" t="str">
        <v>Graduate Degree</v>
      </c>
      <c r="Q565" s="20" t="str">
        <v>North America</v>
      </c>
      <c r="R565" s="20" t="str">
        <v>Married</v>
      </c>
      <c r="S565" s="20" t="str">
        <v>$40k-60k</v>
      </c>
      <c r="T565" s="89">
        <v>0.53603935863746655</v>
      </c>
      <c r="U565" s="91">
        <v>85.254193164911712</v>
      </c>
      <c r="V565" s="49">
        <v>139</v>
      </c>
      <c r="W565" s="20">
        <v>2</v>
      </c>
      <c r="X565" s="20" t="str">
        <v>Hot</v>
      </c>
      <c r="Y565" s="20">
        <v>0</v>
      </c>
    </row>
    <row r="566" spans="1:25" ht="15" customHeight="1" x14ac:dyDescent="0.25">
      <c r="A566" s="3"/>
      <c r="B566" s="3"/>
      <c r="C566" s="3"/>
      <c r="D566" s="3"/>
      <c r="E566" s="3"/>
      <c r="F566" s="3"/>
      <c r="G566" s="3"/>
      <c r="H566" s="3"/>
      <c r="I566" s="3"/>
      <c r="J566" s="3"/>
      <c r="K566" s="20">
        <v>27218</v>
      </c>
      <c r="L566" s="20" t="str">
        <v>0-1 Cars</v>
      </c>
      <c r="M566" s="20" t="str">
        <v>41-50</v>
      </c>
      <c r="N566" s="20" t="str">
        <v>0-1 Miles</v>
      </c>
      <c r="O566" s="20">
        <v>2</v>
      </c>
      <c r="P566" s="20" t="str">
        <v>Partial High School</v>
      </c>
      <c r="Q566" s="20" t="str">
        <v>North America</v>
      </c>
      <c r="R566" s="20" t="str">
        <v>Married</v>
      </c>
      <c r="S566" s="20" t="str">
        <v>$10k-30k</v>
      </c>
      <c r="T566" s="89">
        <v>0.4622059730170503</v>
      </c>
      <c r="U566" s="91">
        <v>49.455815831419947</v>
      </c>
      <c r="V566" s="49">
        <v>627</v>
      </c>
      <c r="W566" s="20">
        <v>7</v>
      </c>
      <c r="X566" s="20" t="str">
        <v>Cold</v>
      </c>
      <c r="Y566" s="20">
        <v>0</v>
      </c>
    </row>
    <row r="567" spans="1:25" ht="15" customHeight="1" x14ac:dyDescent="0.25">
      <c r="A567" s="3"/>
      <c r="B567" s="3"/>
      <c r="C567" s="3"/>
      <c r="D567" s="3"/>
      <c r="E567" s="3"/>
      <c r="F567" s="3"/>
      <c r="G567" s="3"/>
      <c r="H567" s="3"/>
      <c r="I567" s="3"/>
      <c r="J567" s="3"/>
      <c r="K567" s="20">
        <v>18560</v>
      </c>
      <c r="L567" s="20" t="str">
        <v>0-1 Cars</v>
      </c>
      <c r="M567" s="20" t="str">
        <v>31-40</v>
      </c>
      <c r="N567" s="20" t="str">
        <v>2-5 Miles</v>
      </c>
      <c r="O567" s="20">
        <v>2</v>
      </c>
      <c r="P567" s="20" t="str">
        <v>Graduate Degree</v>
      </c>
      <c r="Q567" s="20" t="str">
        <v>North America</v>
      </c>
      <c r="R567" s="20" t="str">
        <v>Married</v>
      </c>
      <c r="S567" s="20" t="str">
        <v>$70k-90k</v>
      </c>
      <c r="T567" s="89">
        <v>0.53310923420505496</v>
      </c>
      <c r="U567" s="91">
        <v>83.833512003074972</v>
      </c>
      <c r="V567" s="49">
        <v>171</v>
      </c>
      <c r="W567" s="20">
        <v>2</v>
      </c>
      <c r="X567" s="20" t="str">
        <v>Hot</v>
      </c>
      <c r="Y567" s="20">
        <v>1</v>
      </c>
    </row>
    <row r="568" spans="1:25" ht="15" customHeight="1" x14ac:dyDescent="0.25">
      <c r="A568" s="3"/>
      <c r="B568" s="3"/>
      <c r="C568" s="3"/>
      <c r="D568" s="3"/>
      <c r="E568" s="3"/>
      <c r="F568" s="3"/>
      <c r="G568" s="3"/>
      <c r="H568" s="3"/>
      <c r="I568" s="3"/>
      <c r="J568" s="3"/>
      <c r="K568" s="20">
        <v>25006</v>
      </c>
      <c r="L568" s="20" t="str">
        <v>0-1 Cars</v>
      </c>
      <c r="M568" s="20" t="str">
        <v>25-30</v>
      </c>
      <c r="N568" s="20" t="str">
        <v>5-10 Miles</v>
      </c>
      <c r="O568" s="20">
        <v>0</v>
      </c>
      <c r="P568" s="20" t="str">
        <v>Partial College</v>
      </c>
      <c r="Q568" s="20" t="str">
        <v>North America</v>
      </c>
      <c r="R568" s="20" t="str">
        <v>Single</v>
      </c>
      <c r="S568" s="20" t="str">
        <v>$10k-30k</v>
      </c>
      <c r="T568" s="89">
        <v>0.4610072931450338</v>
      </c>
      <c r="U568" s="91">
        <v>48.874631669269831</v>
      </c>
      <c r="V568" s="49">
        <v>644</v>
      </c>
      <c r="W568" s="20">
        <v>7</v>
      </c>
      <c r="X568" s="20" t="str">
        <v>Cold</v>
      </c>
      <c r="Y568" s="20">
        <v>0</v>
      </c>
    </row>
    <row r="569" spans="1:25" ht="15" customHeight="1" x14ac:dyDescent="0.25">
      <c r="A569" s="3"/>
      <c r="B569" s="3"/>
      <c r="C569" s="3"/>
      <c r="D569" s="3"/>
      <c r="E569" s="3"/>
      <c r="F569" s="3"/>
      <c r="G569" s="3"/>
      <c r="H569" s="3"/>
      <c r="I569" s="3"/>
      <c r="J569" s="3"/>
      <c r="K569" s="20">
        <v>17369</v>
      </c>
      <c r="L569" s="20" t="str">
        <v>0-1 Cars</v>
      </c>
      <c r="M569" s="20" t="str">
        <v>25-30</v>
      </c>
      <c r="N569" s="20" t="str">
        <v>5-10 Miles</v>
      </c>
      <c r="O569" s="20">
        <v>0</v>
      </c>
      <c r="P569" s="20" t="str">
        <v>Partial College</v>
      </c>
      <c r="Q569" s="20" t="str">
        <v>North America</v>
      </c>
      <c r="R569" s="20" t="str">
        <v>Single</v>
      </c>
      <c r="S569" s="20" t="str">
        <v>$10k-30k</v>
      </c>
      <c r="T569" s="89">
        <v>0.4610072931450338</v>
      </c>
      <c r="U569" s="91">
        <v>48.874631669269831</v>
      </c>
      <c r="V569" s="49">
        <v>643</v>
      </c>
      <c r="W569" s="20">
        <v>7</v>
      </c>
      <c r="X569" s="20" t="str">
        <v>Cold</v>
      </c>
      <c r="Y569" s="20">
        <v>0</v>
      </c>
    </row>
    <row r="570" spans="1:25" ht="15" customHeight="1" x14ac:dyDescent="0.25">
      <c r="A570" s="3"/>
      <c r="B570" s="3"/>
      <c r="C570" s="3"/>
      <c r="D570" s="3"/>
      <c r="E570" s="3"/>
      <c r="F570" s="3"/>
      <c r="G570" s="3"/>
      <c r="H570" s="3"/>
      <c r="I570" s="3"/>
      <c r="J570" s="3"/>
      <c r="K570" s="20">
        <v>14495</v>
      </c>
      <c r="L570" s="20" t="str">
        <v>2+ Cars</v>
      </c>
      <c r="M570" s="20" t="str">
        <v>51-60</v>
      </c>
      <c r="N570" s="20" t="str">
        <v>5-10 Miles</v>
      </c>
      <c r="O570" s="20">
        <v>3</v>
      </c>
      <c r="P570" s="20" t="str">
        <v>Partial College</v>
      </c>
      <c r="Q570" s="20" t="str">
        <v>North America</v>
      </c>
      <c r="R570" s="20" t="str">
        <v>Married</v>
      </c>
      <c r="S570" s="20" t="str">
        <v>$40k-60k</v>
      </c>
      <c r="T570" s="89">
        <v>0.44488271999335532</v>
      </c>
      <c r="U570" s="91">
        <v>41.056575526038309</v>
      </c>
      <c r="V570" s="49">
        <v>757</v>
      </c>
      <c r="W570" s="20">
        <v>8</v>
      </c>
      <c r="X570" s="20" t="str">
        <v>Cold</v>
      </c>
      <c r="Y570" s="20">
        <v>1</v>
      </c>
    </row>
    <row r="571" spans="1:25" ht="15" customHeight="1" x14ac:dyDescent="0.25">
      <c r="A571" s="3"/>
      <c r="B571" s="3"/>
      <c r="C571" s="3"/>
      <c r="D571" s="3"/>
      <c r="E571" s="3"/>
      <c r="F571" s="3"/>
      <c r="G571" s="3"/>
      <c r="H571" s="3"/>
      <c r="I571" s="3"/>
      <c r="J571" s="3"/>
      <c r="K571" s="20">
        <v>18847</v>
      </c>
      <c r="L571" s="20" t="str">
        <v>2+ Cars</v>
      </c>
      <c r="M571" s="20" t="str">
        <v>61+</v>
      </c>
      <c r="N571" s="20" t="str">
        <v>5-10 Miles</v>
      </c>
      <c r="O571" s="20">
        <v>2</v>
      </c>
      <c r="P571" s="20" t="str">
        <v>Graduate Degree</v>
      </c>
      <c r="Q571" s="20" t="str">
        <v>North America</v>
      </c>
      <c r="R571" s="20" t="str">
        <v>Married</v>
      </c>
      <c r="S571" s="20" t="str">
        <v>$40k-60k</v>
      </c>
      <c r="T571" s="89">
        <v>0.4202742070189221</v>
      </c>
      <c r="U571" s="91">
        <v>29.12505124779511</v>
      </c>
      <c r="V571" s="49">
        <v>889</v>
      </c>
      <c r="W571" s="20">
        <v>9</v>
      </c>
      <c r="X571" s="20" t="str">
        <v>Cold</v>
      </c>
      <c r="Y571" s="20">
        <v>0</v>
      </c>
    </row>
    <row r="572" spans="1:25" ht="15" customHeight="1" x14ac:dyDescent="0.25">
      <c r="A572" s="3"/>
      <c r="B572" s="3"/>
      <c r="C572" s="3"/>
      <c r="D572" s="3"/>
      <c r="E572" s="3"/>
      <c r="F572" s="3"/>
      <c r="G572" s="3"/>
      <c r="H572" s="3"/>
      <c r="I572" s="3"/>
      <c r="J572" s="3"/>
      <c r="K572" s="20">
        <v>14754</v>
      </c>
      <c r="L572" s="20" t="str">
        <v>0-1 Cars</v>
      </c>
      <c r="M572" s="20" t="str">
        <v>41-50</v>
      </c>
      <c r="N572" s="20" t="str">
        <v>1-2 Miles</v>
      </c>
      <c r="O572" s="20">
        <v>1</v>
      </c>
      <c r="P572" s="20" t="str">
        <v>Partial College</v>
      </c>
      <c r="Q572" s="20" t="str">
        <v>North America</v>
      </c>
      <c r="R572" s="20" t="str">
        <v>Married</v>
      </c>
      <c r="S572" s="20" t="str">
        <v>$40k-60k</v>
      </c>
      <c r="T572" s="89">
        <v>0.49817835832857021</v>
      </c>
      <c r="U572" s="91">
        <v>66.897153678068278</v>
      </c>
      <c r="V572" s="49">
        <v>391</v>
      </c>
      <c r="W572" s="20">
        <v>4</v>
      </c>
      <c r="X572" s="20" t="str">
        <v>Warm</v>
      </c>
      <c r="Y572" s="20">
        <v>1</v>
      </c>
    </row>
    <row r="573" spans="1:25" ht="15" customHeight="1" x14ac:dyDescent="0.25">
      <c r="A573" s="3"/>
      <c r="B573" s="3"/>
      <c r="C573" s="3"/>
      <c r="D573" s="3"/>
      <c r="E573" s="3"/>
      <c r="F573" s="3"/>
      <c r="G573" s="3"/>
      <c r="H573" s="3"/>
      <c r="I573" s="3"/>
      <c r="J573" s="3"/>
      <c r="K573" s="20">
        <v>23378</v>
      </c>
      <c r="L573" s="20" t="str">
        <v>0-1 Cars</v>
      </c>
      <c r="M573" s="20" t="str">
        <v>41-50</v>
      </c>
      <c r="N573" s="20" t="str">
        <v>2-5 Miles</v>
      </c>
      <c r="O573" s="20">
        <v>1</v>
      </c>
      <c r="P573" s="20" t="str">
        <v>Partial College</v>
      </c>
      <c r="Q573" s="20" t="str">
        <v>North America</v>
      </c>
      <c r="R573" s="20" t="str">
        <v>Married</v>
      </c>
      <c r="S573" s="20" t="str">
        <v>$70k-90k</v>
      </c>
      <c r="T573" s="89">
        <v>0.51408289372592619</v>
      </c>
      <c r="U573" s="91">
        <v>74.608523740326248</v>
      </c>
      <c r="V573" s="49">
        <v>286</v>
      </c>
      <c r="W573" s="20">
        <v>3</v>
      </c>
      <c r="X573" s="20" t="str">
        <v>Hot</v>
      </c>
      <c r="Y573" s="20">
        <v>1</v>
      </c>
    </row>
    <row r="574" spans="1:25" ht="15" customHeight="1" x14ac:dyDescent="0.25">
      <c r="A574" s="3"/>
      <c r="B574" s="3"/>
      <c r="C574" s="3"/>
      <c r="D574" s="3"/>
      <c r="E574" s="3"/>
      <c r="F574" s="3"/>
      <c r="G574" s="3"/>
      <c r="H574" s="3"/>
      <c r="I574" s="3"/>
      <c r="J574" s="3"/>
      <c r="K574" s="20">
        <v>26452</v>
      </c>
      <c r="L574" s="20" t="str">
        <v>2+ Cars</v>
      </c>
      <c r="M574" s="20" t="str">
        <v>61+</v>
      </c>
      <c r="N574" s="20" t="str">
        <v>10+ Miles</v>
      </c>
      <c r="O574" s="20">
        <v>3</v>
      </c>
      <c r="P574" s="20" t="str">
        <v>Graduate Degree</v>
      </c>
      <c r="Q574" s="20" t="str">
        <v>North America</v>
      </c>
      <c r="R574" s="20" t="str">
        <v>Single</v>
      </c>
      <c r="S574" s="20" t="str">
        <v>$40k-60k</v>
      </c>
      <c r="T574" s="89">
        <v>0.42695174448677276</v>
      </c>
      <c r="U574" s="91">
        <v>32.362678832172698</v>
      </c>
      <c r="V574" s="49">
        <v>850</v>
      </c>
      <c r="W574" s="20">
        <v>9</v>
      </c>
      <c r="X574" s="20" t="str">
        <v>Cold</v>
      </c>
      <c r="Y574" s="20">
        <v>0</v>
      </c>
    </row>
    <row r="575" spans="1:25" ht="15" customHeight="1" x14ac:dyDescent="0.25">
      <c r="A575" s="3"/>
      <c r="B575" s="3"/>
      <c r="C575" s="3"/>
      <c r="D575" s="3"/>
      <c r="E575" s="3"/>
      <c r="F575" s="3"/>
      <c r="G575" s="3"/>
      <c r="H575" s="3"/>
      <c r="I575" s="3"/>
      <c r="J575" s="3"/>
      <c r="K575" s="20">
        <v>20370</v>
      </c>
      <c r="L575" s="20" t="str">
        <v>2+ Cars</v>
      </c>
      <c r="M575" s="20" t="str">
        <v>51-60</v>
      </c>
      <c r="N575" s="20" t="str">
        <v>5-10 Miles</v>
      </c>
      <c r="O575" s="20">
        <v>3</v>
      </c>
      <c r="P575" s="20" t="str">
        <v>Partial High School</v>
      </c>
      <c r="Q575" s="20" t="str">
        <v>North America</v>
      </c>
      <c r="R575" s="20" t="str">
        <v>Married</v>
      </c>
      <c r="S575" s="20" t="str">
        <v>$70k-90k</v>
      </c>
      <c r="T575" s="89">
        <v>0.41894048988472726</v>
      </c>
      <c r="U575" s="91">
        <v>28.478393792975005</v>
      </c>
      <c r="V575" s="49">
        <v>897</v>
      </c>
      <c r="W575" s="20">
        <v>9</v>
      </c>
      <c r="X575" s="20" t="str">
        <v>Cold</v>
      </c>
      <c r="Y575" s="20">
        <v>0</v>
      </c>
    </row>
    <row r="576" spans="1:25" ht="15" customHeight="1" x14ac:dyDescent="0.25">
      <c r="A576" s="3"/>
      <c r="B576" s="3"/>
      <c r="C576" s="3"/>
      <c r="D576" s="3"/>
      <c r="E576" s="3"/>
      <c r="F576" s="3"/>
      <c r="G576" s="3"/>
      <c r="H576" s="3"/>
      <c r="I576" s="3"/>
      <c r="J576" s="3"/>
      <c r="K576" s="20">
        <v>20528</v>
      </c>
      <c r="L576" s="20" t="str">
        <v>2+ Cars</v>
      </c>
      <c r="M576" s="20" t="str">
        <v>51-60</v>
      </c>
      <c r="N576" s="20" t="str">
        <v>2-5 Miles</v>
      </c>
      <c r="O576" s="20">
        <v>2</v>
      </c>
      <c r="P576" s="20" t="str">
        <v>Partial High School</v>
      </c>
      <c r="Q576" s="20" t="str">
        <v>North America</v>
      </c>
      <c r="R576" s="20" t="str">
        <v>Married</v>
      </c>
      <c r="S576" s="20" t="str">
        <v>$40k-60k</v>
      </c>
      <c r="T576" s="89">
        <v>0.43818579747946068</v>
      </c>
      <c r="U576" s="91">
        <v>37.809549033740161</v>
      </c>
      <c r="V576" s="49">
        <v>795</v>
      </c>
      <c r="W576" s="20">
        <v>8</v>
      </c>
      <c r="X576" s="20" t="str">
        <v>Cold</v>
      </c>
      <c r="Y576" s="20">
        <v>0</v>
      </c>
    </row>
    <row r="577" spans="1:25" ht="15" customHeight="1" x14ac:dyDescent="0.25">
      <c r="A577" s="3"/>
      <c r="B577" s="3"/>
      <c r="C577" s="3"/>
      <c r="D577" s="3"/>
      <c r="E577" s="3"/>
      <c r="F577" s="3"/>
      <c r="G577" s="3"/>
      <c r="H577" s="3"/>
      <c r="I577" s="3"/>
      <c r="J577" s="3"/>
      <c r="K577" s="20">
        <v>23549</v>
      </c>
      <c r="L577" s="20" t="str">
        <v>2+ Cars</v>
      </c>
      <c r="M577" s="20" t="str">
        <v>25-30</v>
      </c>
      <c r="N577" s="20" t="str">
        <v>5-10 Miles</v>
      </c>
      <c r="O577" s="20">
        <v>0</v>
      </c>
      <c r="P577" s="20" t="str">
        <v>High School</v>
      </c>
      <c r="Q577" s="20" t="str">
        <v>North America</v>
      </c>
      <c r="R577" s="20" t="str">
        <v>Single</v>
      </c>
      <c r="S577" s="20" t="str">
        <v>$10k-30k</v>
      </c>
      <c r="T577" s="89">
        <v>0.42134016737254532</v>
      </c>
      <c r="U577" s="91">
        <v>29.64188588352113</v>
      </c>
      <c r="V577" s="49">
        <v>884</v>
      </c>
      <c r="W577" s="20">
        <v>9</v>
      </c>
      <c r="X577" s="20" t="str">
        <v>Cold</v>
      </c>
      <c r="Y577" s="20">
        <v>0</v>
      </c>
    </row>
    <row r="578" spans="1:25" ht="15" customHeight="1" x14ac:dyDescent="0.25">
      <c r="A578" s="3"/>
      <c r="B578" s="3"/>
      <c r="C578" s="3"/>
      <c r="D578" s="3"/>
      <c r="E578" s="3"/>
      <c r="F578" s="3"/>
      <c r="G578" s="3"/>
      <c r="H578" s="3"/>
      <c r="I578" s="3"/>
      <c r="J578" s="3"/>
      <c r="K578" s="20">
        <v>21751</v>
      </c>
      <c r="L578" s="20" t="str">
        <v>2+ Cars</v>
      </c>
      <c r="M578" s="20" t="str">
        <v>61+</v>
      </c>
      <c r="N578" s="20" t="str">
        <v>1-2 Miles</v>
      </c>
      <c r="O578" s="20">
        <v>3</v>
      </c>
      <c r="P578" s="20" t="str">
        <v>Graduate Degree</v>
      </c>
      <c r="Q578" s="20" t="str">
        <v>North America</v>
      </c>
      <c r="R578" s="20" t="str">
        <v>Married</v>
      </c>
      <c r="S578" s="20" t="str">
        <v>$40k-60k</v>
      </c>
      <c r="T578" s="89">
        <v>0.44011435021033335</v>
      </c>
      <c r="U578" s="91">
        <v>38.744614624829964</v>
      </c>
      <c r="V578" s="49">
        <v>787</v>
      </c>
      <c r="W578" s="20">
        <v>8</v>
      </c>
      <c r="X578" s="20" t="str">
        <v>Cold</v>
      </c>
      <c r="Y578" s="20">
        <v>0</v>
      </c>
    </row>
    <row r="579" spans="1:25" ht="15" customHeight="1" x14ac:dyDescent="0.25">
      <c r="A579" s="3"/>
      <c r="B579" s="3"/>
      <c r="C579" s="3"/>
      <c r="D579" s="3"/>
      <c r="E579" s="3"/>
      <c r="F579" s="3"/>
      <c r="G579" s="3"/>
      <c r="H579" s="3"/>
      <c r="I579" s="3"/>
      <c r="J579" s="3"/>
      <c r="K579" s="20">
        <v>21266</v>
      </c>
      <c r="L579" s="20" t="str">
        <v>0-1 Cars</v>
      </c>
      <c r="M579" s="20" t="str">
        <v>31-40</v>
      </c>
      <c r="N579" s="20" t="str">
        <v>1-2 Miles</v>
      </c>
      <c r="O579" s="20">
        <v>0</v>
      </c>
      <c r="P579" s="20" t="str">
        <v>Bachelors</v>
      </c>
      <c r="Q579" s="20" t="str">
        <v>North America</v>
      </c>
      <c r="R579" s="20" t="str">
        <v>Single</v>
      </c>
      <c r="S579" s="20" t="str">
        <v>$70k-90k</v>
      </c>
      <c r="T579" s="89">
        <v>0.53113945403770824</v>
      </c>
      <c r="U579" s="91">
        <v>82.878457144054565</v>
      </c>
      <c r="V579" s="49">
        <v>180</v>
      </c>
      <c r="W579" s="20">
        <v>2</v>
      </c>
      <c r="X579" s="20" t="str">
        <v>Hot</v>
      </c>
      <c r="Y579" s="20">
        <v>1</v>
      </c>
    </row>
    <row r="580" spans="1:25" ht="15" customHeight="1" x14ac:dyDescent="0.25">
      <c r="A580" s="3"/>
      <c r="B580" s="3"/>
      <c r="C580" s="3"/>
      <c r="D580" s="3"/>
      <c r="E580" s="3"/>
      <c r="F580" s="3"/>
      <c r="G580" s="3"/>
      <c r="H580" s="3"/>
      <c r="I580" s="3"/>
      <c r="J580" s="3"/>
      <c r="K580" s="20">
        <v>13388</v>
      </c>
      <c r="L580" s="20" t="str">
        <v>0-1 Cars</v>
      </c>
      <c r="M580" s="20" t="str">
        <v>51-60</v>
      </c>
      <c r="N580" s="20" t="str">
        <v>10+ Miles</v>
      </c>
      <c r="O580" s="20">
        <v>2</v>
      </c>
      <c r="P580" s="20" t="str">
        <v>Partial College</v>
      </c>
      <c r="Q580" s="20" t="str">
        <v>North America</v>
      </c>
      <c r="R580" s="20" t="str">
        <v>Single</v>
      </c>
      <c r="S580" s="20" t="str">
        <v>$40k-60k</v>
      </c>
      <c r="T580" s="89">
        <v>0.46784407026465519</v>
      </c>
      <c r="U580" s="91">
        <v>52.189467160241989</v>
      </c>
      <c r="V580" s="49">
        <v>593</v>
      </c>
      <c r="W580" s="20">
        <v>6</v>
      </c>
      <c r="X580" s="20" t="str">
        <v>Warm</v>
      </c>
      <c r="Y580" s="20">
        <v>0</v>
      </c>
    </row>
    <row r="581" spans="1:25" ht="15" customHeight="1" x14ac:dyDescent="0.25">
      <c r="A581" s="3"/>
      <c r="B581" s="3"/>
      <c r="C581" s="3"/>
      <c r="D581" s="3"/>
      <c r="E581" s="3"/>
      <c r="F581" s="3"/>
      <c r="G581" s="3"/>
      <c r="H581" s="3"/>
      <c r="I581" s="3"/>
      <c r="J581" s="3"/>
      <c r="K581" s="20">
        <v>18752</v>
      </c>
      <c r="L581" s="20" t="str">
        <v>0-1 Cars</v>
      </c>
      <c r="M581" s="20" t="str">
        <v>31-40</v>
      </c>
      <c r="N581" s="20" t="str">
        <v>5-10 Miles</v>
      </c>
      <c r="O581" s="20">
        <v>0</v>
      </c>
      <c r="P581" s="20" t="str">
        <v>High School</v>
      </c>
      <c r="Q581" s="20" t="str">
        <v>North America</v>
      </c>
      <c r="R581" s="20" t="str">
        <v>Single</v>
      </c>
      <c r="S581" s="20" t="str">
        <v>$40k-60k</v>
      </c>
      <c r="T581" s="89">
        <v>0.5117662276038254</v>
      </c>
      <c r="U581" s="91">
        <v>73.485280003122512</v>
      </c>
      <c r="V581" s="49">
        <v>305</v>
      </c>
      <c r="W581" s="20">
        <v>4</v>
      </c>
      <c r="X581" s="20" t="str">
        <v>Warm</v>
      </c>
      <c r="Y581" s="20">
        <v>0</v>
      </c>
    </row>
    <row r="582" spans="1:25" ht="15" customHeight="1" x14ac:dyDescent="0.25">
      <c r="A582" s="3"/>
      <c r="B582" s="3"/>
      <c r="C582" s="3"/>
      <c r="D582" s="3"/>
      <c r="E582" s="3"/>
      <c r="F582" s="3"/>
      <c r="G582" s="3"/>
      <c r="H582" s="3"/>
      <c r="I582" s="3"/>
      <c r="J582" s="3"/>
      <c r="K582" s="20">
        <v>16917</v>
      </c>
      <c r="L582" s="20" t="str">
        <v>2+ Cars</v>
      </c>
      <c r="M582" s="20" t="str">
        <v>31-40</v>
      </c>
      <c r="N582" s="20" t="str">
        <v>0-1 Miles</v>
      </c>
      <c r="O582" s="20">
        <v>1</v>
      </c>
      <c r="P582" s="20" t="str">
        <v>Bachelors</v>
      </c>
      <c r="Q582" s="20" t="str">
        <v>North America</v>
      </c>
      <c r="R582" s="20" t="str">
        <v>Married</v>
      </c>
      <c r="S582" s="20" t="str">
        <v>$100k+</v>
      </c>
      <c r="T582" s="89">
        <v>0.50453957797540661</v>
      </c>
      <c r="U582" s="91">
        <v>69.981413451680794</v>
      </c>
      <c r="V582" s="49">
        <v>341</v>
      </c>
      <c r="W582" s="20">
        <v>4</v>
      </c>
      <c r="X582" s="20" t="str">
        <v>Warm</v>
      </c>
      <c r="Y582" s="20">
        <v>0</v>
      </c>
    </row>
    <row r="583" spans="1:25" ht="15" customHeight="1" x14ac:dyDescent="0.25">
      <c r="A583" s="3"/>
      <c r="B583" s="3"/>
      <c r="C583" s="3"/>
      <c r="D583" s="3"/>
      <c r="E583" s="3"/>
      <c r="F583" s="3"/>
      <c r="G583" s="3"/>
      <c r="H583" s="3"/>
      <c r="I583" s="3"/>
      <c r="J583" s="3"/>
      <c r="K583" s="20">
        <v>15313</v>
      </c>
      <c r="L583" s="20" t="str">
        <v>2+ Cars</v>
      </c>
      <c r="M583" s="20" t="str">
        <v>51-60</v>
      </c>
      <c r="N583" s="20" t="str">
        <v>2-5 Miles</v>
      </c>
      <c r="O583" s="20">
        <v>4</v>
      </c>
      <c r="P583" s="20" t="str">
        <v>Bachelors</v>
      </c>
      <c r="Q583" s="20" t="str">
        <v>North America</v>
      </c>
      <c r="R583" s="20" t="str">
        <v>Married</v>
      </c>
      <c r="S583" s="20" t="str">
        <v>$40k-60k</v>
      </c>
      <c r="T583" s="89">
        <v>0.46898044212584183</v>
      </c>
      <c r="U583" s="91">
        <v>52.740441063661002</v>
      </c>
      <c r="V583" s="49">
        <v>585</v>
      </c>
      <c r="W583" s="20">
        <v>6</v>
      </c>
      <c r="X583" s="20" t="str">
        <v>Warm</v>
      </c>
      <c r="Y583" s="20">
        <v>0</v>
      </c>
    </row>
    <row r="584" spans="1:25" ht="15" customHeight="1" x14ac:dyDescent="0.25">
      <c r="A584" s="3"/>
      <c r="B584" s="3"/>
      <c r="C584" s="3"/>
      <c r="D584" s="3"/>
      <c r="E584" s="3"/>
      <c r="F584" s="3"/>
      <c r="G584" s="3"/>
      <c r="H584" s="3"/>
      <c r="I584" s="3"/>
      <c r="J584" s="3"/>
      <c r="K584" s="20">
        <v>25329</v>
      </c>
      <c r="L584" s="20" t="str">
        <v>2+ Cars</v>
      </c>
      <c r="M584" s="20" t="str">
        <v>31-40</v>
      </c>
      <c r="N584" s="20" t="str">
        <v>0-1 Miles</v>
      </c>
      <c r="O584" s="20">
        <v>3</v>
      </c>
      <c r="P584" s="20" t="str">
        <v>Partial College</v>
      </c>
      <c r="Q584" s="20" t="str">
        <v>North America</v>
      </c>
      <c r="R584" s="20" t="str">
        <v>Single</v>
      </c>
      <c r="S584" s="20" t="str">
        <v>$40k-60k</v>
      </c>
      <c r="T584" s="89">
        <v>0.50121823138513011</v>
      </c>
      <c r="U584" s="91">
        <v>68.371046847265632</v>
      </c>
      <c r="V584" s="49">
        <v>366</v>
      </c>
      <c r="W584" s="20">
        <v>4</v>
      </c>
      <c r="X584" s="20" t="str">
        <v>Warm</v>
      </c>
      <c r="Y584" s="20">
        <v>0</v>
      </c>
    </row>
    <row r="585" spans="1:25" ht="15" customHeight="1" x14ac:dyDescent="0.25">
      <c r="A585" s="3"/>
      <c r="B585" s="3"/>
      <c r="C585" s="3"/>
      <c r="D585" s="3"/>
      <c r="E585" s="3"/>
      <c r="F585" s="3"/>
      <c r="G585" s="3"/>
      <c r="H585" s="3"/>
      <c r="I585" s="3"/>
      <c r="J585" s="3"/>
      <c r="K585" s="20">
        <v>20380</v>
      </c>
      <c r="L585" s="20" t="str">
        <v>2+ Cars</v>
      </c>
      <c r="M585" s="20" t="str">
        <v>61+</v>
      </c>
      <c r="N585" s="20" t="str">
        <v>10+ Miles</v>
      </c>
      <c r="O585" s="20">
        <v>3</v>
      </c>
      <c r="P585" s="20" t="str">
        <v>Graduate Degree</v>
      </c>
      <c r="Q585" s="20" t="str">
        <v>North America</v>
      </c>
      <c r="R585" s="20" t="str">
        <v>Married</v>
      </c>
      <c r="S585" s="20" t="str">
        <v>$40k-60k</v>
      </c>
      <c r="T585" s="89">
        <v>0.41727370177894763</v>
      </c>
      <c r="U585" s="91">
        <v>27.670245703268868</v>
      </c>
      <c r="V585" s="49">
        <v>908</v>
      </c>
      <c r="W585" s="20">
        <v>10</v>
      </c>
      <c r="X585" s="20" t="str">
        <v>Cold</v>
      </c>
      <c r="Y585" s="20">
        <v>0</v>
      </c>
    </row>
    <row r="586" spans="1:25" ht="15" customHeight="1" x14ac:dyDescent="0.25">
      <c r="A586" s="3"/>
      <c r="B586" s="3"/>
      <c r="C586" s="3"/>
      <c r="D586" s="3"/>
      <c r="E586" s="3"/>
      <c r="F586" s="3"/>
      <c r="G586" s="3"/>
      <c r="H586" s="3"/>
      <c r="I586" s="3"/>
      <c r="J586" s="3"/>
      <c r="K586" s="20">
        <v>23089</v>
      </c>
      <c r="L586" s="20" t="str">
        <v>0-1 Cars</v>
      </c>
      <c r="M586" s="20" t="str">
        <v>25-30</v>
      </c>
      <c r="N586" s="20" t="str">
        <v>5-10 Miles</v>
      </c>
      <c r="O586" s="20">
        <v>0</v>
      </c>
      <c r="P586" s="20" t="str">
        <v>Partial College</v>
      </c>
      <c r="Q586" s="20" t="str">
        <v>North America</v>
      </c>
      <c r="R586" s="20" t="str">
        <v>Married</v>
      </c>
      <c r="S586" s="20" t="str">
        <v>$40k-60k</v>
      </c>
      <c r="T586" s="89">
        <v>0.46215463327646117</v>
      </c>
      <c r="U586" s="91">
        <v>49.430923577186043</v>
      </c>
      <c r="V586" s="49">
        <v>629</v>
      </c>
      <c r="W586" s="20">
        <v>7</v>
      </c>
      <c r="X586" s="20" t="str">
        <v>Cold</v>
      </c>
      <c r="Y586" s="20">
        <v>0</v>
      </c>
    </row>
    <row r="587" spans="1:25" ht="15" customHeight="1" x14ac:dyDescent="0.25">
      <c r="A587" s="3"/>
      <c r="B587" s="3"/>
      <c r="C587" s="3"/>
      <c r="D587" s="3"/>
      <c r="E587" s="3"/>
      <c r="F587" s="3"/>
      <c r="G587" s="3"/>
      <c r="H587" s="3"/>
      <c r="I587" s="3"/>
      <c r="J587" s="3"/>
      <c r="K587" s="20">
        <v>13749</v>
      </c>
      <c r="L587" s="20" t="str">
        <v>0-1 Cars</v>
      </c>
      <c r="M587" s="20" t="str">
        <v>41-50</v>
      </c>
      <c r="N587" s="20" t="str">
        <v>1-2 Miles</v>
      </c>
      <c r="O587" s="20">
        <v>4</v>
      </c>
      <c r="P587" s="20" t="str">
        <v>Graduate Degree</v>
      </c>
      <c r="Q587" s="20" t="str">
        <v>North America</v>
      </c>
      <c r="R587" s="20" t="str">
        <v>Married</v>
      </c>
      <c r="S587" s="20" t="str">
        <v>$70k-90k</v>
      </c>
      <c r="T587" s="89">
        <v>0.48626738840444134</v>
      </c>
      <c r="U587" s="91">
        <v>61.122077915675888</v>
      </c>
      <c r="V587" s="49">
        <v>470</v>
      </c>
      <c r="W587" s="20">
        <v>5</v>
      </c>
      <c r="X587" s="20" t="str">
        <v>Warm</v>
      </c>
      <c r="Y587" s="20">
        <v>0</v>
      </c>
    </row>
    <row r="588" spans="1:25" ht="15" customHeight="1" x14ac:dyDescent="0.25">
      <c r="A588" s="3"/>
      <c r="B588" s="3"/>
      <c r="C588" s="3"/>
      <c r="D588" s="3"/>
      <c r="E588" s="3"/>
      <c r="F588" s="3"/>
      <c r="G588" s="3"/>
      <c r="H588" s="3"/>
      <c r="I588" s="3"/>
      <c r="J588" s="3"/>
      <c r="K588" s="20">
        <v>24943</v>
      </c>
      <c r="L588" s="20" t="str">
        <v>2+ Cars</v>
      </c>
      <c r="M588" s="20" t="str">
        <v>61+</v>
      </c>
      <c r="N588" s="20" t="str">
        <v>10+ Miles</v>
      </c>
      <c r="O588" s="20">
        <v>3</v>
      </c>
      <c r="P588" s="20" t="str">
        <v>Bachelors</v>
      </c>
      <c r="Q588" s="20" t="str">
        <v>North America</v>
      </c>
      <c r="R588" s="20" t="str">
        <v>Married</v>
      </c>
      <c r="S588" s="20" t="str">
        <v>$40k-60k</v>
      </c>
      <c r="T588" s="89">
        <v>0.41876403417427727</v>
      </c>
      <c r="U588" s="91">
        <v>28.392838619630879</v>
      </c>
      <c r="V588" s="49">
        <v>899</v>
      </c>
      <c r="W588" s="20">
        <v>9</v>
      </c>
      <c r="X588" s="20" t="str">
        <v>Cold</v>
      </c>
      <c r="Y588" s="20">
        <v>0</v>
      </c>
    </row>
    <row r="589" spans="1:25" ht="15" customHeight="1" x14ac:dyDescent="0.25">
      <c r="A589" s="3"/>
      <c r="B589" s="3"/>
      <c r="C589" s="3"/>
      <c r="D589" s="3"/>
      <c r="E589" s="3"/>
      <c r="F589" s="3"/>
      <c r="G589" s="3"/>
      <c r="H589" s="3"/>
      <c r="I589" s="3"/>
      <c r="J589" s="3"/>
      <c r="K589" s="20">
        <v>28667</v>
      </c>
      <c r="L589" s="20" t="str">
        <v>0-1 Cars</v>
      </c>
      <c r="M589" s="20" t="str">
        <v>31-40</v>
      </c>
      <c r="N589" s="20" t="str">
        <v>0-1 Miles</v>
      </c>
      <c r="O589" s="20">
        <v>2</v>
      </c>
      <c r="P589" s="20" t="str">
        <v>Bachelors</v>
      </c>
      <c r="Q589" s="20" t="str">
        <v>North America</v>
      </c>
      <c r="R589" s="20" t="str">
        <v>Single</v>
      </c>
      <c r="S589" s="20" t="str">
        <v>$70k-90k</v>
      </c>
      <c r="T589" s="89">
        <v>0.53851108789253765</v>
      </c>
      <c r="U589" s="91">
        <v>86.452619808844446</v>
      </c>
      <c r="V589" s="49">
        <v>123</v>
      </c>
      <c r="W589" s="20">
        <v>2</v>
      </c>
      <c r="X589" s="20" t="str">
        <v>Hot</v>
      </c>
      <c r="Y589" s="20">
        <v>1</v>
      </c>
    </row>
    <row r="590" spans="1:25" ht="15" customHeight="1" x14ac:dyDescent="0.25">
      <c r="A590" s="3"/>
      <c r="B590" s="3"/>
      <c r="C590" s="3"/>
      <c r="D590" s="3"/>
      <c r="E590" s="3"/>
      <c r="F590" s="3"/>
      <c r="G590" s="3"/>
      <c r="H590" s="3"/>
      <c r="I590" s="3"/>
      <c r="J590" s="3"/>
      <c r="K590" s="20">
        <v>15194</v>
      </c>
      <c r="L590" s="20" t="str">
        <v>2+ Cars</v>
      </c>
      <c r="M590" s="20" t="str">
        <v>31-40</v>
      </c>
      <c r="N590" s="20" t="str">
        <v>0-1 Miles</v>
      </c>
      <c r="O590" s="20">
        <v>2</v>
      </c>
      <c r="P590" s="20" t="str">
        <v>Bachelors</v>
      </c>
      <c r="Q590" s="20" t="str">
        <v>North America</v>
      </c>
      <c r="R590" s="20" t="str">
        <v>Single</v>
      </c>
      <c r="S590" s="20" t="str">
        <v>$100k+</v>
      </c>
      <c r="T590" s="89">
        <v>0.49894456861667935</v>
      </c>
      <c r="U590" s="91">
        <v>67.26865343769667</v>
      </c>
      <c r="V590" s="49">
        <v>380</v>
      </c>
      <c r="W590" s="20">
        <v>4</v>
      </c>
      <c r="X590" s="20" t="str">
        <v>Warm</v>
      </c>
      <c r="Y590" s="20">
        <v>1</v>
      </c>
    </row>
    <row r="591" spans="1:25" ht="15" customHeight="1" x14ac:dyDescent="0.25">
      <c r="A591" s="3"/>
      <c r="B591" s="3"/>
      <c r="C591" s="3"/>
      <c r="D591" s="3"/>
      <c r="E591" s="3"/>
      <c r="F591" s="3"/>
      <c r="G591" s="3"/>
      <c r="H591" s="3"/>
      <c r="I591" s="3"/>
      <c r="J591" s="3"/>
      <c r="K591" s="20">
        <v>17436</v>
      </c>
      <c r="L591" s="20" t="str">
        <v>2+ Cars</v>
      </c>
      <c r="M591" s="20" t="str">
        <v>51-60</v>
      </c>
      <c r="N591" s="20" t="str">
        <v>1-2 Miles</v>
      </c>
      <c r="O591" s="20">
        <v>2</v>
      </c>
      <c r="P591" s="20" t="str">
        <v>High School</v>
      </c>
      <c r="Q591" s="20" t="str">
        <v>North America</v>
      </c>
      <c r="R591" s="20" t="str">
        <v>Married</v>
      </c>
      <c r="S591" s="20" t="str">
        <v>$40k-60k</v>
      </c>
      <c r="T591" s="89">
        <v>0.44133955021572735</v>
      </c>
      <c r="U591" s="91">
        <v>39.338657167150579</v>
      </c>
      <c r="V591" s="49">
        <v>783</v>
      </c>
      <c r="W591" s="20">
        <v>8</v>
      </c>
      <c r="X591" s="20" t="str">
        <v>Cold</v>
      </c>
      <c r="Y591" s="20">
        <v>0</v>
      </c>
    </row>
    <row r="592" spans="1:25" ht="15" customHeight="1" x14ac:dyDescent="0.25">
      <c r="A592" s="3"/>
      <c r="B592" s="3"/>
      <c r="C592" s="3"/>
      <c r="D592" s="3"/>
      <c r="E592" s="3"/>
      <c r="F592" s="3"/>
      <c r="G592" s="3"/>
      <c r="H592" s="3"/>
      <c r="I592" s="3"/>
      <c r="J592" s="3"/>
      <c r="K592" s="20">
        <v>18935</v>
      </c>
      <c r="L592" s="20" t="str">
        <v>2+ Cars</v>
      </c>
      <c r="M592" s="20" t="str">
        <v>31-40</v>
      </c>
      <c r="N592" s="20" t="str">
        <v>1-2 Miles</v>
      </c>
      <c r="O592" s="20">
        <v>0</v>
      </c>
      <c r="P592" s="20" t="str">
        <v>Graduate Degree</v>
      </c>
      <c r="Q592" s="20" t="str">
        <v>North America</v>
      </c>
      <c r="R592" s="20" t="str">
        <v>Married</v>
      </c>
      <c r="S592" s="20" t="str">
        <v>$100k+</v>
      </c>
      <c r="T592" s="89">
        <v>0.48040455965869516</v>
      </c>
      <c r="U592" s="91">
        <v>58.279464727640949</v>
      </c>
      <c r="V592" s="49">
        <v>511</v>
      </c>
      <c r="W592" s="20">
        <v>6</v>
      </c>
      <c r="X592" s="20" t="str">
        <v>Warm</v>
      </c>
      <c r="Y592" s="20">
        <v>0</v>
      </c>
    </row>
    <row r="593" spans="1:25" ht="15" customHeight="1" x14ac:dyDescent="0.25">
      <c r="A593" s="3"/>
      <c r="B593" s="3"/>
      <c r="C593" s="3"/>
      <c r="D593" s="3"/>
      <c r="E593" s="3"/>
      <c r="F593" s="3"/>
      <c r="G593" s="3"/>
      <c r="H593" s="3"/>
      <c r="I593" s="3"/>
      <c r="J593" s="3"/>
      <c r="K593" s="20">
        <v>16871</v>
      </c>
      <c r="L593" s="20" t="str">
        <v>0-1 Cars</v>
      </c>
      <c r="M593" s="20" t="str">
        <v>51-60</v>
      </c>
      <c r="N593" s="20" t="str">
        <v>10+ Miles</v>
      </c>
      <c r="O593" s="20">
        <v>2</v>
      </c>
      <c r="P593" s="20" t="str">
        <v>High School</v>
      </c>
      <c r="Q593" s="20" t="str">
        <v>North America</v>
      </c>
      <c r="R593" s="20" t="str">
        <v>Married</v>
      </c>
      <c r="S593" s="20" t="str">
        <v>$70k-90k</v>
      </c>
      <c r="T593" s="89">
        <v>0.45424721844243932</v>
      </c>
      <c r="U593" s="91">
        <v>45.596985615623979</v>
      </c>
      <c r="V593" s="49">
        <v>710</v>
      </c>
      <c r="W593" s="20">
        <v>8</v>
      </c>
      <c r="X593" s="20" t="str">
        <v>Cold</v>
      </c>
      <c r="Y593" s="20">
        <v>1</v>
      </c>
    </row>
    <row r="594" spans="1:25" ht="15" customHeight="1" x14ac:dyDescent="0.25">
      <c r="A594" s="3"/>
      <c r="B594" s="3"/>
      <c r="C594" s="3"/>
      <c r="D594" s="3"/>
      <c r="E594" s="3"/>
      <c r="F594" s="3"/>
      <c r="G594" s="3"/>
      <c r="H594" s="3"/>
      <c r="I594" s="3"/>
      <c r="J594" s="3"/>
      <c r="K594" s="20">
        <v>12100</v>
      </c>
      <c r="L594" s="20" t="str">
        <v>0-1 Cars</v>
      </c>
      <c r="M594" s="20" t="str">
        <v>51-60</v>
      </c>
      <c r="N594" s="20" t="str">
        <v>10+ Miles</v>
      </c>
      <c r="O594" s="20">
        <v>2</v>
      </c>
      <c r="P594" s="20" t="str">
        <v>Bachelors</v>
      </c>
      <c r="Q594" s="20" t="str">
        <v>North America</v>
      </c>
      <c r="R594" s="20" t="str">
        <v>Single</v>
      </c>
      <c r="S594" s="20" t="str">
        <v>$40k-60k</v>
      </c>
      <c r="T594" s="89">
        <v>0.48060342847159654</v>
      </c>
      <c r="U594" s="91">
        <v>58.375886972730825</v>
      </c>
      <c r="V594" s="49">
        <v>505</v>
      </c>
      <c r="W594" s="20">
        <v>6</v>
      </c>
      <c r="X594" s="20" t="str">
        <v>Warm</v>
      </c>
      <c r="Y594" s="20">
        <v>0</v>
      </c>
    </row>
    <row r="595" spans="1:25" ht="15" customHeight="1" x14ac:dyDescent="0.25">
      <c r="A595" s="3"/>
      <c r="B595" s="3"/>
      <c r="C595" s="3"/>
      <c r="D595" s="3"/>
      <c r="E595" s="3"/>
      <c r="F595" s="3"/>
      <c r="G595" s="3"/>
      <c r="H595" s="3"/>
      <c r="I595" s="3"/>
      <c r="J595" s="3"/>
      <c r="K595" s="20">
        <v>23158</v>
      </c>
      <c r="L595" s="20" t="str">
        <v>0-1 Cars</v>
      </c>
      <c r="M595" s="20" t="str">
        <v>31-40</v>
      </c>
      <c r="N595" s="20" t="str">
        <v>0-1 Miles</v>
      </c>
      <c r="O595" s="20">
        <v>1</v>
      </c>
      <c r="P595" s="20" t="str">
        <v>Graduate Degree</v>
      </c>
      <c r="Q595" s="20" t="str">
        <v>North America</v>
      </c>
      <c r="R595" s="20" t="str">
        <v>Married</v>
      </c>
      <c r="S595" s="20" t="str">
        <v>$40k-60k</v>
      </c>
      <c r="T595" s="89">
        <v>0.54558089771654972</v>
      </c>
      <c r="U595" s="91">
        <v>89.880442028147186</v>
      </c>
      <c r="V595" s="49">
        <v>73</v>
      </c>
      <c r="W595" s="20">
        <v>1</v>
      </c>
      <c r="X595" s="20" t="str">
        <v>Hot</v>
      </c>
      <c r="Y595" s="20">
        <v>1</v>
      </c>
    </row>
    <row r="596" spans="1:25" ht="15" customHeight="1" x14ac:dyDescent="0.25">
      <c r="A596" s="3"/>
      <c r="B596" s="3"/>
      <c r="C596" s="3"/>
      <c r="D596" s="3"/>
      <c r="E596" s="3"/>
      <c r="F596" s="3"/>
      <c r="G596" s="3"/>
      <c r="H596" s="3"/>
      <c r="I596" s="3"/>
      <c r="J596" s="3"/>
      <c r="K596" s="20">
        <v>18545</v>
      </c>
      <c r="L596" s="20" t="str">
        <v>2+ Cars</v>
      </c>
      <c r="M596" s="20" t="str">
        <v>61+</v>
      </c>
      <c r="N596" s="20" t="str">
        <v>10+ Miles</v>
      </c>
      <c r="O596" s="20">
        <v>4</v>
      </c>
      <c r="P596" s="20" t="str">
        <v>High School</v>
      </c>
      <c r="Q596" s="20" t="str">
        <v>North America</v>
      </c>
      <c r="R596" s="20" t="str">
        <v>Married</v>
      </c>
      <c r="S596" s="20" t="str">
        <v>$40k-60k</v>
      </c>
      <c r="T596" s="89">
        <v>0.38889437054735448</v>
      </c>
      <c r="U596" s="91">
        <v>13.910426898213354</v>
      </c>
      <c r="V596" s="49">
        <v>987</v>
      </c>
      <c r="W596" s="20">
        <v>10</v>
      </c>
      <c r="X596" s="20" t="str">
        <v>Cold</v>
      </c>
      <c r="Y596" s="20">
        <v>1</v>
      </c>
    </row>
    <row r="597" spans="1:25" ht="15" customHeight="1" x14ac:dyDescent="0.25">
      <c r="A597" s="3"/>
      <c r="B597" s="3"/>
      <c r="C597" s="3"/>
      <c r="D597" s="3"/>
      <c r="E597" s="3"/>
      <c r="F597" s="3"/>
      <c r="G597" s="3"/>
      <c r="H597" s="3"/>
      <c r="I597" s="3"/>
      <c r="J597" s="3"/>
      <c r="K597" s="20">
        <v>18391</v>
      </c>
      <c r="L597" s="20" t="str">
        <v>2+ Cars</v>
      </c>
      <c r="M597" s="20" t="str">
        <v>41-50</v>
      </c>
      <c r="N597" s="20" t="str">
        <v>5-10 Miles</v>
      </c>
      <c r="O597" s="20">
        <v>5</v>
      </c>
      <c r="P597" s="20" t="str">
        <v>Partial College</v>
      </c>
      <c r="Q597" s="20" t="str">
        <v>North America</v>
      </c>
      <c r="R597" s="20" t="str">
        <v>Single</v>
      </c>
      <c r="S597" s="20" t="str">
        <v>$70k-90k</v>
      </c>
      <c r="T597" s="89">
        <v>0.40864767375394329</v>
      </c>
      <c r="U597" s="91">
        <v>23.487885602434051</v>
      </c>
      <c r="V597" s="49">
        <v>951</v>
      </c>
      <c r="W597" s="20">
        <v>10</v>
      </c>
      <c r="X597" s="20" t="str">
        <v>Cold</v>
      </c>
      <c r="Y597" s="20">
        <v>0</v>
      </c>
    </row>
    <row r="598" spans="1:25" ht="15" customHeight="1" x14ac:dyDescent="0.25">
      <c r="A598" s="3"/>
      <c r="B598" s="3"/>
      <c r="C598" s="3"/>
      <c r="D598" s="3"/>
      <c r="E598" s="3"/>
      <c r="F598" s="3"/>
      <c r="G598" s="3"/>
      <c r="H598" s="3"/>
      <c r="I598" s="3"/>
      <c r="J598" s="3"/>
      <c r="K598" s="20">
        <v>19812</v>
      </c>
      <c r="L598" s="20" t="str">
        <v>0-1 Cars</v>
      </c>
      <c r="M598" s="20" t="str">
        <v>41-50</v>
      </c>
      <c r="N598" s="20" t="str">
        <v>5-10 Miles</v>
      </c>
      <c r="O598" s="20">
        <v>2</v>
      </c>
      <c r="P598" s="20" t="str">
        <v>Partial College</v>
      </c>
      <c r="Q598" s="20" t="str">
        <v>North America</v>
      </c>
      <c r="R598" s="20" t="str">
        <v>Single</v>
      </c>
      <c r="S598" s="20" t="str">
        <v>$70k-90k</v>
      </c>
      <c r="T598" s="89">
        <v>0.4809928912754487</v>
      </c>
      <c r="U598" s="91">
        <v>58.564719386313172</v>
      </c>
      <c r="V598" s="49">
        <v>502</v>
      </c>
      <c r="W598" s="20">
        <v>6</v>
      </c>
      <c r="X598" s="20" t="str">
        <v>Warm</v>
      </c>
      <c r="Y598" s="20">
        <v>1</v>
      </c>
    </row>
    <row r="599" spans="1:25" ht="15" customHeight="1" x14ac:dyDescent="0.25">
      <c r="A599" s="3"/>
      <c r="B599" s="3"/>
      <c r="C599" s="3"/>
      <c r="D599" s="3"/>
      <c r="E599" s="3"/>
      <c r="F599" s="3"/>
      <c r="G599" s="3"/>
      <c r="H599" s="3"/>
      <c r="I599" s="3"/>
      <c r="J599" s="3"/>
      <c r="K599" s="20">
        <v>27660</v>
      </c>
      <c r="L599" s="20" t="str">
        <v>2+ Cars</v>
      </c>
      <c r="M599" s="20" t="str">
        <v>61+</v>
      </c>
      <c r="N599" s="20" t="str">
        <v>5-10 Miles</v>
      </c>
      <c r="O599" s="20">
        <v>4</v>
      </c>
      <c r="P599" s="20" t="str">
        <v>Graduate Degree</v>
      </c>
      <c r="Q599" s="20" t="str">
        <v>North America</v>
      </c>
      <c r="R599" s="20" t="str">
        <v>Married</v>
      </c>
      <c r="S599" s="20" t="str">
        <v>$70k-90k</v>
      </c>
      <c r="T599" s="89">
        <v>0.41236726334973389</v>
      </c>
      <c r="U599" s="91">
        <v>25.291341732163836</v>
      </c>
      <c r="V599" s="49">
        <v>935</v>
      </c>
      <c r="W599" s="20">
        <v>10</v>
      </c>
      <c r="X599" s="20" t="str">
        <v>Cold</v>
      </c>
      <c r="Y599" s="20">
        <v>0</v>
      </c>
    </row>
    <row r="600" spans="1:25" ht="15" customHeight="1" x14ac:dyDescent="0.25">
      <c r="A600" s="3"/>
      <c r="B600" s="3"/>
      <c r="C600" s="3"/>
      <c r="D600" s="3"/>
      <c r="E600" s="3"/>
      <c r="F600" s="3"/>
      <c r="G600" s="3"/>
      <c r="H600" s="3"/>
      <c r="I600" s="3"/>
      <c r="J600" s="3"/>
      <c r="K600" s="20">
        <v>18058</v>
      </c>
      <c r="L600" s="20" t="str">
        <v>2+ Cars</v>
      </c>
      <c r="M600" s="20" t="str">
        <v>61+</v>
      </c>
      <c r="N600" s="20" t="str">
        <v>2-5 Miles</v>
      </c>
      <c r="O600" s="20">
        <v>3</v>
      </c>
      <c r="P600" s="20" t="str">
        <v>High School</v>
      </c>
      <c r="Q600" s="20" t="str">
        <v>North America</v>
      </c>
      <c r="R600" s="20" t="str">
        <v>Single</v>
      </c>
      <c r="S600" s="20" t="str">
        <v>$10k-30k</v>
      </c>
      <c r="T600" s="89">
        <v>0.44561397627148858</v>
      </c>
      <c r="U600" s="91">
        <v>41.411127710692028</v>
      </c>
      <c r="V600" s="49">
        <v>746</v>
      </c>
      <c r="W600" s="20">
        <v>8</v>
      </c>
      <c r="X600" s="20" t="str">
        <v>Cold</v>
      </c>
      <c r="Y600" s="20">
        <v>0</v>
      </c>
    </row>
    <row r="601" spans="1:25" ht="15" customHeight="1" x14ac:dyDescent="0.25">
      <c r="A601" s="3"/>
      <c r="B601" s="3"/>
      <c r="C601" s="3"/>
      <c r="D601" s="3"/>
      <c r="E601" s="3"/>
      <c r="F601" s="3"/>
      <c r="G601" s="3"/>
      <c r="H601" s="3"/>
      <c r="I601" s="3"/>
      <c r="J601" s="3"/>
      <c r="K601" s="20">
        <v>20343</v>
      </c>
      <c r="L601" s="20" t="str">
        <v>0-1 Cars</v>
      </c>
      <c r="M601" s="20" t="str">
        <v>41-50</v>
      </c>
      <c r="N601" s="20" t="str">
        <v>1-2 Miles</v>
      </c>
      <c r="O601" s="20">
        <v>4</v>
      </c>
      <c r="P601" s="20" t="str">
        <v>Partial College</v>
      </c>
      <c r="Q601" s="20" t="str">
        <v>North America</v>
      </c>
      <c r="R601" s="20" t="str">
        <v>Married</v>
      </c>
      <c r="S601" s="20" t="str">
        <v>$70k-90k</v>
      </c>
      <c r="T601" s="89">
        <v>0.47499836259282963</v>
      </c>
      <c r="U601" s="91">
        <v>55.658251019549056</v>
      </c>
      <c r="V601" s="49">
        <v>538</v>
      </c>
      <c r="W601" s="20">
        <v>6</v>
      </c>
      <c r="X601" s="20" t="str">
        <v>Warm</v>
      </c>
      <c r="Y601" s="20">
        <v>0</v>
      </c>
    </row>
    <row r="602" spans="1:25" ht="15" customHeight="1" x14ac:dyDescent="0.25">
      <c r="A602" s="3"/>
      <c r="B602" s="3"/>
      <c r="C602" s="3"/>
      <c r="D602" s="3"/>
      <c r="E602" s="3"/>
      <c r="F602" s="3"/>
      <c r="G602" s="3"/>
      <c r="H602" s="3"/>
      <c r="I602" s="3"/>
      <c r="J602" s="3"/>
      <c r="K602" s="20">
        <v>28997</v>
      </c>
      <c r="L602" s="20" t="str">
        <v>0-1 Cars</v>
      </c>
      <c r="M602" s="20" t="str">
        <v>51-60</v>
      </c>
      <c r="N602" s="20" t="str">
        <v>2-5 Miles</v>
      </c>
      <c r="O602" s="20">
        <v>2</v>
      </c>
      <c r="P602" s="20" t="str">
        <v>High School</v>
      </c>
      <c r="Q602" s="20" t="str">
        <v>North America</v>
      </c>
      <c r="R602" s="20" t="str">
        <v>Single</v>
      </c>
      <c r="S602" s="20" t="str">
        <v>$40k-60k</v>
      </c>
      <c r="T602" s="89">
        <v>0.50860071070023516</v>
      </c>
      <c r="U602" s="91">
        <v>71.950467971708164</v>
      </c>
      <c r="V602" s="49">
        <v>329</v>
      </c>
      <c r="W602" s="20">
        <v>4</v>
      </c>
      <c r="X602" s="20" t="str">
        <v>Warm</v>
      </c>
      <c r="Y602" s="20">
        <v>1</v>
      </c>
    </row>
    <row r="603" spans="1:25" ht="15" customHeight="1" x14ac:dyDescent="0.25">
      <c r="A603" s="3"/>
      <c r="B603" s="3"/>
      <c r="C603" s="3"/>
      <c r="D603" s="3"/>
      <c r="E603" s="3"/>
      <c r="F603" s="3"/>
      <c r="G603" s="3"/>
      <c r="H603" s="3"/>
      <c r="I603" s="3"/>
      <c r="J603" s="3"/>
      <c r="K603" s="20">
        <v>24398</v>
      </c>
      <c r="L603" s="20" t="str">
        <v>2+ Cars</v>
      </c>
      <c r="M603" s="20" t="str">
        <v>41-50</v>
      </c>
      <c r="N603" s="20" t="str">
        <v>0-1 Miles</v>
      </c>
      <c r="O603" s="20">
        <v>1</v>
      </c>
      <c r="P603" s="20" t="str">
        <v>Graduate Degree</v>
      </c>
      <c r="Q603" s="20" t="str">
        <v>North America</v>
      </c>
      <c r="R603" s="20" t="str">
        <v>Married</v>
      </c>
      <c r="S603" s="20" t="str">
        <v>$100k+</v>
      </c>
      <c r="T603" s="89">
        <v>0.48001887884600764</v>
      </c>
      <c r="U603" s="91">
        <v>58.092466025808996</v>
      </c>
      <c r="V603" s="49">
        <v>514</v>
      </c>
      <c r="W603" s="20">
        <v>6</v>
      </c>
      <c r="X603" s="20" t="str">
        <v>Warm</v>
      </c>
      <c r="Y603" s="20">
        <v>0</v>
      </c>
    </row>
    <row r="604" spans="1:25" ht="15" customHeight="1" x14ac:dyDescent="0.25">
      <c r="A604" s="3"/>
      <c r="B604" s="3"/>
      <c r="C604" s="3"/>
      <c r="D604" s="3"/>
      <c r="E604" s="3"/>
      <c r="F604" s="3"/>
      <c r="G604" s="3"/>
      <c r="H604" s="3"/>
      <c r="I604" s="3"/>
      <c r="J604" s="3"/>
      <c r="K604" s="20">
        <v>19002</v>
      </c>
      <c r="L604" s="20" t="str">
        <v>0-1 Cars</v>
      </c>
      <c r="M604" s="20" t="str">
        <v>51-60</v>
      </c>
      <c r="N604" s="20" t="str">
        <v>2-5 Miles</v>
      </c>
      <c r="O604" s="20">
        <v>2</v>
      </c>
      <c r="P604" s="20" t="str">
        <v>Partial College</v>
      </c>
      <c r="Q604" s="20" t="str">
        <v>North America</v>
      </c>
      <c r="R604" s="20" t="str">
        <v>Married</v>
      </c>
      <c r="S604" s="20" t="str">
        <v>$40k-60k</v>
      </c>
      <c r="T604" s="89">
        <v>0.49987634424618638</v>
      </c>
      <c r="U604" s="91">
        <v>67.720428136837924</v>
      </c>
      <c r="V604" s="49">
        <v>377</v>
      </c>
      <c r="W604" s="20">
        <v>4</v>
      </c>
      <c r="X604" s="20" t="str">
        <v>Warm</v>
      </c>
      <c r="Y604" s="20">
        <v>1</v>
      </c>
    </row>
    <row r="605" spans="1:25" ht="15" customHeight="1" x14ac:dyDescent="0.25">
      <c r="A605" s="3"/>
      <c r="B605" s="3"/>
      <c r="C605" s="3"/>
      <c r="D605" s="3"/>
      <c r="E605" s="3"/>
      <c r="F605" s="3"/>
      <c r="G605" s="3"/>
      <c r="H605" s="3"/>
      <c r="I605" s="3"/>
      <c r="J605" s="3"/>
      <c r="K605" s="20">
        <v>28609</v>
      </c>
      <c r="L605" s="20" t="str">
        <v>2+ Cars</v>
      </c>
      <c r="M605" s="20" t="str">
        <v>41-50</v>
      </c>
      <c r="N605" s="20" t="str">
        <v>0-1 Miles</v>
      </c>
      <c r="O605" s="20">
        <v>2</v>
      </c>
      <c r="P605" s="20" t="str">
        <v>High School</v>
      </c>
      <c r="Q605" s="20" t="str">
        <v>North America</v>
      </c>
      <c r="R605" s="20" t="str">
        <v>Married</v>
      </c>
      <c r="S605" s="20" t="str">
        <v>$10k-30k</v>
      </c>
      <c r="T605" s="89">
        <v>0.44551594449257548</v>
      </c>
      <c r="U605" s="91">
        <v>41.363596657053954</v>
      </c>
      <c r="V605" s="49">
        <v>752</v>
      </c>
      <c r="W605" s="20">
        <v>8</v>
      </c>
      <c r="X605" s="20" t="str">
        <v>Cold</v>
      </c>
      <c r="Y605" s="20">
        <v>0</v>
      </c>
    </row>
    <row r="606" spans="1:25" ht="15" customHeight="1" x14ac:dyDescent="0.25">
      <c r="A606" s="3"/>
      <c r="B606" s="3"/>
      <c r="C606" s="3"/>
      <c r="D606" s="3"/>
      <c r="E606" s="3"/>
      <c r="F606" s="3"/>
      <c r="G606" s="3"/>
      <c r="H606" s="3"/>
      <c r="I606" s="3"/>
      <c r="J606" s="3"/>
      <c r="K606" s="20">
        <v>29231</v>
      </c>
      <c r="L606" s="20" t="str">
        <v>2+ Cars</v>
      </c>
      <c r="M606" s="20" t="str">
        <v>41-50</v>
      </c>
      <c r="N606" s="20" t="str">
        <v>0-1 Miles</v>
      </c>
      <c r="O606" s="20">
        <v>4</v>
      </c>
      <c r="P606" s="20" t="str">
        <v>Partial College</v>
      </c>
      <c r="Q606" s="20" t="str">
        <v>North America</v>
      </c>
      <c r="R606" s="20" t="str">
        <v>Single</v>
      </c>
      <c r="S606" s="20" t="str">
        <v>$70k-90k</v>
      </c>
      <c r="T606" s="89">
        <v>0.45906610262424113</v>
      </c>
      <c r="U606" s="91">
        <v>47.933438601180079</v>
      </c>
      <c r="V606" s="49">
        <v>655</v>
      </c>
      <c r="W606" s="20">
        <v>7</v>
      </c>
      <c r="X606" s="20" t="str">
        <v>Cold</v>
      </c>
      <c r="Y606" s="20">
        <v>0</v>
      </c>
    </row>
    <row r="607" spans="1:25" ht="15" customHeight="1" x14ac:dyDescent="0.25">
      <c r="A607" s="3"/>
      <c r="B607" s="3"/>
      <c r="C607" s="3"/>
      <c r="D607" s="3"/>
      <c r="E607" s="3"/>
      <c r="F607" s="3"/>
      <c r="G607" s="3"/>
      <c r="H607" s="3"/>
      <c r="I607" s="3"/>
      <c r="J607" s="3"/>
      <c r="K607" s="20">
        <v>18858</v>
      </c>
      <c r="L607" s="20" t="str">
        <v>2+ Cars</v>
      </c>
      <c r="M607" s="20" t="str">
        <v>51-60</v>
      </c>
      <c r="N607" s="20" t="str">
        <v>5-10 Miles</v>
      </c>
      <c r="O607" s="20">
        <v>2</v>
      </c>
      <c r="P607" s="20" t="str">
        <v>Partial High School</v>
      </c>
      <c r="Q607" s="20" t="str">
        <v>North America</v>
      </c>
      <c r="R607" s="20" t="str">
        <v>Single</v>
      </c>
      <c r="S607" s="20" t="str">
        <v>$40k-60k</v>
      </c>
      <c r="T607" s="89">
        <v>0.4203688470955354</v>
      </c>
      <c r="U607" s="91">
        <v>29.170937822614956</v>
      </c>
      <c r="V607" s="49">
        <v>888</v>
      </c>
      <c r="W607" s="20">
        <v>9</v>
      </c>
      <c r="X607" s="20" t="str">
        <v>Cold</v>
      </c>
      <c r="Y607" s="20">
        <v>1</v>
      </c>
    </row>
    <row r="608" spans="1:25" ht="15" customHeight="1" x14ac:dyDescent="0.25">
      <c r="A608" s="3"/>
      <c r="B608" s="3"/>
      <c r="C608" s="3"/>
      <c r="D608" s="3"/>
      <c r="E608" s="3"/>
      <c r="F608" s="3"/>
      <c r="G608" s="3"/>
      <c r="H608" s="3"/>
      <c r="I608" s="3"/>
      <c r="J608" s="3"/>
      <c r="K608" s="20">
        <v>20000</v>
      </c>
      <c r="L608" s="20" t="str">
        <v>0-1 Cars</v>
      </c>
      <c r="M608" s="20" t="str">
        <v>31-40</v>
      </c>
      <c r="N608" s="20" t="str">
        <v>0-1 Miles</v>
      </c>
      <c r="O608" s="20">
        <v>1</v>
      </c>
      <c r="P608" s="20" t="str">
        <v>Graduate Degree</v>
      </c>
      <c r="Q608" s="20" t="str">
        <v>North America</v>
      </c>
      <c r="R608" s="20" t="str">
        <v>Married</v>
      </c>
      <c r="S608" s="20" t="str">
        <v>$40k-60k</v>
      </c>
      <c r="T608" s="89">
        <v>0.54558089771654972</v>
      </c>
      <c r="U608" s="91">
        <v>89.880442028147186</v>
      </c>
      <c r="V608" s="49">
        <v>72</v>
      </c>
      <c r="W608" s="20">
        <v>1</v>
      </c>
      <c r="X608" s="20" t="str">
        <v>Hot</v>
      </c>
      <c r="Y608" s="20">
        <v>1</v>
      </c>
    </row>
    <row r="609" spans="1:25" ht="15" customHeight="1" x14ac:dyDescent="0.25">
      <c r="A609" s="3"/>
      <c r="B609" s="3"/>
      <c r="C609" s="3"/>
      <c r="D609" s="3"/>
      <c r="E609" s="3"/>
      <c r="F609" s="3"/>
      <c r="G609" s="3"/>
      <c r="H609" s="3"/>
      <c r="I609" s="3"/>
      <c r="J609" s="3"/>
      <c r="K609" s="20">
        <v>25261</v>
      </c>
      <c r="L609" s="20" t="str">
        <v>2+ Cars</v>
      </c>
      <c r="M609" s="20" t="str">
        <v>25-30</v>
      </c>
      <c r="N609" s="20" t="str">
        <v>5-10 Miles</v>
      </c>
      <c r="O609" s="20">
        <v>0</v>
      </c>
      <c r="P609" s="20" t="str">
        <v>High School</v>
      </c>
      <c r="Q609" s="20" t="str">
        <v>North America</v>
      </c>
      <c r="R609" s="20" t="str">
        <v>Married</v>
      </c>
      <c r="S609" s="20" t="str">
        <v>$40k-60k</v>
      </c>
      <c r="T609" s="89">
        <v>0.42248750750397268</v>
      </c>
      <c r="U609" s="91">
        <v>30.198177791437342</v>
      </c>
      <c r="V609" s="49">
        <v>871</v>
      </c>
      <c r="W609" s="20">
        <v>9</v>
      </c>
      <c r="X609" s="20" t="str">
        <v>Cold</v>
      </c>
      <c r="Y609" s="20">
        <v>0</v>
      </c>
    </row>
    <row r="610" spans="1:25" ht="15" customHeight="1" x14ac:dyDescent="0.25">
      <c r="A610" s="3"/>
      <c r="B610" s="3"/>
      <c r="C610" s="3"/>
      <c r="D610" s="3"/>
      <c r="E610" s="3"/>
      <c r="F610" s="3"/>
      <c r="G610" s="3"/>
      <c r="H610" s="3"/>
      <c r="I610" s="3"/>
      <c r="J610" s="3"/>
      <c r="K610" s="20">
        <v>17458</v>
      </c>
      <c r="L610" s="20" t="str">
        <v>0-1 Cars</v>
      </c>
      <c r="M610" s="20" t="str">
        <v>51-60</v>
      </c>
      <c r="N610" s="20" t="str">
        <v>5-10 Miles</v>
      </c>
      <c r="O610" s="20">
        <v>3</v>
      </c>
      <c r="P610" s="20" t="str">
        <v>High School</v>
      </c>
      <c r="Q610" s="20" t="str">
        <v>North America</v>
      </c>
      <c r="R610" s="20" t="str">
        <v>Single</v>
      </c>
      <c r="S610" s="20" t="str">
        <v>$70k-90k</v>
      </c>
      <c r="T610" s="89">
        <v>0.48935540310550185</v>
      </c>
      <c r="U610" s="91">
        <v>62.619312730943058</v>
      </c>
      <c r="V610" s="49">
        <v>455</v>
      </c>
      <c r="W610" s="20">
        <v>5</v>
      </c>
      <c r="X610" s="20" t="str">
        <v>Warm</v>
      </c>
      <c r="Y610" s="20">
        <v>1</v>
      </c>
    </row>
    <row r="611" spans="1:25" ht="15" customHeight="1" x14ac:dyDescent="0.25">
      <c r="A611" s="3"/>
      <c r="B611" s="3"/>
      <c r="C611" s="3"/>
      <c r="D611" s="3"/>
      <c r="E611" s="3"/>
      <c r="F611" s="3"/>
      <c r="G611" s="3"/>
      <c r="H611" s="3"/>
      <c r="I611" s="3"/>
      <c r="J611" s="3"/>
      <c r="K611" s="20">
        <v>11644</v>
      </c>
      <c r="L611" s="20" t="str">
        <v>0-1 Cars</v>
      </c>
      <c r="M611" s="20" t="str">
        <v>31-40</v>
      </c>
      <c r="N611" s="20" t="str">
        <v>2-5 Miles</v>
      </c>
      <c r="O611" s="20">
        <v>2</v>
      </c>
      <c r="P611" s="20" t="str">
        <v>Bachelors</v>
      </c>
      <c r="Q611" s="20" t="str">
        <v>North America</v>
      </c>
      <c r="R611" s="20" t="str">
        <v>Single</v>
      </c>
      <c r="S611" s="20" t="str">
        <v>$40k-60k</v>
      </c>
      <c r="T611" s="89">
        <v>0.54724274216882418</v>
      </c>
      <c r="U611" s="91">
        <v>90.68619317002144</v>
      </c>
      <c r="V611" s="49">
        <v>56</v>
      </c>
      <c r="W611" s="20">
        <v>1</v>
      </c>
      <c r="X611" s="20" t="str">
        <v>Hot</v>
      </c>
      <c r="Y611" s="20">
        <v>0</v>
      </c>
    </row>
    <row r="612" spans="1:25" ht="15" customHeight="1" x14ac:dyDescent="0.25">
      <c r="A612" s="3"/>
      <c r="B612" s="3"/>
      <c r="C612" s="3"/>
      <c r="D612" s="3"/>
      <c r="E612" s="3"/>
      <c r="F612" s="3"/>
      <c r="G612" s="3"/>
      <c r="H612" s="3"/>
      <c r="I612" s="3"/>
      <c r="J612" s="3"/>
      <c r="K612" s="20">
        <v>16145</v>
      </c>
      <c r="L612" s="20" t="str">
        <v>2+ Cars</v>
      </c>
      <c r="M612" s="20" t="str">
        <v>41-50</v>
      </c>
      <c r="N612" s="20" t="str">
        <v>10+ Miles</v>
      </c>
      <c r="O612" s="20">
        <v>5</v>
      </c>
      <c r="P612" s="20" t="str">
        <v>Graduate Degree</v>
      </c>
      <c r="Q612" s="20" t="str">
        <v>North America</v>
      </c>
      <c r="R612" s="20" t="str">
        <v>Single</v>
      </c>
      <c r="S612" s="20" t="str">
        <v>$70k-90k</v>
      </c>
      <c r="T612" s="89">
        <v>0.40570137596794908</v>
      </c>
      <c r="U612" s="91">
        <v>22.05936273309015</v>
      </c>
      <c r="V612" s="49">
        <v>956</v>
      </c>
      <c r="W612" s="20">
        <v>10</v>
      </c>
      <c r="X612" s="20" t="str">
        <v>Cold</v>
      </c>
      <c r="Y612" s="20">
        <v>1</v>
      </c>
    </row>
    <row r="613" spans="1:25" ht="15" customHeight="1" x14ac:dyDescent="0.25">
      <c r="A613" s="3"/>
      <c r="B613" s="3"/>
      <c r="C613" s="3"/>
      <c r="D613" s="3"/>
      <c r="E613" s="3"/>
      <c r="F613" s="3"/>
      <c r="G613" s="3"/>
      <c r="H613" s="3"/>
      <c r="I613" s="3"/>
      <c r="J613" s="3"/>
      <c r="K613" s="20">
        <v>16890</v>
      </c>
      <c r="L613" s="20" t="str">
        <v>2+ Cars</v>
      </c>
      <c r="M613" s="20" t="str">
        <v>51-60</v>
      </c>
      <c r="N613" s="20" t="str">
        <v>5-10 Miles</v>
      </c>
      <c r="O613" s="20">
        <v>3</v>
      </c>
      <c r="P613" s="20" t="str">
        <v>Partial High School</v>
      </c>
      <c r="Q613" s="20" t="str">
        <v>North America</v>
      </c>
      <c r="R613" s="20" t="str">
        <v>Married</v>
      </c>
      <c r="S613" s="20" t="str">
        <v>$40k-60k</v>
      </c>
      <c r="T613" s="89">
        <v>0.42190562274534177</v>
      </c>
      <c r="U613" s="91">
        <v>29.916048914655651</v>
      </c>
      <c r="V613" s="49">
        <v>880</v>
      </c>
      <c r="W613" s="20">
        <v>9</v>
      </c>
      <c r="X613" s="20" t="str">
        <v>Cold</v>
      </c>
      <c r="Y613" s="20">
        <v>1</v>
      </c>
    </row>
    <row r="614" spans="1:25" ht="15" customHeight="1" x14ac:dyDescent="0.25">
      <c r="A614" s="3"/>
      <c r="B614" s="3"/>
      <c r="C614" s="3"/>
      <c r="D614" s="3"/>
      <c r="E614" s="3"/>
      <c r="F614" s="3"/>
      <c r="G614" s="3"/>
      <c r="H614" s="3"/>
      <c r="I614" s="3"/>
      <c r="J614" s="3"/>
      <c r="K614" s="20">
        <v>25983</v>
      </c>
      <c r="L614" s="20" t="str">
        <v>0-1 Cars</v>
      </c>
      <c r="M614" s="20" t="str">
        <v>41-50</v>
      </c>
      <c r="N614" s="20" t="str">
        <v>0-1 Miles</v>
      </c>
      <c r="O614" s="20">
        <v>0</v>
      </c>
      <c r="P614" s="20" t="str">
        <v>Bachelors</v>
      </c>
      <c r="Q614" s="20" t="str">
        <v>North America</v>
      </c>
      <c r="R614" s="20" t="str">
        <v>Married</v>
      </c>
      <c r="S614" s="20" t="str">
        <v>$70k-90k</v>
      </c>
      <c r="T614" s="89">
        <v>0.5115341914381123</v>
      </c>
      <c r="U614" s="91">
        <v>73.372776450083251</v>
      </c>
      <c r="V614" s="49">
        <v>309</v>
      </c>
      <c r="W614" s="20">
        <v>4</v>
      </c>
      <c r="X614" s="20" t="str">
        <v>Warm</v>
      </c>
      <c r="Y614" s="20">
        <v>0</v>
      </c>
    </row>
    <row r="615" spans="1:25" ht="15" customHeight="1" x14ac:dyDescent="0.25">
      <c r="A615" s="3"/>
      <c r="B615" s="3"/>
      <c r="C615" s="3"/>
      <c r="D615" s="3"/>
      <c r="E615" s="3"/>
      <c r="F615" s="3"/>
      <c r="G615" s="3"/>
      <c r="H615" s="3"/>
      <c r="I615" s="3"/>
      <c r="J615" s="3"/>
      <c r="K615" s="20">
        <v>14633</v>
      </c>
      <c r="L615" s="20" t="str">
        <v>0-1 Cars</v>
      </c>
      <c r="M615" s="20" t="str">
        <v>41-50</v>
      </c>
      <c r="N615" s="20" t="str">
        <v>2-5 Miles</v>
      </c>
      <c r="O615" s="20">
        <v>1</v>
      </c>
      <c r="P615" s="20" t="str">
        <v>Partial College</v>
      </c>
      <c r="Q615" s="20" t="str">
        <v>North America</v>
      </c>
      <c r="R615" s="20" t="str">
        <v>Married</v>
      </c>
      <c r="S615" s="20" t="str">
        <v>$40k-60k</v>
      </c>
      <c r="T615" s="89">
        <v>0.5170480265865407</v>
      </c>
      <c r="U615" s="91">
        <v>76.046178862006911</v>
      </c>
      <c r="V615" s="49">
        <v>272</v>
      </c>
      <c r="W615" s="20">
        <v>3</v>
      </c>
      <c r="X615" s="20" t="str">
        <v>Hot</v>
      </c>
      <c r="Y615" s="20">
        <v>0</v>
      </c>
    </row>
    <row r="616" spans="1:25" ht="15" customHeight="1" x14ac:dyDescent="0.25">
      <c r="A616" s="3"/>
      <c r="B616" s="3"/>
      <c r="C616" s="3"/>
      <c r="D616" s="3"/>
      <c r="E616" s="3"/>
      <c r="F616" s="3"/>
      <c r="G616" s="3"/>
      <c r="H616" s="3"/>
      <c r="I616" s="3"/>
      <c r="J616" s="3"/>
      <c r="K616" s="20">
        <v>22994</v>
      </c>
      <c r="L616" s="20" t="str">
        <v>0-1 Cars</v>
      </c>
      <c r="M616" s="20" t="str">
        <v>31-40</v>
      </c>
      <c r="N616" s="20" t="str">
        <v>1-2 Miles</v>
      </c>
      <c r="O616" s="20">
        <v>0</v>
      </c>
      <c r="P616" s="20" t="str">
        <v>Bachelors</v>
      </c>
      <c r="Q616" s="20" t="str">
        <v>North America</v>
      </c>
      <c r="R616" s="20" t="str">
        <v>Married</v>
      </c>
      <c r="S616" s="20" t="str">
        <v>$70k-90k</v>
      </c>
      <c r="T616" s="89">
        <v>0.52146141132988311</v>
      </c>
      <c r="U616" s="91">
        <v>78.186024015150736</v>
      </c>
      <c r="V616" s="49">
        <v>241</v>
      </c>
      <c r="W616" s="20">
        <v>3</v>
      </c>
      <c r="X616" s="20" t="str">
        <v>Hot</v>
      </c>
      <c r="Y616" s="20">
        <v>1</v>
      </c>
    </row>
    <row r="617" spans="1:25" ht="15" customHeight="1" x14ac:dyDescent="0.25">
      <c r="A617" s="3"/>
      <c r="B617" s="3"/>
      <c r="C617" s="3"/>
      <c r="D617" s="3"/>
      <c r="E617" s="3"/>
      <c r="F617" s="3"/>
      <c r="G617" s="3"/>
      <c r="H617" s="3"/>
      <c r="I617" s="3"/>
      <c r="J617" s="3"/>
      <c r="K617" s="20">
        <v>22983</v>
      </c>
      <c r="L617" s="20" t="str">
        <v>2+ Cars</v>
      </c>
      <c r="M617" s="20" t="str">
        <v>25-30</v>
      </c>
      <c r="N617" s="20" t="str">
        <v>5-10 Miles</v>
      </c>
      <c r="O617" s="20">
        <v>0</v>
      </c>
      <c r="P617" s="20" t="str">
        <v>Partial High School</v>
      </c>
      <c r="Q617" s="20" t="str">
        <v>North America</v>
      </c>
      <c r="R617" s="20" t="str">
        <v>Single</v>
      </c>
      <c r="S617" s="20" t="str">
        <v>$10k-30k</v>
      </c>
      <c r="T617" s="89">
        <v>0.399316746378308</v>
      </c>
      <c r="U617" s="91">
        <v>18.963752566172008</v>
      </c>
      <c r="V617" s="49">
        <v>969</v>
      </c>
      <c r="W617" s="20">
        <v>10</v>
      </c>
      <c r="X617" s="20" t="str">
        <v>Cold</v>
      </c>
      <c r="Y617" s="20">
        <v>0</v>
      </c>
    </row>
    <row r="618" spans="1:25" ht="15" customHeight="1" x14ac:dyDescent="0.25">
      <c r="A618" s="3"/>
      <c r="B618" s="3"/>
      <c r="C618" s="3"/>
      <c r="D618" s="3"/>
      <c r="E618" s="3"/>
      <c r="F618" s="3"/>
      <c r="G618" s="3"/>
      <c r="H618" s="3"/>
      <c r="I618" s="3"/>
      <c r="J618" s="3"/>
      <c r="K618" s="20">
        <v>25184</v>
      </c>
      <c r="L618" s="20" t="str">
        <v>2+ Cars</v>
      </c>
      <c r="M618" s="20" t="str">
        <v>41-50</v>
      </c>
      <c r="N618" s="20" t="str">
        <v>5-10 Miles</v>
      </c>
      <c r="O618" s="20">
        <v>1</v>
      </c>
      <c r="P618" s="20" t="str">
        <v>Partial College</v>
      </c>
      <c r="Q618" s="20" t="str">
        <v>North America</v>
      </c>
      <c r="R618" s="20" t="str">
        <v>Single</v>
      </c>
      <c r="S618" s="20" t="str">
        <v>$100k+</v>
      </c>
      <c r="T618" s="89">
        <v>0.45669942406614267</v>
      </c>
      <c r="U618" s="91">
        <v>46.785946158053292</v>
      </c>
      <c r="V618" s="49">
        <v>682</v>
      </c>
      <c r="W618" s="20">
        <v>7</v>
      </c>
      <c r="X618" s="20" t="str">
        <v>Cold</v>
      </c>
      <c r="Y618" s="20">
        <v>1</v>
      </c>
    </row>
    <row r="619" spans="1:25" ht="15" customHeight="1" x14ac:dyDescent="0.25">
      <c r="A619" s="3"/>
      <c r="B619" s="3"/>
      <c r="C619" s="3"/>
      <c r="D619" s="3"/>
      <c r="E619" s="3"/>
      <c r="F619" s="3"/>
      <c r="G619" s="3"/>
      <c r="H619" s="3"/>
      <c r="I619" s="3"/>
      <c r="J619" s="3"/>
      <c r="K619" s="20">
        <v>14469</v>
      </c>
      <c r="L619" s="20" t="str">
        <v>2+ Cars</v>
      </c>
      <c r="M619" s="20" t="str">
        <v>41-50</v>
      </c>
      <c r="N619" s="20" t="str">
        <v>1-2 Miles</v>
      </c>
      <c r="O619" s="20">
        <v>3</v>
      </c>
      <c r="P619" s="20" t="str">
        <v>Partial College</v>
      </c>
      <c r="Q619" s="20" t="str">
        <v>North America</v>
      </c>
      <c r="R619" s="20" t="str">
        <v>Married</v>
      </c>
      <c r="S619" s="20" t="str">
        <v>$100k+</v>
      </c>
      <c r="T619" s="89">
        <v>0.45158847248317652</v>
      </c>
      <c r="U619" s="91">
        <v>44.307883263296418</v>
      </c>
      <c r="V619" s="49">
        <v>721</v>
      </c>
      <c r="W619" s="20">
        <v>8</v>
      </c>
      <c r="X619" s="20" t="str">
        <v>Cold</v>
      </c>
      <c r="Y619" s="20">
        <v>0</v>
      </c>
    </row>
    <row r="620" spans="1:25" ht="15" customHeight="1" x14ac:dyDescent="0.25">
      <c r="A620" s="3"/>
      <c r="B620" s="3"/>
      <c r="C620" s="3"/>
      <c r="D620" s="3"/>
      <c r="E620" s="3"/>
      <c r="F620" s="3"/>
      <c r="G620" s="3"/>
      <c r="H620" s="3"/>
      <c r="I620" s="3"/>
      <c r="J620" s="3"/>
      <c r="K620" s="20">
        <v>11538</v>
      </c>
      <c r="L620" s="20" t="str">
        <v>0-1 Cars</v>
      </c>
      <c r="M620" s="20" t="str">
        <v>41-50</v>
      </c>
      <c r="N620" s="20" t="str">
        <v>0-1 Miles</v>
      </c>
      <c r="O620" s="20">
        <v>4</v>
      </c>
      <c r="P620" s="20" t="str">
        <v>Graduate Degree</v>
      </c>
      <c r="Q620" s="20" t="str">
        <v>North America</v>
      </c>
      <c r="R620" s="20" t="str">
        <v>Single</v>
      </c>
      <c r="S620" s="20" t="str">
        <v>$40k-60k</v>
      </c>
      <c r="T620" s="89">
        <v>0.51201371081517943</v>
      </c>
      <c r="U620" s="91">
        <v>73.60527311070264</v>
      </c>
      <c r="V620" s="49">
        <v>303</v>
      </c>
      <c r="W620" s="20">
        <v>4</v>
      </c>
      <c r="X620" s="20" t="str">
        <v>Warm</v>
      </c>
      <c r="Y620" s="20">
        <v>1</v>
      </c>
    </row>
    <row r="621" spans="1:25" ht="15" customHeight="1" x14ac:dyDescent="0.25">
      <c r="A621" s="3"/>
      <c r="B621" s="3"/>
      <c r="C621" s="3"/>
      <c r="D621" s="3"/>
      <c r="E621" s="3"/>
      <c r="F621" s="3"/>
      <c r="G621" s="3"/>
      <c r="H621" s="3"/>
      <c r="I621" s="3"/>
      <c r="J621" s="3"/>
      <c r="K621" s="20">
        <v>16245</v>
      </c>
      <c r="L621" s="20" t="str">
        <v>0-1 Cars</v>
      </c>
      <c r="M621" s="20" t="str">
        <v>41-50</v>
      </c>
      <c r="N621" s="20" t="str">
        <v>1-2 Miles</v>
      </c>
      <c r="O621" s="20">
        <v>4</v>
      </c>
      <c r="P621" s="20" t="str">
        <v>Graduate Degree</v>
      </c>
      <c r="Q621" s="20" t="str">
        <v>North America</v>
      </c>
      <c r="R621" s="20" t="str">
        <v>Single</v>
      </c>
      <c r="S621" s="20" t="str">
        <v>$70k-90k</v>
      </c>
      <c r="T621" s="89">
        <v>0.49594543111226647</v>
      </c>
      <c r="U621" s="91">
        <v>65.814511044579703</v>
      </c>
      <c r="V621" s="49">
        <v>412</v>
      </c>
      <c r="W621" s="20">
        <v>5</v>
      </c>
      <c r="X621" s="20" t="str">
        <v>Warm</v>
      </c>
      <c r="Y621" s="20">
        <v>0</v>
      </c>
    </row>
    <row r="622" spans="1:25" ht="15" customHeight="1" x14ac:dyDescent="0.25">
      <c r="A622" s="3"/>
      <c r="B622" s="3"/>
      <c r="C622" s="3"/>
      <c r="D622" s="3"/>
      <c r="E622" s="3"/>
      <c r="F622" s="3"/>
      <c r="G622" s="3"/>
      <c r="H622" s="3"/>
      <c r="I622" s="3"/>
      <c r="J622" s="3"/>
      <c r="K622" s="20">
        <v>17858</v>
      </c>
      <c r="L622" s="20" t="str">
        <v>2+ Cars</v>
      </c>
      <c r="M622" s="20" t="str">
        <v>41-50</v>
      </c>
      <c r="N622" s="20" t="str">
        <v>2-5 Miles</v>
      </c>
      <c r="O622" s="20">
        <v>4</v>
      </c>
      <c r="P622" s="20" t="str">
        <v>High School</v>
      </c>
      <c r="Q622" s="20" t="str">
        <v>North America</v>
      </c>
      <c r="R622" s="20" t="str">
        <v>Married</v>
      </c>
      <c r="S622" s="20" t="str">
        <v>$40k-60k</v>
      </c>
      <c r="T622" s="89">
        <v>0.4571660379389263</v>
      </c>
      <c r="U622" s="91">
        <v>47.012185539419697</v>
      </c>
      <c r="V622" s="49">
        <v>676</v>
      </c>
      <c r="W622" s="20">
        <v>7</v>
      </c>
      <c r="X622" s="20" t="str">
        <v>Cold</v>
      </c>
      <c r="Y622" s="20">
        <v>1</v>
      </c>
    </row>
    <row r="623" spans="1:25" ht="15" customHeight="1" x14ac:dyDescent="0.25">
      <c r="A623" s="3"/>
      <c r="B623" s="3"/>
      <c r="C623" s="3"/>
      <c r="D623" s="3"/>
      <c r="E623" s="3"/>
      <c r="F623" s="3"/>
      <c r="G623" s="3"/>
      <c r="H623" s="3"/>
      <c r="I623" s="3"/>
      <c r="J623" s="3"/>
      <c r="K623" s="20">
        <v>25347</v>
      </c>
      <c r="L623" s="20" t="str">
        <v>2+ Cars</v>
      </c>
      <c r="M623" s="20" t="str">
        <v>41-50</v>
      </c>
      <c r="N623" s="20" t="str">
        <v>0-1 Miles</v>
      </c>
      <c r="O623" s="20">
        <v>3</v>
      </c>
      <c r="P623" s="20" t="str">
        <v>Partial High School</v>
      </c>
      <c r="Q623" s="20" t="str">
        <v>North America</v>
      </c>
      <c r="R623" s="20" t="str">
        <v>Single</v>
      </c>
      <c r="S623" s="20" t="str">
        <v>$10k-30k</v>
      </c>
      <c r="T623" s="89">
        <v>0.44438538456379478</v>
      </c>
      <c r="U623" s="91">
        <v>40.815440689553185</v>
      </c>
      <c r="V623" s="49">
        <v>763</v>
      </c>
      <c r="W623" s="20">
        <v>8</v>
      </c>
      <c r="X623" s="20" t="str">
        <v>Cold</v>
      </c>
      <c r="Y623" s="20">
        <v>0</v>
      </c>
    </row>
    <row r="624" spans="1:25" ht="15" customHeight="1" x14ac:dyDescent="0.25">
      <c r="A624" s="3"/>
      <c r="B624" s="3"/>
      <c r="C624" s="3"/>
      <c r="D624" s="3"/>
      <c r="E624" s="3"/>
      <c r="F624" s="3"/>
      <c r="G624" s="3"/>
      <c r="H624" s="3"/>
      <c r="I624" s="3"/>
      <c r="J624" s="3"/>
      <c r="K624" s="20">
        <v>15814</v>
      </c>
      <c r="L624" s="20" t="str">
        <v>0-1 Cars</v>
      </c>
      <c r="M624" s="20" t="str">
        <v>25-30</v>
      </c>
      <c r="N624" s="20" t="str">
        <v>5-10 Miles</v>
      </c>
      <c r="O624" s="20">
        <v>0</v>
      </c>
      <c r="P624" s="20" t="str">
        <v>High School</v>
      </c>
      <c r="Q624" s="20" t="str">
        <v>North America</v>
      </c>
      <c r="R624" s="20" t="str">
        <v>Single</v>
      </c>
      <c r="S624" s="20" t="str">
        <v>$40k-60k</v>
      </c>
      <c r="T624" s="89">
        <v>0.47087899973051001</v>
      </c>
      <c r="U624" s="91">
        <v>53.660963412056304</v>
      </c>
      <c r="V624" s="49">
        <v>573</v>
      </c>
      <c r="W624" s="20">
        <v>6</v>
      </c>
      <c r="X624" s="20" t="str">
        <v>Warm</v>
      </c>
      <c r="Y624" s="20">
        <v>0</v>
      </c>
    </row>
    <row r="625" spans="1:25" ht="15" customHeight="1" x14ac:dyDescent="0.25">
      <c r="A625" s="3"/>
      <c r="B625" s="3"/>
      <c r="C625" s="3"/>
      <c r="D625" s="3"/>
      <c r="E625" s="3"/>
      <c r="F625" s="3"/>
      <c r="G625" s="3"/>
      <c r="H625" s="3"/>
      <c r="I625" s="3"/>
      <c r="J625" s="3"/>
      <c r="K625" s="20">
        <v>11259</v>
      </c>
      <c r="L625" s="20" t="str">
        <v>2+ Cars</v>
      </c>
      <c r="M625" s="20" t="str">
        <v>41-50</v>
      </c>
      <c r="N625" s="20" t="str">
        <v>2-5 Miles</v>
      </c>
      <c r="O625" s="20">
        <v>4</v>
      </c>
      <c r="P625" s="20" t="str">
        <v>Partial College</v>
      </c>
      <c r="Q625" s="20" t="str">
        <v>North America</v>
      </c>
      <c r="R625" s="20" t="str">
        <v>Married</v>
      </c>
      <c r="S625" s="20" t="str">
        <v>$100k+</v>
      </c>
      <c r="T625" s="89">
        <v>0.45430151157494186</v>
      </c>
      <c r="U625" s="91">
        <v>45.62330983233992</v>
      </c>
      <c r="V625" s="49">
        <v>709</v>
      </c>
      <c r="W625" s="20">
        <v>8</v>
      </c>
      <c r="X625" s="20" t="str">
        <v>Cold</v>
      </c>
      <c r="Y625" s="20">
        <v>1</v>
      </c>
    </row>
    <row r="626" spans="1:25" ht="15" customHeight="1" x14ac:dyDescent="0.25">
      <c r="A626" s="3"/>
      <c r="B626" s="3"/>
      <c r="C626" s="3"/>
      <c r="D626" s="3"/>
      <c r="E626" s="3"/>
      <c r="F626" s="3"/>
      <c r="G626" s="3"/>
      <c r="H626" s="3"/>
      <c r="I626" s="3"/>
      <c r="J626" s="3"/>
      <c r="K626" s="20">
        <v>11200</v>
      </c>
      <c r="L626" s="20" t="str">
        <v>0-1 Cars</v>
      </c>
      <c r="M626" s="20" t="str">
        <v>51-60</v>
      </c>
      <c r="N626" s="20" t="str">
        <v>1-2 Miles</v>
      </c>
      <c r="O626" s="20">
        <v>4</v>
      </c>
      <c r="P626" s="20" t="str">
        <v>Bachelors</v>
      </c>
      <c r="Q626" s="20" t="str">
        <v>North America</v>
      </c>
      <c r="R626" s="20" t="str">
        <v>Married</v>
      </c>
      <c r="S626" s="20" t="str">
        <v>$70k-90k</v>
      </c>
      <c r="T626" s="89">
        <v>0.48585909052596893</v>
      </c>
      <c r="U626" s="91">
        <v>60.924113249756815</v>
      </c>
      <c r="V626" s="49">
        <v>472</v>
      </c>
      <c r="W626" s="20">
        <v>5</v>
      </c>
      <c r="X626" s="20" t="str">
        <v>Warm</v>
      </c>
      <c r="Y626" s="20">
        <v>0</v>
      </c>
    </row>
    <row r="627" spans="1:25" ht="15" customHeight="1" x14ac:dyDescent="0.25">
      <c r="A627" s="3"/>
      <c r="B627" s="3"/>
      <c r="C627" s="3"/>
      <c r="D627" s="3"/>
      <c r="E627" s="3"/>
      <c r="F627" s="3"/>
      <c r="G627" s="3"/>
      <c r="H627" s="3"/>
      <c r="I627" s="3"/>
      <c r="J627" s="3"/>
      <c r="K627" s="20">
        <v>25101</v>
      </c>
      <c r="L627" s="20" t="str">
        <v>0-1 Cars</v>
      </c>
      <c r="M627" s="20" t="str">
        <v>41-50</v>
      </c>
      <c r="N627" s="20" t="str">
        <v>2-5 Miles</v>
      </c>
      <c r="O627" s="20">
        <v>5</v>
      </c>
      <c r="P627" s="20" t="str">
        <v>Bachelors</v>
      </c>
      <c r="Q627" s="20" t="str">
        <v>North America</v>
      </c>
      <c r="R627" s="20" t="str">
        <v>Married</v>
      </c>
      <c r="S627" s="20" t="str">
        <v>$40k-60k</v>
      </c>
      <c r="T627" s="89">
        <v>0.48090256472413651</v>
      </c>
      <c r="U627" s="91">
        <v>58.520924239443829</v>
      </c>
      <c r="V627" s="49">
        <v>504</v>
      </c>
      <c r="W627" s="20">
        <v>6</v>
      </c>
      <c r="X627" s="20" t="str">
        <v>Warm</v>
      </c>
      <c r="Y627" s="20">
        <v>0</v>
      </c>
    </row>
    <row r="628" spans="1:25" ht="15" customHeight="1" x14ac:dyDescent="0.25">
      <c r="A628" s="3"/>
      <c r="B628" s="3"/>
      <c r="C628" s="3"/>
      <c r="D628" s="3"/>
      <c r="E628" s="3"/>
      <c r="F628" s="3"/>
      <c r="G628" s="3"/>
      <c r="H628" s="3"/>
      <c r="I628" s="3"/>
      <c r="J628" s="3"/>
      <c r="K628" s="20">
        <v>21801</v>
      </c>
      <c r="L628" s="20" t="str">
        <v>0-1 Cars</v>
      </c>
      <c r="M628" s="20" t="str">
        <v>51-60</v>
      </c>
      <c r="N628" s="20" t="str">
        <v>1-2 Miles</v>
      </c>
      <c r="O628" s="20">
        <v>4</v>
      </c>
      <c r="P628" s="20" t="str">
        <v>Partial College</v>
      </c>
      <c r="Q628" s="20" t="str">
        <v>North America</v>
      </c>
      <c r="R628" s="20" t="str">
        <v>Married</v>
      </c>
      <c r="S628" s="20" t="str">
        <v>$70k-90k</v>
      </c>
      <c r="T628" s="89">
        <v>0.47309973231902763</v>
      </c>
      <c r="U628" s="91">
        <v>54.737693437268</v>
      </c>
      <c r="V628" s="49">
        <v>555</v>
      </c>
      <c r="W628" s="20">
        <v>6</v>
      </c>
      <c r="X628" s="20" t="str">
        <v>Warm</v>
      </c>
      <c r="Y628" s="20">
        <v>0</v>
      </c>
    </row>
    <row r="629" spans="1:25" ht="15" customHeight="1" x14ac:dyDescent="0.25">
      <c r="A629" s="3"/>
      <c r="B629" s="3"/>
      <c r="C629" s="3"/>
      <c r="D629" s="3"/>
      <c r="E629" s="3"/>
      <c r="F629" s="3"/>
      <c r="G629" s="3"/>
      <c r="H629" s="3"/>
      <c r="I629" s="3"/>
      <c r="J629" s="3"/>
      <c r="K629" s="20">
        <v>25943</v>
      </c>
      <c r="L629" s="20" t="str">
        <v>2+ Cars</v>
      </c>
      <c r="M629" s="20" t="str">
        <v>25-30</v>
      </c>
      <c r="N629" s="20" t="str">
        <v>0-1 Miles</v>
      </c>
      <c r="O629" s="20">
        <v>0</v>
      </c>
      <c r="P629" s="20" t="str">
        <v>Partial College</v>
      </c>
      <c r="Q629" s="20" t="str">
        <v>North America</v>
      </c>
      <c r="R629" s="20" t="str">
        <v>Single</v>
      </c>
      <c r="S629" s="20" t="str">
        <v>$70k-90k</v>
      </c>
      <c r="T629" s="89">
        <v>0.45188256528103782</v>
      </c>
      <c r="U629" s="91">
        <v>44.450475193226694</v>
      </c>
      <c r="V629" s="49">
        <v>720</v>
      </c>
      <c r="W629" s="20">
        <v>8</v>
      </c>
      <c r="X629" s="20" t="str">
        <v>Cold</v>
      </c>
      <c r="Y629" s="20">
        <v>1</v>
      </c>
    </row>
    <row r="630" spans="1:25" ht="15" customHeight="1" x14ac:dyDescent="0.25">
      <c r="A630" s="3"/>
      <c r="B630" s="3"/>
      <c r="C630" s="3"/>
      <c r="D630" s="3"/>
      <c r="E630" s="3"/>
      <c r="F630" s="3"/>
      <c r="G630" s="3"/>
      <c r="H630" s="3"/>
      <c r="I630" s="3"/>
      <c r="J630" s="3"/>
      <c r="K630" s="20">
        <v>22127</v>
      </c>
      <c r="L630" s="20" t="str">
        <v>2+ Cars</v>
      </c>
      <c r="M630" s="20" t="str">
        <v>61+</v>
      </c>
      <c r="N630" s="20" t="str">
        <v>1-2 Miles</v>
      </c>
      <c r="O630" s="20">
        <v>3</v>
      </c>
      <c r="P630" s="20" t="str">
        <v>Graduate Degree</v>
      </c>
      <c r="Q630" s="20" t="str">
        <v>North America</v>
      </c>
      <c r="R630" s="20" t="str">
        <v>Married</v>
      </c>
      <c r="S630" s="20" t="str">
        <v>$40k-60k</v>
      </c>
      <c r="T630" s="89">
        <v>0.44011435021033335</v>
      </c>
      <c r="U630" s="91">
        <v>38.744614624829964</v>
      </c>
      <c r="V630" s="49">
        <v>788</v>
      </c>
      <c r="W630" s="20">
        <v>8</v>
      </c>
      <c r="X630" s="20" t="str">
        <v>Cold</v>
      </c>
      <c r="Y630" s="20">
        <v>0</v>
      </c>
    </row>
    <row r="631" spans="1:25" ht="15" customHeight="1" x14ac:dyDescent="0.25">
      <c r="A631" s="3"/>
      <c r="B631" s="3"/>
      <c r="C631" s="3"/>
      <c r="D631" s="3"/>
      <c r="E631" s="3"/>
      <c r="F631" s="3"/>
      <c r="G631" s="3"/>
      <c r="H631" s="3"/>
      <c r="I631" s="3"/>
      <c r="J631" s="3"/>
      <c r="K631" s="20">
        <v>20414</v>
      </c>
      <c r="L631" s="20" t="str">
        <v>2+ Cars</v>
      </c>
      <c r="M631" s="20" t="str">
        <v>25-30</v>
      </c>
      <c r="N631" s="20" t="str">
        <v>5-10 Miles</v>
      </c>
      <c r="O631" s="20">
        <v>0</v>
      </c>
      <c r="P631" s="20" t="str">
        <v>Partial College</v>
      </c>
      <c r="Q631" s="20" t="str">
        <v>North America</v>
      </c>
      <c r="R631" s="20" t="str">
        <v>Married</v>
      </c>
      <c r="S631" s="20" t="str">
        <v>$40k-60k</v>
      </c>
      <c r="T631" s="89">
        <v>0.42344118375774892</v>
      </c>
      <c r="U631" s="91">
        <v>30.660571085470878</v>
      </c>
      <c r="V631" s="49">
        <v>864</v>
      </c>
      <c r="W631" s="20">
        <v>9</v>
      </c>
      <c r="X631" s="20" t="str">
        <v>Cold</v>
      </c>
      <c r="Y631" s="20">
        <v>0</v>
      </c>
    </row>
    <row r="632" spans="1:25" ht="15" customHeight="1" x14ac:dyDescent="0.25">
      <c r="A632" s="3"/>
      <c r="B632" s="3"/>
      <c r="C632" s="3"/>
      <c r="D632" s="3"/>
      <c r="E632" s="3"/>
      <c r="F632" s="3"/>
      <c r="G632" s="3"/>
      <c r="H632" s="3"/>
      <c r="I632" s="3"/>
      <c r="J632" s="3"/>
      <c r="K632" s="20">
        <v>23672</v>
      </c>
      <c r="L632" s="20" t="str">
        <v>2+ Cars</v>
      </c>
      <c r="M632" s="20" t="str">
        <v>61+</v>
      </c>
      <c r="N632" s="20" t="str">
        <v>1-2 Miles</v>
      </c>
      <c r="O632" s="20">
        <v>3</v>
      </c>
      <c r="P632" s="20" t="str">
        <v>Graduate Degree</v>
      </c>
      <c r="Q632" s="20" t="str">
        <v>North America</v>
      </c>
      <c r="R632" s="20" t="str">
        <v>Married</v>
      </c>
      <c r="S632" s="20" t="str">
        <v>$40k-60k</v>
      </c>
      <c r="T632" s="89">
        <v>0.44011435021033335</v>
      </c>
      <c r="U632" s="91">
        <v>38.744614624829964</v>
      </c>
      <c r="V632" s="49">
        <v>789</v>
      </c>
      <c r="W632" s="20">
        <v>8</v>
      </c>
      <c r="X632" s="20" t="str">
        <v>Cold</v>
      </c>
      <c r="Y632" s="20">
        <v>0</v>
      </c>
    </row>
    <row r="633" spans="1:25" ht="15" customHeight="1" x14ac:dyDescent="0.25">
      <c r="A633" s="3"/>
      <c r="B633" s="3"/>
      <c r="C633" s="3"/>
      <c r="D633" s="3"/>
      <c r="E633" s="3"/>
      <c r="F633" s="3"/>
      <c r="G633" s="3"/>
      <c r="H633" s="3"/>
      <c r="I633" s="3"/>
      <c r="J633" s="3"/>
      <c r="K633" s="20">
        <v>29255</v>
      </c>
      <c r="L633" s="20" t="str">
        <v>0-1 Cars</v>
      </c>
      <c r="M633" s="20" t="str">
        <v>51-60</v>
      </c>
      <c r="N633" s="20" t="str">
        <v>1-2 Miles</v>
      </c>
      <c r="O633" s="20">
        <v>3</v>
      </c>
      <c r="P633" s="20" t="str">
        <v>Partial College</v>
      </c>
      <c r="Q633" s="20" t="str">
        <v>North America</v>
      </c>
      <c r="R633" s="20" t="str">
        <v>Single</v>
      </c>
      <c r="S633" s="20" t="str">
        <v>$70k-90k</v>
      </c>
      <c r="T633" s="89">
        <v>0.49893440419305785</v>
      </c>
      <c r="U633" s="91">
        <v>67.263725181066931</v>
      </c>
      <c r="V633" s="49">
        <v>382</v>
      </c>
      <c r="W633" s="20">
        <v>4</v>
      </c>
      <c r="X633" s="20" t="str">
        <v>Warm</v>
      </c>
      <c r="Y633" s="20">
        <v>1</v>
      </c>
    </row>
    <row r="634" spans="1:25" ht="15" customHeight="1" x14ac:dyDescent="0.25">
      <c r="A634" s="3"/>
      <c r="B634" s="3"/>
      <c r="C634" s="3"/>
      <c r="D634" s="3"/>
      <c r="E634" s="3"/>
      <c r="F634" s="3"/>
      <c r="G634" s="3"/>
      <c r="H634" s="3"/>
      <c r="I634" s="3"/>
      <c r="J634" s="3"/>
      <c r="K634" s="20">
        <v>28815</v>
      </c>
      <c r="L634" s="20" t="str">
        <v>0-1 Cars</v>
      </c>
      <c r="M634" s="20" t="str">
        <v>31-40</v>
      </c>
      <c r="N634" s="20" t="str">
        <v>0-1 Miles</v>
      </c>
      <c r="O634" s="20">
        <v>1</v>
      </c>
      <c r="P634" s="20" t="str">
        <v>Graduate Degree</v>
      </c>
      <c r="Q634" s="20" t="str">
        <v>North America</v>
      </c>
      <c r="R634" s="20" t="str">
        <v>Married</v>
      </c>
      <c r="S634" s="20" t="str">
        <v>$40k-60k</v>
      </c>
      <c r="T634" s="89">
        <v>0.54558089771654972</v>
      </c>
      <c r="U634" s="91">
        <v>89.880442028147186</v>
      </c>
      <c r="V634" s="49">
        <v>74</v>
      </c>
      <c r="W634" s="20">
        <v>1</v>
      </c>
      <c r="X634" s="20" t="str">
        <v>Hot</v>
      </c>
      <c r="Y634" s="20">
        <v>0</v>
      </c>
    </row>
    <row r="635" spans="1:25" ht="15" customHeight="1" x14ac:dyDescent="0.25">
      <c r="A635" s="3"/>
      <c r="B635" s="3"/>
      <c r="C635" s="3"/>
      <c r="D635" s="3"/>
      <c r="E635" s="3"/>
      <c r="F635" s="3"/>
      <c r="G635" s="3"/>
      <c r="H635" s="3"/>
      <c r="I635" s="3"/>
      <c r="J635" s="3"/>
      <c r="K635" s="20">
        <v>27753</v>
      </c>
      <c r="L635" s="20" t="str">
        <v>2+ Cars</v>
      </c>
      <c r="M635" s="20" t="str">
        <v>25-30</v>
      </c>
      <c r="N635" s="20" t="str">
        <v>1-2 Miles</v>
      </c>
      <c r="O635" s="20">
        <v>0</v>
      </c>
      <c r="P635" s="20" t="str">
        <v>High School</v>
      </c>
      <c r="Q635" s="20" t="str">
        <v>North America</v>
      </c>
      <c r="R635" s="20" t="str">
        <v>Married</v>
      </c>
      <c r="S635" s="20" t="str">
        <v>$40k-60k</v>
      </c>
      <c r="T635" s="89">
        <v>0.43111283233775249</v>
      </c>
      <c r="U635" s="91">
        <v>34.380196947527693</v>
      </c>
      <c r="V635" s="49">
        <v>833</v>
      </c>
      <c r="W635" s="20">
        <v>9</v>
      </c>
      <c r="X635" s="20" t="str">
        <v>Cold</v>
      </c>
      <c r="Y635" s="20">
        <v>0</v>
      </c>
    </row>
    <row r="636" spans="1:25" ht="15" customHeight="1" x14ac:dyDescent="0.25">
      <c r="A636" s="3"/>
      <c r="B636" s="3"/>
      <c r="C636" s="3"/>
      <c r="D636" s="3"/>
      <c r="E636" s="3"/>
      <c r="F636" s="3"/>
      <c r="G636" s="3"/>
      <c r="H636" s="3"/>
      <c r="I636" s="3"/>
      <c r="J636" s="3"/>
      <c r="K636" s="20">
        <v>27643</v>
      </c>
      <c r="L636" s="20" t="str">
        <v>2+ Cars</v>
      </c>
      <c r="M636" s="20" t="str">
        <v>41-50</v>
      </c>
      <c r="N636" s="20" t="str">
        <v>2-5 Miles</v>
      </c>
      <c r="O636" s="20">
        <v>5</v>
      </c>
      <c r="P636" s="20" t="str">
        <v>Partial College</v>
      </c>
      <c r="Q636" s="20" t="str">
        <v>North America</v>
      </c>
      <c r="R636" s="20" t="str">
        <v>Single</v>
      </c>
      <c r="S636" s="20" t="str">
        <v>$70k-90k</v>
      </c>
      <c r="T636" s="89">
        <v>0.43614266684569364</v>
      </c>
      <c r="U636" s="91">
        <v>36.818929942463058</v>
      </c>
      <c r="V636" s="49">
        <v>800</v>
      </c>
      <c r="W636" s="20">
        <v>8</v>
      </c>
      <c r="X636" s="20" t="str">
        <v>Cold</v>
      </c>
      <c r="Y636" s="20">
        <v>0</v>
      </c>
    </row>
    <row r="637" spans="1:25" ht="15" customHeight="1" x14ac:dyDescent="0.25">
      <c r="A637" s="3"/>
      <c r="B637" s="3"/>
      <c r="C637" s="3"/>
      <c r="D637" s="3"/>
      <c r="E637" s="3"/>
      <c r="F637" s="3"/>
      <c r="G637" s="3"/>
      <c r="H637" s="3"/>
      <c r="I637" s="3"/>
      <c r="J637" s="3"/>
      <c r="K637" s="20">
        <v>13754</v>
      </c>
      <c r="L637" s="20" t="str">
        <v>0-1 Cars</v>
      </c>
      <c r="M637" s="20" t="str">
        <v>41-50</v>
      </c>
      <c r="N637" s="20" t="str">
        <v>1-2 Miles</v>
      </c>
      <c r="O637" s="20">
        <v>4</v>
      </c>
      <c r="P637" s="20" t="str">
        <v>Graduate Degree</v>
      </c>
      <c r="Q637" s="20" t="str">
        <v>North America</v>
      </c>
      <c r="R637" s="20" t="str">
        <v>Single</v>
      </c>
      <c r="S637" s="20" t="str">
        <v>$70k-90k</v>
      </c>
      <c r="T637" s="89">
        <v>0.49594543111226647</v>
      </c>
      <c r="U637" s="91">
        <v>65.814511044579703</v>
      </c>
      <c r="V637" s="49">
        <v>411</v>
      </c>
      <c r="W637" s="20">
        <v>5</v>
      </c>
      <c r="X637" s="20" t="str">
        <v>Warm</v>
      </c>
      <c r="Y637" s="20">
        <v>0</v>
      </c>
    </row>
    <row r="638" spans="1:25" ht="15" customHeight="1" x14ac:dyDescent="0.25">
      <c r="A638" s="3"/>
      <c r="B638" s="3"/>
      <c r="C638" s="3"/>
      <c r="D638" s="3"/>
      <c r="E638" s="3"/>
      <c r="F638" s="3"/>
      <c r="G638" s="3"/>
      <c r="H638" s="3"/>
      <c r="I638" s="3"/>
      <c r="J638" s="3"/>
      <c r="K638" s="20">
        <v>22088</v>
      </c>
      <c r="L638" s="20" t="str">
        <v>2+ Cars</v>
      </c>
      <c r="M638" s="20" t="str">
        <v>41-50</v>
      </c>
      <c r="N638" s="20" t="str">
        <v>0-1 Miles</v>
      </c>
      <c r="O638" s="20">
        <v>1</v>
      </c>
      <c r="P638" s="20" t="str">
        <v>Bachelors</v>
      </c>
      <c r="Q638" s="20" t="str">
        <v>North America</v>
      </c>
      <c r="R638" s="20" t="str">
        <v>Married</v>
      </c>
      <c r="S638" s="20" t="str">
        <v>$100k+</v>
      </c>
      <c r="T638" s="89">
        <v>0.48150921124133722</v>
      </c>
      <c r="U638" s="91">
        <v>58.815058942170971</v>
      </c>
      <c r="V638" s="49">
        <v>499</v>
      </c>
      <c r="W638" s="20">
        <v>5</v>
      </c>
      <c r="X638" s="20" t="str">
        <v>Warm</v>
      </c>
      <c r="Y638" s="20">
        <v>1</v>
      </c>
    </row>
    <row r="639" spans="1:25" ht="15" customHeight="1" x14ac:dyDescent="0.25">
      <c r="A639" s="3"/>
      <c r="B639" s="3"/>
      <c r="C639" s="3"/>
      <c r="D639" s="3"/>
      <c r="E639" s="3"/>
      <c r="F639" s="3"/>
      <c r="G639" s="3"/>
      <c r="H639" s="3"/>
      <c r="I639" s="3"/>
      <c r="J639" s="3"/>
      <c r="K639" s="20">
        <v>27388</v>
      </c>
      <c r="L639" s="20" t="str">
        <v>2+ Cars</v>
      </c>
      <c r="M639" s="20" t="str">
        <v>61+</v>
      </c>
      <c r="N639" s="20" t="str">
        <v>1-2 Miles</v>
      </c>
      <c r="O639" s="20">
        <v>3</v>
      </c>
      <c r="P639" s="20" t="str">
        <v>Bachelors</v>
      </c>
      <c r="Q639" s="20" t="str">
        <v>North America</v>
      </c>
      <c r="R639" s="20" t="str">
        <v>Married</v>
      </c>
      <c r="S639" s="20" t="str">
        <v>$40k-60k</v>
      </c>
      <c r="T639" s="89">
        <v>0.44160468260566299</v>
      </c>
      <c r="U639" s="91">
        <v>39.467207541191968</v>
      </c>
      <c r="V639" s="49">
        <v>782</v>
      </c>
      <c r="W639" s="20">
        <v>8</v>
      </c>
      <c r="X639" s="20" t="str">
        <v>Cold</v>
      </c>
      <c r="Y639" s="20">
        <v>0</v>
      </c>
    </row>
    <row r="640" spans="1:25" ht="15" customHeight="1" x14ac:dyDescent="0.25">
      <c r="A640" s="3"/>
      <c r="B640" s="3"/>
      <c r="C640" s="3"/>
      <c r="D640" s="3"/>
      <c r="E640" s="3"/>
      <c r="F640" s="3"/>
      <c r="G640" s="3"/>
      <c r="H640" s="3"/>
      <c r="I640" s="3"/>
      <c r="J640" s="3"/>
      <c r="K640" s="20">
        <v>24745</v>
      </c>
      <c r="L640" s="20" t="str">
        <v>2+ Cars</v>
      </c>
      <c r="M640" s="20" t="str">
        <v>41-50</v>
      </c>
      <c r="N640" s="20" t="str">
        <v>0-1 Miles</v>
      </c>
      <c r="O640" s="20">
        <v>2</v>
      </c>
      <c r="P640" s="20" t="str">
        <v>High School</v>
      </c>
      <c r="Q640" s="20" t="str">
        <v>North America</v>
      </c>
      <c r="R640" s="20" t="str">
        <v>Single</v>
      </c>
      <c r="S640" s="20" t="str">
        <v>$10k-30k</v>
      </c>
      <c r="T640" s="89">
        <v>0.45519398720040061</v>
      </c>
      <c r="U640" s="91">
        <v>46.056029785957783</v>
      </c>
      <c r="V640" s="49">
        <v>692</v>
      </c>
      <c r="W640" s="20">
        <v>7</v>
      </c>
      <c r="X640" s="20" t="str">
        <v>Cold</v>
      </c>
      <c r="Y640" s="20">
        <v>0</v>
      </c>
    </row>
    <row r="641" spans="1:25" ht="15" customHeight="1" x14ac:dyDescent="0.25">
      <c r="A641" s="3"/>
      <c r="B641" s="3"/>
      <c r="C641" s="3"/>
      <c r="D641" s="3"/>
      <c r="E641" s="3"/>
      <c r="F641" s="3"/>
      <c r="G641" s="3"/>
      <c r="H641" s="3"/>
      <c r="I641" s="3"/>
      <c r="J641" s="3"/>
      <c r="K641" s="20">
        <v>29237</v>
      </c>
      <c r="L641" s="20" t="str">
        <v>2+ Cars</v>
      </c>
      <c r="M641" s="20" t="str">
        <v>41-50</v>
      </c>
      <c r="N641" s="20" t="str">
        <v>5-10 Miles</v>
      </c>
      <c r="O641" s="20">
        <v>4</v>
      </c>
      <c r="P641" s="20" t="str">
        <v>Partial College</v>
      </c>
      <c r="Q641" s="20" t="str">
        <v>North America</v>
      </c>
      <c r="R641" s="20" t="str">
        <v>Single</v>
      </c>
      <c r="S641" s="20" t="str">
        <v>$100k+</v>
      </c>
      <c r="T641" s="89">
        <v>0.4364845611910167</v>
      </c>
      <c r="U641" s="91">
        <v>36.984698621214768</v>
      </c>
      <c r="V641" s="49">
        <v>798</v>
      </c>
      <c r="W641" s="20">
        <v>8</v>
      </c>
      <c r="X641" s="20" t="str">
        <v>Cold</v>
      </c>
      <c r="Y641" s="20">
        <v>1</v>
      </c>
    </row>
    <row r="642" spans="1:25" ht="15" customHeight="1" x14ac:dyDescent="0.25">
      <c r="A642" s="3"/>
      <c r="B642" s="3"/>
      <c r="C642" s="3"/>
      <c r="D642" s="3"/>
      <c r="E642" s="3"/>
      <c r="F642" s="3"/>
      <c r="G642" s="3"/>
      <c r="H642" s="3"/>
      <c r="I642" s="3"/>
      <c r="J642" s="3"/>
      <c r="K642" s="20">
        <v>15272</v>
      </c>
      <c r="L642" s="20" t="str">
        <v>2+ Cars</v>
      </c>
      <c r="M642" s="20" t="str">
        <v>25-30</v>
      </c>
      <c r="N642" s="20" t="str">
        <v>1-2 Miles</v>
      </c>
      <c r="O642" s="20">
        <v>0</v>
      </c>
      <c r="P642" s="20" t="str">
        <v>High School</v>
      </c>
      <c r="Q642" s="20" t="str">
        <v>North America</v>
      </c>
      <c r="R642" s="20" t="str">
        <v>Single</v>
      </c>
      <c r="S642" s="20" t="str">
        <v>$40k-60k</v>
      </c>
      <c r="T642" s="89">
        <v>0.44079087504557762</v>
      </c>
      <c r="U642" s="91">
        <v>39.072630076431523</v>
      </c>
      <c r="V642" s="49">
        <v>784</v>
      </c>
      <c r="W642" s="20">
        <v>8</v>
      </c>
      <c r="X642" s="20" t="str">
        <v>Cold</v>
      </c>
      <c r="Y642" s="20">
        <v>0</v>
      </c>
    </row>
    <row r="643" spans="1:25" ht="15" customHeight="1" x14ac:dyDescent="0.25">
      <c r="A643" s="3"/>
      <c r="B643" s="3"/>
      <c r="C643" s="3"/>
      <c r="D643" s="3"/>
      <c r="E643" s="3"/>
      <c r="F643" s="3"/>
      <c r="G643" s="3"/>
      <c r="H643" s="3"/>
      <c r="I643" s="3"/>
      <c r="J643" s="3"/>
      <c r="K643" s="20">
        <v>18949</v>
      </c>
      <c r="L643" s="20" t="str">
        <v>2+ Cars</v>
      </c>
      <c r="M643" s="20" t="str">
        <v>61+</v>
      </c>
      <c r="N643" s="20" t="str">
        <v>5-10 Miles</v>
      </c>
      <c r="O643" s="20">
        <v>0</v>
      </c>
      <c r="P643" s="20" t="str">
        <v>Graduate Degree</v>
      </c>
      <c r="Q643" s="20" t="str">
        <v>North America</v>
      </c>
      <c r="R643" s="20" t="str">
        <v>Single</v>
      </c>
      <c r="S643" s="20" t="str">
        <v>$70k-90k</v>
      </c>
      <c r="T643" s="89">
        <v>0.43271862985360182</v>
      </c>
      <c r="U643" s="91">
        <v>35.158773534670715</v>
      </c>
      <c r="V643" s="49">
        <v>818</v>
      </c>
      <c r="W643" s="20">
        <v>9</v>
      </c>
      <c r="X643" s="20" t="str">
        <v>Cold</v>
      </c>
      <c r="Y643" s="20">
        <v>1</v>
      </c>
    </row>
    <row r="644" spans="1:25" ht="15" customHeight="1" x14ac:dyDescent="0.25">
      <c r="A644" s="3"/>
      <c r="B644" s="3"/>
      <c r="C644" s="3"/>
      <c r="D644" s="3"/>
      <c r="E644" s="3"/>
      <c r="F644" s="3"/>
      <c r="G644" s="3"/>
      <c r="H644" s="3"/>
      <c r="I644" s="3"/>
      <c r="J644" s="3"/>
      <c r="K644" s="20">
        <v>14507</v>
      </c>
      <c r="L644" s="20" t="str">
        <v>2+ Cars</v>
      </c>
      <c r="M644" s="20" t="str">
        <v>61+</v>
      </c>
      <c r="N644" s="20" t="str">
        <v>1-2 Miles</v>
      </c>
      <c r="O644" s="20">
        <v>2</v>
      </c>
      <c r="P644" s="20" t="str">
        <v>Graduate Degree</v>
      </c>
      <c r="Q644" s="20" t="str">
        <v>North America</v>
      </c>
      <c r="R644" s="20" t="str">
        <v>Married</v>
      </c>
      <c r="S644" s="20" t="str">
        <v>$100k+</v>
      </c>
      <c r="T644" s="89">
        <v>0.42508132923494119</v>
      </c>
      <c r="U644" s="91">
        <v>31.455801402772121</v>
      </c>
      <c r="V644" s="49">
        <v>857</v>
      </c>
      <c r="W644" s="20">
        <v>9</v>
      </c>
      <c r="X644" s="20" t="str">
        <v>Cold</v>
      </c>
      <c r="Y644" s="20">
        <v>0</v>
      </c>
    </row>
    <row r="645" spans="1:25" ht="15" customHeight="1" x14ac:dyDescent="0.25">
      <c r="A645" s="3"/>
      <c r="B645" s="3"/>
      <c r="C645" s="3"/>
      <c r="D645" s="3"/>
      <c r="E645" s="3"/>
      <c r="F645" s="3"/>
      <c r="G645" s="3"/>
      <c r="H645" s="3"/>
      <c r="I645" s="3"/>
      <c r="J645" s="3"/>
      <c r="K645" s="20">
        <v>25886</v>
      </c>
      <c r="L645" s="20" t="str">
        <v>2+ Cars</v>
      </c>
      <c r="M645" s="20" t="str">
        <v>51-60</v>
      </c>
      <c r="N645" s="20" t="str">
        <v>2-5 Miles</v>
      </c>
      <c r="O645" s="20">
        <v>2</v>
      </c>
      <c r="P645" s="20" t="str">
        <v>Partial College</v>
      </c>
      <c r="Q645" s="20" t="str">
        <v>North America</v>
      </c>
      <c r="R645" s="20" t="str">
        <v>Married</v>
      </c>
      <c r="S645" s="20" t="str">
        <v>$40k-60k</v>
      </c>
      <c r="T645" s="89">
        <v>0.46116289472747424</v>
      </c>
      <c r="U645" s="91">
        <v>48.950075645122816</v>
      </c>
      <c r="V645" s="49">
        <v>640</v>
      </c>
      <c r="W645" s="20">
        <v>7</v>
      </c>
      <c r="X645" s="20" t="str">
        <v>Cold</v>
      </c>
      <c r="Y645" s="20">
        <v>1</v>
      </c>
    </row>
    <row r="646" spans="1:25" ht="15" customHeight="1" x14ac:dyDescent="0.25">
      <c r="A646" s="3"/>
      <c r="B646" s="3"/>
      <c r="C646" s="3"/>
      <c r="D646" s="3"/>
      <c r="E646" s="3"/>
      <c r="F646" s="3"/>
      <c r="G646" s="3"/>
      <c r="H646" s="3"/>
      <c r="I646" s="3"/>
      <c r="J646" s="3"/>
      <c r="K646" s="20">
        <v>21441</v>
      </c>
      <c r="L646" s="20" t="str">
        <v>2+ Cars</v>
      </c>
      <c r="M646" s="20" t="str">
        <v>61+</v>
      </c>
      <c r="N646" s="20" t="str">
        <v>10+ Miles</v>
      </c>
      <c r="O646" s="20">
        <v>4</v>
      </c>
      <c r="P646" s="20" t="str">
        <v>Bachelors</v>
      </c>
      <c r="Q646" s="20" t="str">
        <v>North America</v>
      </c>
      <c r="R646" s="20" t="str">
        <v>Married</v>
      </c>
      <c r="S646" s="20" t="str">
        <v>$40k-60k</v>
      </c>
      <c r="T646" s="89">
        <v>0.40260740500807207</v>
      </c>
      <c r="U646" s="91">
        <v>20.559240004735731</v>
      </c>
      <c r="V646" s="49">
        <v>963</v>
      </c>
      <c r="W646" s="20">
        <v>10</v>
      </c>
      <c r="X646" s="20" t="str">
        <v>Cold</v>
      </c>
      <c r="Y646" s="20">
        <v>0</v>
      </c>
    </row>
    <row r="647" spans="1:25" ht="15" customHeight="1" x14ac:dyDescent="0.25">
      <c r="A647" s="3"/>
      <c r="B647" s="3"/>
      <c r="C647" s="3"/>
      <c r="D647" s="3"/>
      <c r="E647" s="3"/>
      <c r="F647" s="3"/>
      <c r="G647" s="3"/>
      <c r="H647" s="3"/>
      <c r="I647" s="3"/>
      <c r="J647" s="3"/>
      <c r="K647" s="20">
        <v>21741</v>
      </c>
      <c r="L647" s="20" t="str">
        <v>2+ Cars</v>
      </c>
      <c r="M647" s="20" t="str">
        <v>41-50</v>
      </c>
      <c r="N647" s="20" t="str">
        <v>5-10 Miles</v>
      </c>
      <c r="O647" s="20">
        <v>3</v>
      </c>
      <c r="P647" s="20" t="str">
        <v>Partial College</v>
      </c>
      <c r="Q647" s="20" t="str">
        <v>North America</v>
      </c>
      <c r="R647" s="20" t="str">
        <v>Married</v>
      </c>
      <c r="S647" s="20" t="str">
        <v>$70k-90k</v>
      </c>
      <c r="T647" s="89">
        <v>0.44381621740654281</v>
      </c>
      <c r="U647" s="91">
        <v>40.539477986638708</v>
      </c>
      <c r="V647" s="49">
        <v>769</v>
      </c>
      <c r="W647" s="20">
        <v>8</v>
      </c>
      <c r="X647" s="20" t="str">
        <v>Cold</v>
      </c>
      <c r="Y647" s="20">
        <v>1</v>
      </c>
    </row>
    <row r="648" spans="1:25" ht="15" customHeight="1" x14ac:dyDescent="0.25">
      <c r="A648" s="3"/>
      <c r="B648" s="3"/>
      <c r="C648" s="3"/>
      <c r="D648" s="3"/>
      <c r="E648" s="3"/>
      <c r="F648" s="3"/>
      <c r="G648" s="3"/>
      <c r="H648" s="3"/>
      <c r="I648" s="3"/>
      <c r="J648" s="3"/>
      <c r="K648" s="20">
        <v>14572</v>
      </c>
      <c r="L648" s="20" t="str">
        <v>0-1 Cars</v>
      </c>
      <c r="M648" s="20" t="str">
        <v>31-40</v>
      </c>
      <c r="N648" s="20" t="str">
        <v>2-5 Miles</v>
      </c>
      <c r="O648" s="20">
        <v>3</v>
      </c>
      <c r="P648" s="20" t="str">
        <v>Graduate Degree</v>
      </c>
      <c r="Q648" s="20" t="str">
        <v>North America</v>
      </c>
      <c r="R648" s="20" t="str">
        <v>Married</v>
      </c>
      <c r="S648" s="20" t="str">
        <v>$70k-90k</v>
      </c>
      <c r="T648" s="89">
        <v>0.54432405256268634</v>
      </c>
      <c r="U648" s="91">
        <v>89.271056224019446</v>
      </c>
      <c r="V648" s="49">
        <v>76</v>
      </c>
      <c r="W648" s="20">
        <v>1</v>
      </c>
      <c r="X648" s="20" t="str">
        <v>Hot</v>
      </c>
      <c r="Y648" s="20">
        <v>1</v>
      </c>
    </row>
    <row r="649" spans="1:25" ht="15" customHeight="1" x14ac:dyDescent="0.25">
      <c r="A649" s="3"/>
      <c r="B649" s="3"/>
      <c r="C649" s="3"/>
      <c r="D649" s="3"/>
      <c r="E649" s="3"/>
      <c r="F649" s="3"/>
      <c r="G649" s="3"/>
      <c r="H649" s="3"/>
      <c r="I649" s="3"/>
      <c r="J649" s="3"/>
      <c r="K649" s="20">
        <v>23368</v>
      </c>
      <c r="L649" s="20" t="str">
        <v>2+ Cars</v>
      </c>
      <c r="M649" s="20" t="str">
        <v>41-50</v>
      </c>
      <c r="N649" s="20" t="str">
        <v>10+ Miles</v>
      </c>
      <c r="O649" s="20">
        <v>5</v>
      </c>
      <c r="P649" s="20" t="str">
        <v>Bachelors</v>
      </c>
      <c r="Q649" s="20" t="str">
        <v>North America</v>
      </c>
      <c r="R649" s="20" t="str">
        <v>Married</v>
      </c>
      <c r="S649" s="20" t="str">
        <v>$40k-60k</v>
      </c>
      <c r="T649" s="89">
        <v>0.4004787985160681</v>
      </c>
      <c r="U649" s="91">
        <v>19.527177642228981</v>
      </c>
      <c r="V649" s="49">
        <v>966</v>
      </c>
      <c r="W649" s="20">
        <v>10</v>
      </c>
      <c r="X649" s="20" t="str">
        <v>Cold</v>
      </c>
      <c r="Y649" s="20">
        <v>0</v>
      </c>
    </row>
    <row r="650" spans="1:25" ht="15" customHeight="1" x14ac:dyDescent="0.25">
      <c r="A650" s="3"/>
      <c r="B650" s="3"/>
      <c r="C650" s="3"/>
      <c r="D650" s="3"/>
      <c r="E650" s="3"/>
      <c r="F650" s="3"/>
      <c r="G650" s="3"/>
      <c r="H650" s="3"/>
      <c r="I650" s="3"/>
      <c r="J650" s="3"/>
      <c r="K650" s="20">
        <v>16217</v>
      </c>
      <c r="L650" s="20" t="str">
        <v>0-1 Cars</v>
      </c>
      <c r="M650" s="20" t="str">
        <v>31-40</v>
      </c>
      <c r="N650" s="20" t="str">
        <v>0-1 Miles</v>
      </c>
      <c r="O650" s="20">
        <v>0</v>
      </c>
      <c r="P650" s="20" t="str">
        <v>Graduate Degree</v>
      </c>
      <c r="Q650" s="20" t="str">
        <v>North America</v>
      </c>
      <c r="R650" s="20" t="str">
        <v>Single</v>
      </c>
      <c r="S650" s="20" t="str">
        <v>$40k-60k</v>
      </c>
      <c r="T650" s="89">
        <v>0.54571740134529167</v>
      </c>
      <c r="U650" s="91">
        <v>89.946626293815541</v>
      </c>
      <c r="V650" s="49">
        <v>66</v>
      </c>
      <c r="W650" s="20">
        <v>1</v>
      </c>
      <c r="X650" s="20" t="str">
        <v>Hot</v>
      </c>
      <c r="Y650" s="20">
        <v>0</v>
      </c>
    </row>
    <row r="651" spans="1:25" ht="15" customHeight="1" x14ac:dyDescent="0.25">
      <c r="A651" s="3"/>
      <c r="B651" s="3"/>
      <c r="C651" s="3"/>
      <c r="D651" s="3"/>
      <c r="E651" s="3"/>
      <c r="F651" s="3"/>
      <c r="G651" s="3"/>
      <c r="H651" s="3"/>
      <c r="I651" s="3"/>
      <c r="J651" s="3"/>
      <c r="K651" s="20">
        <v>16247</v>
      </c>
      <c r="L651" s="20" t="str">
        <v>0-1 Cars</v>
      </c>
      <c r="M651" s="20" t="str">
        <v>41-50</v>
      </c>
      <c r="N651" s="20" t="str">
        <v>1-2 Miles</v>
      </c>
      <c r="O651" s="20">
        <v>4</v>
      </c>
      <c r="P651" s="20" t="str">
        <v>Graduate Degree</v>
      </c>
      <c r="Q651" s="20" t="str">
        <v>North America</v>
      </c>
      <c r="R651" s="20" t="str">
        <v>Single</v>
      </c>
      <c r="S651" s="20" t="str">
        <v>$40k-60k</v>
      </c>
      <c r="T651" s="89">
        <v>0.49891056397288097</v>
      </c>
      <c r="U651" s="91">
        <v>67.252166166260366</v>
      </c>
      <c r="V651" s="49">
        <v>384</v>
      </c>
      <c r="W651" s="20">
        <v>4</v>
      </c>
      <c r="X651" s="20" t="str">
        <v>Warm</v>
      </c>
      <c r="Y651" s="20">
        <v>0</v>
      </c>
    </row>
    <row r="652" spans="1:25" ht="15" customHeight="1" x14ac:dyDescent="0.25">
      <c r="A652" s="3"/>
      <c r="B652" s="3"/>
      <c r="C652" s="3"/>
      <c r="D652" s="3"/>
      <c r="E652" s="3"/>
      <c r="F652" s="3"/>
      <c r="G652" s="3"/>
      <c r="H652" s="3"/>
      <c r="I652" s="3"/>
      <c r="J652" s="3"/>
      <c r="K652" s="20">
        <v>22010</v>
      </c>
      <c r="L652" s="20" t="str">
        <v>2+ Cars</v>
      </c>
      <c r="M652" s="20" t="str">
        <v>31-40</v>
      </c>
      <c r="N652" s="20" t="str">
        <v>5-10 Miles</v>
      </c>
      <c r="O652" s="20">
        <v>0</v>
      </c>
      <c r="P652" s="20" t="str">
        <v>High School</v>
      </c>
      <c r="Q652" s="20" t="str">
        <v>North America</v>
      </c>
      <c r="R652" s="20" t="str">
        <v>Single</v>
      </c>
      <c r="S652" s="20" t="str">
        <v>$40k-60k</v>
      </c>
      <c r="T652" s="89">
        <v>0.4730527780851132</v>
      </c>
      <c r="U652" s="91">
        <v>54.714927511407375</v>
      </c>
      <c r="V652" s="49">
        <v>556</v>
      </c>
      <c r="W652" s="20">
        <v>6</v>
      </c>
      <c r="X652" s="20" t="str">
        <v>Warm</v>
      </c>
      <c r="Y652" s="20">
        <v>0</v>
      </c>
    </row>
    <row r="653" spans="1:25" ht="15" customHeight="1" x14ac:dyDescent="0.25">
      <c r="A653" s="3"/>
      <c r="B653" s="3"/>
      <c r="C653" s="3"/>
      <c r="D653" s="3"/>
      <c r="E653" s="3"/>
      <c r="F653" s="3"/>
      <c r="G653" s="3"/>
      <c r="H653" s="3"/>
      <c r="I653" s="3"/>
      <c r="J653" s="3"/>
      <c r="K653" s="20">
        <v>25872</v>
      </c>
      <c r="L653" s="20" t="str">
        <v>0-1 Cars</v>
      </c>
      <c r="M653" s="20" t="str">
        <v>51-60</v>
      </c>
      <c r="N653" s="20" t="str">
        <v>2-5 Miles</v>
      </c>
      <c r="O653" s="20">
        <v>2</v>
      </c>
      <c r="P653" s="20" t="str">
        <v>Bachelors</v>
      </c>
      <c r="Q653" s="20" t="str">
        <v>North America</v>
      </c>
      <c r="R653" s="20" t="str">
        <v>Single</v>
      </c>
      <c r="S653" s="20" t="str">
        <v>$70k-90k</v>
      </c>
      <c r="T653" s="89">
        <v>0.51934861230033824</v>
      </c>
      <c r="U653" s="91">
        <v>77.161625956549884</v>
      </c>
      <c r="V653" s="49">
        <v>259</v>
      </c>
      <c r="W653" s="20">
        <v>3</v>
      </c>
      <c r="X653" s="20" t="str">
        <v>Hot</v>
      </c>
      <c r="Y653" s="20">
        <v>1</v>
      </c>
    </row>
    <row r="654" spans="1:25" ht="15" customHeight="1" x14ac:dyDescent="0.25">
      <c r="A654" s="3"/>
      <c r="B654" s="3"/>
      <c r="C654" s="3"/>
      <c r="D654" s="3"/>
      <c r="E654" s="3"/>
      <c r="F654" s="3"/>
      <c r="G654" s="3"/>
      <c r="H654" s="3"/>
      <c r="I654" s="3"/>
      <c r="J654" s="3"/>
      <c r="K654" s="20">
        <v>19164</v>
      </c>
      <c r="L654" s="20" t="str">
        <v>0-1 Cars</v>
      </c>
      <c r="M654" s="20" t="str">
        <v>31-40</v>
      </c>
      <c r="N654" s="20" t="str">
        <v>2-5 Miles</v>
      </c>
      <c r="O654" s="20">
        <v>0</v>
      </c>
      <c r="P654" s="20" t="str">
        <v>Bachelors</v>
      </c>
      <c r="Q654" s="20" t="str">
        <v>North America</v>
      </c>
      <c r="R654" s="20" t="str">
        <v>Single</v>
      </c>
      <c r="S654" s="20" t="str">
        <v>$70k-90k</v>
      </c>
      <c r="T654" s="89">
        <v>0.55000912229567878</v>
      </c>
      <c r="U654" s="91">
        <v>92.027482327993198</v>
      </c>
      <c r="V654" s="49">
        <v>49</v>
      </c>
      <c r="W654" s="20">
        <v>1</v>
      </c>
      <c r="X654" s="20" t="str">
        <v>Hot</v>
      </c>
      <c r="Y654" s="20">
        <v>1</v>
      </c>
    </row>
    <row r="655" spans="1:25" ht="15" customHeight="1" x14ac:dyDescent="0.25">
      <c r="A655" s="3"/>
      <c r="B655" s="3"/>
      <c r="C655" s="3"/>
      <c r="D655" s="3"/>
      <c r="E655" s="3"/>
      <c r="F655" s="3"/>
      <c r="G655" s="3"/>
      <c r="H655" s="3"/>
      <c r="I655" s="3"/>
      <c r="J655" s="3"/>
      <c r="K655" s="20">
        <v>18435</v>
      </c>
      <c r="L655" s="20" t="str">
        <v>2+ Cars</v>
      </c>
      <c r="M655" s="20" t="str">
        <v>61+</v>
      </c>
      <c r="N655" s="20" t="str">
        <v>10+ Miles</v>
      </c>
      <c r="O655" s="20">
        <v>5</v>
      </c>
      <c r="P655" s="20" t="str">
        <v>Graduate Degree</v>
      </c>
      <c r="Q655" s="20" t="str">
        <v>North America</v>
      </c>
      <c r="R655" s="20" t="str">
        <v>Single</v>
      </c>
      <c r="S655" s="20" t="str">
        <v>$70k-90k</v>
      </c>
      <c r="T655" s="89">
        <v>0.37914002526573354</v>
      </c>
      <c r="U655" s="91">
        <v>9.1809981973835431</v>
      </c>
      <c r="V655" s="49">
        <v>994</v>
      </c>
      <c r="W655" s="20">
        <v>10</v>
      </c>
      <c r="X655" s="20" t="str">
        <v>Cold</v>
      </c>
      <c r="Y655" s="20">
        <v>1</v>
      </c>
    </row>
    <row r="656" spans="1:25" ht="15" customHeight="1" x14ac:dyDescent="0.25">
      <c r="A656" s="3"/>
      <c r="B656" s="3"/>
      <c r="C656" s="3"/>
      <c r="D656" s="3"/>
      <c r="E656" s="3"/>
      <c r="F656" s="3"/>
      <c r="G656" s="3"/>
      <c r="H656" s="3"/>
      <c r="I656" s="3"/>
      <c r="J656" s="3"/>
      <c r="K656" s="20">
        <v>14284</v>
      </c>
      <c r="L656" s="20" t="str">
        <v>2+ Cars</v>
      </c>
      <c r="M656" s="20" t="str">
        <v>31-40</v>
      </c>
      <c r="N656" s="20" t="str">
        <v>1-2 Miles</v>
      </c>
      <c r="O656" s="20">
        <v>0</v>
      </c>
      <c r="P656" s="20" t="str">
        <v>Partial College</v>
      </c>
      <c r="Q656" s="20" t="str">
        <v>North America</v>
      </c>
      <c r="R656" s="20" t="str">
        <v>Single</v>
      </c>
      <c r="S656" s="20" t="str">
        <v>$40k-60k</v>
      </c>
      <c r="T656" s="89">
        <v>0.48263177917266925</v>
      </c>
      <c r="U656" s="91">
        <v>59.359339961531262</v>
      </c>
      <c r="V656" s="49">
        <v>492</v>
      </c>
      <c r="W656" s="20">
        <v>5</v>
      </c>
      <c r="X656" s="20" t="str">
        <v>Warm</v>
      </c>
      <c r="Y656" s="20">
        <v>1</v>
      </c>
    </row>
    <row r="657" spans="1:25" ht="15" customHeight="1" x14ac:dyDescent="0.25">
      <c r="A657" s="3"/>
      <c r="B657" s="3"/>
      <c r="C657" s="3"/>
      <c r="D657" s="3"/>
      <c r="E657" s="3"/>
      <c r="F657" s="3"/>
      <c r="G657" s="3"/>
      <c r="H657" s="3"/>
      <c r="I657" s="3"/>
      <c r="J657" s="3"/>
      <c r="K657" s="20">
        <v>11287</v>
      </c>
      <c r="L657" s="20" t="str">
        <v>2+ Cars</v>
      </c>
      <c r="M657" s="20" t="str">
        <v>41-50</v>
      </c>
      <c r="N657" s="20" t="str">
        <v>5-10 Miles</v>
      </c>
      <c r="O657" s="20">
        <v>5</v>
      </c>
      <c r="P657" s="20" t="str">
        <v>Partial College</v>
      </c>
      <c r="Q657" s="20" t="str">
        <v>North America</v>
      </c>
      <c r="R657" s="20" t="str">
        <v>Married</v>
      </c>
      <c r="S657" s="20" t="str">
        <v>$70k-90k</v>
      </c>
      <c r="T657" s="89">
        <v>0.39896963104611816</v>
      </c>
      <c r="U657" s="91">
        <v>18.795452473530226</v>
      </c>
      <c r="V657" s="49">
        <v>970</v>
      </c>
      <c r="W657" s="20">
        <v>10</v>
      </c>
      <c r="X657" s="20" t="str">
        <v>Cold</v>
      </c>
      <c r="Y657" s="20">
        <v>0</v>
      </c>
    </row>
    <row r="658" spans="1:25" ht="15" customHeight="1" x14ac:dyDescent="0.25">
      <c r="A658" s="3"/>
      <c r="B658" s="3"/>
      <c r="C658" s="3"/>
      <c r="D658" s="3"/>
      <c r="E658" s="3"/>
      <c r="F658" s="3"/>
      <c r="G658" s="3"/>
      <c r="H658" s="3"/>
      <c r="I658" s="3"/>
      <c r="J658" s="3"/>
      <c r="K658" s="20">
        <v>13066</v>
      </c>
      <c r="L658" s="20" t="str">
        <v>2+ Cars</v>
      </c>
      <c r="M658" s="20" t="str">
        <v>31-40</v>
      </c>
      <c r="N658" s="20" t="str">
        <v>1-2 Miles</v>
      </c>
      <c r="O658" s="20">
        <v>0</v>
      </c>
      <c r="P658" s="20" t="str">
        <v>High School</v>
      </c>
      <c r="Q658" s="20" t="str">
        <v>North America</v>
      </c>
      <c r="R658" s="20" t="str">
        <v>Single</v>
      </c>
      <c r="S658" s="20" t="str">
        <v>$10k-30k</v>
      </c>
      <c r="T658" s="89">
        <v>0.47085272007964052</v>
      </c>
      <c r="U658" s="91">
        <v>53.648221630677682</v>
      </c>
      <c r="V658" s="49">
        <v>574</v>
      </c>
      <c r="W658" s="20">
        <v>6</v>
      </c>
      <c r="X658" s="20" t="str">
        <v>Warm</v>
      </c>
      <c r="Y658" s="20">
        <v>1</v>
      </c>
    </row>
    <row r="659" spans="1:25" ht="15" customHeight="1" x14ac:dyDescent="0.25">
      <c r="A659" s="3"/>
      <c r="B659" s="3"/>
      <c r="C659" s="3"/>
      <c r="D659" s="3"/>
      <c r="E659" s="3"/>
      <c r="F659" s="3"/>
      <c r="G659" s="3"/>
      <c r="H659" s="3"/>
      <c r="I659" s="3"/>
      <c r="J659" s="3"/>
      <c r="K659" s="20">
        <v>29106</v>
      </c>
      <c r="L659" s="20" t="str">
        <v>2+ Cars</v>
      </c>
      <c r="M659" s="20" t="str">
        <v>31-40</v>
      </c>
      <c r="N659" s="20" t="str">
        <v>1-2 Miles</v>
      </c>
      <c r="O659" s="20">
        <v>0</v>
      </c>
      <c r="P659" s="20" t="str">
        <v>High School</v>
      </c>
      <c r="Q659" s="20" t="str">
        <v>North America</v>
      </c>
      <c r="R659" s="20" t="str">
        <v>Single</v>
      </c>
      <c r="S659" s="20" t="str">
        <v>$40k-60k</v>
      </c>
      <c r="T659" s="89">
        <v>0.48167810291889301</v>
      </c>
      <c r="U659" s="91">
        <v>58.89694666749773</v>
      </c>
      <c r="V659" s="49">
        <v>498</v>
      </c>
      <c r="W659" s="20">
        <v>5</v>
      </c>
      <c r="X659" s="20" t="str">
        <v>Warm</v>
      </c>
      <c r="Y659" s="20">
        <v>1</v>
      </c>
    </row>
    <row r="660" spans="1:25" ht="15" customHeight="1" x14ac:dyDescent="0.25">
      <c r="A660" s="3"/>
      <c r="B660" s="3"/>
      <c r="C660" s="3"/>
      <c r="D660" s="3"/>
      <c r="E660" s="3"/>
      <c r="F660" s="3"/>
      <c r="G660" s="3"/>
      <c r="H660" s="3"/>
      <c r="I660" s="3"/>
      <c r="J660" s="3"/>
      <c r="K660" s="20">
        <v>26236</v>
      </c>
      <c r="L660" s="20" t="str">
        <v>0-1 Cars</v>
      </c>
      <c r="M660" s="20" t="str">
        <v>31-40</v>
      </c>
      <c r="N660" s="20" t="str">
        <v>0-1 Miles</v>
      </c>
      <c r="O660" s="20">
        <v>3</v>
      </c>
      <c r="P660" s="20" t="str">
        <v>Partial College</v>
      </c>
      <c r="Q660" s="20" t="str">
        <v>North America</v>
      </c>
      <c r="R660" s="20" t="str">
        <v>Married</v>
      </c>
      <c r="S660" s="20" t="str">
        <v>$40k-60k</v>
      </c>
      <c r="T660" s="89">
        <v>0.53025363819601712</v>
      </c>
      <c r="U660" s="91">
        <v>82.448966210076918</v>
      </c>
      <c r="V660" s="49">
        <v>184</v>
      </c>
      <c r="W660" s="20">
        <v>2</v>
      </c>
      <c r="X660" s="20" t="str">
        <v>Hot</v>
      </c>
      <c r="Y660" s="20">
        <v>0</v>
      </c>
    </row>
    <row r="661" spans="1:25" ht="15" customHeight="1" x14ac:dyDescent="0.25">
      <c r="A661" s="3"/>
      <c r="B661" s="3"/>
      <c r="C661" s="3"/>
      <c r="D661" s="3"/>
      <c r="E661" s="3"/>
      <c r="F661" s="3"/>
      <c r="G661" s="3"/>
      <c r="H661" s="3"/>
      <c r="I661" s="3"/>
      <c r="J661" s="3"/>
      <c r="K661" s="20">
        <v>17531</v>
      </c>
      <c r="L661" s="20" t="str">
        <v>2+ Cars</v>
      </c>
      <c r="M661" s="20" t="str">
        <v>41-50</v>
      </c>
      <c r="N661" s="20" t="str">
        <v>5-10 Miles</v>
      </c>
      <c r="O661" s="20">
        <v>2</v>
      </c>
      <c r="P661" s="20" t="str">
        <v>High School</v>
      </c>
      <c r="Q661" s="20" t="str">
        <v>North America</v>
      </c>
      <c r="R661" s="20" t="str">
        <v>Married</v>
      </c>
      <c r="S661" s="20" t="str">
        <v>$40k-60k</v>
      </c>
      <c r="T661" s="89">
        <v>0.43461285565574964</v>
      </c>
      <c r="U661" s="91">
        <v>36.07719559334133</v>
      </c>
      <c r="V661" s="49">
        <v>804</v>
      </c>
      <c r="W661" s="20">
        <v>9</v>
      </c>
      <c r="X661" s="20" t="str">
        <v>Cold</v>
      </c>
      <c r="Y661" s="20">
        <v>0</v>
      </c>
    </row>
    <row r="662" spans="1:25" ht="15" customHeight="1" x14ac:dyDescent="0.25">
      <c r="A662" s="3"/>
      <c r="B662" s="3"/>
      <c r="C662" s="3"/>
      <c r="D662" s="3"/>
      <c r="E662" s="3"/>
      <c r="F662" s="3"/>
      <c r="G662" s="3"/>
      <c r="H662" s="3"/>
      <c r="I662" s="3"/>
      <c r="J662" s="3"/>
      <c r="K662" s="20">
        <v>12964</v>
      </c>
      <c r="L662" s="20" t="str">
        <v>0-1 Cars</v>
      </c>
      <c r="M662" s="20" t="str">
        <v>41-50</v>
      </c>
      <c r="N662" s="20" t="str">
        <v>0-1 Miles</v>
      </c>
      <c r="O662" s="20">
        <v>1</v>
      </c>
      <c r="P662" s="20" t="str">
        <v>Partial College</v>
      </c>
      <c r="Q662" s="20" t="str">
        <v>North America</v>
      </c>
      <c r="R662" s="20" t="str">
        <v>Married</v>
      </c>
      <c r="S662" s="20" t="str">
        <v>$70k-90k</v>
      </c>
      <c r="T662" s="89">
        <v>0.50831637231025417</v>
      </c>
      <c r="U662" s="91">
        <v>71.812605500829918</v>
      </c>
      <c r="V662" s="49">
        <v>331</v>
      </c>
      <c r="W662" s="20">
        <v>4</v>
      </c>
      <c r="X662" s="20" t="str">
        <v>Warm</v>
      </c>
      <c r="Y662" s="20">
        <v>0</v>
      </c>
    </row>
    <row r="663" spans="1:25" ht="15" customHeight="1" x14ac:dyDescent="0.25">
      <c r="A663" s="3"/>
      <c r="B663" s="3"/>
      <c r="C663" s="3"/>
      <c r="D663" s="3"/>
      <c r="E663" s="3"/>
      <c r="F663" s="3"/>
      <c r="G663" s="3"/>
      <c r="H663" s="3"/>
      <c r="I663" s="3"/>
      <c r="J663" s="3"/>
      <c r="K663" s="20">
        <v>19133</v>
      </c>
      <c r="L663" s="20" t="str">
        <v>0-1 Cars</v>
      </c>
      <c r="M663" s="20" t="str">
        <v>31-40</v>
      </c>
      <c r="N663" s="20" t="str">
        <v>2-5 Miles</v>
      </c>
      <c r="O663" s="20">
        <v>2</v>
      </c>
      <c r="P663" s="20" t="str">
        <v>Bachelors</v>
      </c>
      <c r="Q663" s="20" t="str">
        <v>North America</v>
      </c>
      <c r="R663" s="20" t="str">
        <v>Single</v>
      </c>
      <c r="S663" s="20" t="str">
        <v>$40k-60k</v>
      </c>
      <c r="T663" s="89">
        <v>0.54724274216882418</v>
      </c>
      <c r="U663" s="91">
        <v>90.68619317002144</v>
      </c>
      <c r="V663" s="49">
        <v>57</v>
      </c>
      <c r="W663" s="20">
        <v>1</v>
      </c>
      <c r="X663" s="20" t="str">
        <v>Hot</v>
      </c>
      <c r="Y663" s="20">
        <v>1</v>
      </c>
    </row>
    <row r="664" spans="1:25" ht="15" customHeight="1" x14ac:dyDescent="0.25">
      <c r="A664" s="3"/>
      <c r="B664" s="3"/>
      <c r="C664" s="3"/>
      <c r="D664" s="3"/>
      <c r="E664" s="3"/>
      <c r="F664" s="3"/>
      <c r="G664" s="3"/>
      <c r="H664" s="3"/>
      <c r="I664" s="3"/>
      <c r="J664" s="3"/>
      <c r="K664" s="20">
        <v>24643</v>
      </c>
      <c r="L664" s="20" t="str">
        <v>2+ Cars</v>
      </c>
      <c r="M664" s="20" t="str">
        <v>61+</v>
      </c>
      <c r="N664" s="20" t="str">
        <v>10+ Miles</v>
      </c>
      <c r="O664" s="20">
        <v>4</v>
      </c>
      <c r="P664" s="20" t="str">
        <v>Bachelors</v>
      </c>
      <c r="Q664" s="20" t="str">
        <v>North America</v>
      </c>
      <c r="R664" s="20" t="str">
        <v>Single</v>
      </c>
      <c r="S664" s="20" t="str">
        <v>$40k-60k</v>
      </c>
      <c r="T664" s="89">
        <v>0.4122854477158972</v>
      </c>
      <c r="U664" s="91">
        <v>25.251673133639553</v>
      </c>
      <c r="V664" s="49">
        <v>938</v>
      </c>
      <c r="W664" s="20">
        <v>10</v>
      </c>
      <c r="X664" s="20" t="str">
        <v>Cold</v>
      </c>
      <c r="Y664" s="20">
        <v>0</v>
      </c>
    </row>
    <row r="665" spans="1:25" ht="15" customHeight="1" x14ac:dyDescent="0.25">
      <c r="A665" s="3"/>
      <c r="B665" s="3"/>
      <c r="C665" s="3"/>
      <c r="D665" s="3"/>
      <c r="E665" s="3"/>
      <c r="F665" s="3"/>
      <c r="G665" s="3"/>
      <c r="H665" s="3"/>
      <c r="I665" s="3"/>
      <c r="J665" s="3"/>
      <c r="K665" s="20">
        <v>21599</v>
      </c>
      <c r="L665" s="20" t="str">
        <v>0-1 Cars</v>
      </c>
      <c r="M665" s="20" t="str">
        <v>31-40</v>
      </c>
      <c r="N665" s="20" t="str">
        <v>2-5 Miles</v>
      </c>
      <c r="O665" s="20">
        <v>1</v>
      </c>
      <c r="P665" s="20" t="str">
        <v>Graduate Degree</v>
      </c>
      <c r="Q665" s="20" t="str">
        <v>North America</v>
      </c>
      <c r="R665" s="20" t="str">
        <v>Married</v>
      </c>
      <c r="S665" s="20" t="str">
        <v>$40k-60k</v>
      </c>
      <c r="T665" s="89">
        <v>0.55134741913222174</v>
      </c>
      <c r="U665" s="91">
        <v>92.676360267643531</v>
      </c>
      <c r="V665" s="49">
        <v>36</v>
      </c>
      <c r="W665" s="20">
        <v>1</v>
      </c>
      <c r="X665" s="20" t="str">
        <v>Hot</v>
      </c>
      <c r="Y665" s="20">
        <v>1</v>
      </c>
    </row>
    <row r="666" spans="1:25" ht="15" customHeight="1" x14ac:dyDescent="0.25">
      <c r="A666" s="3"/>
      <c r="B666" s="3"/>
      <c r="C666" s="3"/>
      <c r="D666" s="3"/>
      <c r="E666" s="3"/>
      <c r="F666" s="3"/>
      <c r="G666" s="3"/>
      <c r="H666" s="3"/>
      <c r="I666" s="3"/>
      <c r="J666" s="3"/>
      <c r="K666" s="20">
        <v>22976</v>
      </c>
      <c r="L666" s="20" t="str">
        <v>2+ Cars</v>
      </c>
      <c r="M666" s="20" t="str">
        <v>25-30</v>
      </c>
      <c r="N666" s="20" t="str">
        <v>0-1 Miles</v>
      </c>
      <c r="O666" s="20">
        <v>0</v>
      </c>
      <c r="P666" s="20" t="str">
        <v>High School</v>
      </c>
      <c r="Q666" s="20" t="str">
        <v>North America</v>
      </c>
      <c r="R666" s="20" t="str">
        <v>Single</v>
      </c>
      <c r="S666" s="20" t="str">
        <v>$40k-60k</v>
      </c>
      <c r="T666" s="89">
        <v>0.45389402188787609</v>
      </c>
      <c r="U666" s="91">
        <v>45.425737020873811</v>
      </c>
      <c r="V666" s="49">
        <v>712</v>
      </c>
      <c r="W666" s="20">
        <v>8</v>
      </c>
      <c r="X666" s="20" t="str">
        <v>Cold</v>
      </c>
      <c r="Y666" s="20">
        <v>1</v>
      </c>
    </row>
    <row r="667" spans="1:25" ht="15" customHeight="1" x14ac:dyDescent="0.25">
      <c r="A667" s="3"/>
      <c r="B667" s="3"/>
      <c r="C667" s="3"/>
      <c r="D667" s="3"/>
      <c r="E667" s="3"/>
      <c r="F667" s="3"/>
      <c r="G667" s="3"/>
      <c r="H667" s="3"/>
      <c r="I667" s="3"/>
      <c r="J667" s="3"/>
      <c r="K667" s="20">
        <v>27637</v>
      </c>
      <c r="L667" s="20" t="str">
        <v>2+ Cars</v>
      </c>
      <c r="M667" s="20" t="str">
        <v>41-50</v>
      </c>
      <c r="N667" s="20" t="str">
        <v>1-2 Miles</v>
      </c>
      <c r="O667" s="20">
        <v>1</v>
      </c>
      <c r="P667" s="20" t="str">
        <v>Partial College</v>
      </c>
      <c r="Q667" s="20" t="str">
        <v>North America</v>
      </c>
      <c r="R667" s="20" t="str">
        <v>Single</v>
      </c>
      <c r="S667" s="20" t="str">
        <v>$100k+</v>
      </c>
      <c r="T667" s="89">
        <v>0.46532474889992254</v>
      </c>
      <c r="U667" s="91">
        <v>50.967965314143683</v>
      </c>
      <c r="V667" s="49">
        <v>608</v>
      </c>
      <c r="W667" s="20">
        <v>7</v>
      </c>
      <c r="X667" s="20" t="str">
        <v>Cold</v>
      </c>
      <c r="Y667" s="20">
        <v>0</v>
      </c>
    </row>
    <row r="668" spans="1:25" ht="15" customHeight="1" x14ac:dyDescent="0.25">
      <c r="A668" s="3"/>
      <c r="B668" s="3"/>
      <c r="C668" s="3"/>
      <c r="D668" s="3"/>
      <c r="E668" s="3"/>
      <c r="F668" s="3"/>
      <c r="G668" s="3"/>
      <c r="H668" s="3"/>
      <c r="I668" s="3"/>
      <c r="J668" s="3"/>
      <c r="K668" s="20">
        <v>11890</v>
      </c>
      <c r="L668" s="20" t="str">
        <v>0-1 Cars</v>
      </c>
      <c r="M668" s="20" t="str">
        <v>41-50</v>
      </c>
      <c r="N668" s="20" t="str">
        <v>0-1 Miles</v>
      </c>
      <c r="O668" s="20">
        <v>5</v>
      </c>
      <c r="P668" s="20" t="str">
        <v>Graduate Degree</v>
      </c>
      <c r="Q668" s="20" t="str">
        <v>North America</v>
      </c>
      <c r="R668" s="20" t="str">
        <v>Married</v>
      </c>
      <c r="S668" s="20" t="str">
        <v>$70k-90k</v>
      </c>
      <c r="T668" s="89">
        <v>0.47068057805252034</v>
      </c>
      <c r="U668" s="91">
        <v>53.564757961904839</v>
      </c>
      <c r="V668" s="49">
        <v>576</v>
      </c>
      <c r="W668" s="20">
        <v>6</v>
      </c>
      <c r="X668" s="20" t="str">
        <v>Warm</v>
      </c>
      <c r="Y668" s="20">
        <v>0</v>
      </c>
    </row>
    <row r="669" spans="1:25" ht="15" customHeight="1" x14ac:dyDescent="0.25">
      <c r="A669" s="3"/>
      <c r="B669" s="3"/>
      <c r="C669" s="3"/>
      <c r="D669" s="3"/>
      <c r="E669" s="3"/>
      <c r="F669" s="3"/>
      <c r="G669" s="3"/>
      <c r="H669" s="3"/>
      <c r="I669" s="3"/>
      <c r="J669" s="3"/>
      <c r="K669" s="20">
        <v>28580</v>
      </c>
      <c r="L669" s="20" t="str">
        <v>0-1 Cars</v>
      </c>
      <c r="M669" s="20" t="str">
        <v>31-40</v>
      </c>
      <c r="N669" s="20" t="str">
        <v>1-2 Miles</v>
      </c>
      <c r="O669" s="20">
        <v>0</v>
      </c>
      <c r="P669" s="20" t="str">
        <v>Graduate Degree</v>
      </c>
      <c r="Q669" s="20" t="str">
        <v>North America</v>
      </c>
      <c r="R669" s="20" t="str">
        <v>Married</v>
      </c>
      <c r="S669" s="20" t="str">
        <v>$70k-90k</v>
      </c>
      <c r="T669" s="89">
        <v>0.51997107893455352</v>
      </c>
      <c r="U669" s="91">
        <v>77.46343109878876</v>
      </c>
      <c r="V669" s="49">
        <v>256</v>
      </c>
      <c r="W669" s="20">
        <v>3</v>
      </c>
      <c r="X669" s="20" t="str">
        <v>Hot</v>
      </c>
      <c r="Y669" s="20">
        <v>1</v>
      </c>
    </row>
    <row r="670" spans="1:25" ht="15" customHeight="1" x14ac:dyDescent="0.25">
      <c r="A670" s="3"/>
      <c r="B670" s="3"/>
      <c r="C670" s="3"/>
      <c r="D670" s="3"/>
      <c r="E670" s="3"/>
      <c r="F670" s="3"/>
      <c r="G670" s="3"/>
      <c r="H670" s="3"/>
      <c r="I670" s="3"/>
      <c r="J670" s="3"/>
      <c r="K670" s="20">
        <v>14443</v>
      </c>
      <c r="L670" s="20" t="str">
        <v>2+ Cars</v>
      </c>
      <c r="M670" s="20" t="str">
        <v>31-40</v>
      </c>
      <c r="N670" s="20" t="str">
        <v>0-1 Miles</v>
      </c>
      <c r="O670" s="20">
        <v>1</v>
      </c>
      <c r="P670" s="20" t="str">
        <v>Graduate Degree</v>
      </c>
      <c r="Q670" s="20" t="str">
        <v>North America</v>
      </c>
      <c r="R670" s="20" t="str">
        <v>Married</v>
      </c>
      <c r="S670" s="20" t="str">
        <v>$100k+</v>
      </c>
      <c r="T670" s="89">
        <v>0.50304924558007702</v>
      </c>
      <c r="U670" s="91">
        <v>69.258820535318819</v>
      </c>
      <c r="V670" s="49">
        <v>348</v>
      </c>
      <c r="W670" s="20">
        <v>4</v>
      </c>
      <c r="X670" s="20" t="str">
        <v>Warm</v>
      </c>
      <c r="Y670" s="20">
        <v>0</v>
      </c>
    </row>
    <row r="671" spans="1:25" ht="15" customHeight="1" x14ac:dyDescent="0.25">
      <c r="A671" s="3"/>
      <c r="B671" s="3"/>
      <c r="C671" s="3"/>
      <c r="D671" s="3"/>
      <c r="E671" s="3"/>
      <c r="F671" s="3"/>
      <c r="G671" s="3"/>
      <c r="H671" s="3"/>
      <c r="I671" s="3"/>
      <c r="J671" s="3"/>
      <c r="K671" s="20">
        <v>17864</v>
      </c>
      <c r="L671" s="20" t="str">
        <v>0-1 Cars</v>
      </c>
      <c r="M671" s="20" t="str">
        <v>41-50</v>
      </c>
      <c r="N671" s="20" t="str">
        <v>2-5 Miles</v>
      </c>
      <c r="O671" s="20">
        <v>1</v>
      </c>
      <c r="P671" s="20" t="str">
        <v>Partial College</v>
      </c>
      <c r="Q671" s="20" t="str">
        <v>North America</v>
      </c>
      <c r="R671" s="20" t="str">
        <v>Married</v>
      </c>
      <c r="S671" s="20" t="str">
        <v>$40k-60k</v>
      </c>
      <c r="T671" s="89">
        <v>0.5170480265865407</v>
      </c>
      <c r="U671" s="91">
        <v>76.046178862006911</v>
      </c>
      <c r="V671" s="49">
        <v>274</v>
      </c>
      <c r="W671" s="20">
        <v>3</v>
      </c>
      <c r="X671" s="20" t="str">
        <v>Hot</v>
      </c>
      <c r="Y671" s="20">
        <v>1</v>
      </c>
    </row>
    <row r="672" spans="1:25" ht="15" customHeight="1" x14ac:dyDescent="0.25">
      <c r="A672" s="3"/>
      <c r="B672" s="3"/>
      <c r="C672" s="3"/>
      <c r="D672" s="3"/>
      <c r="E672" s="3"/>
      <c r="F672" s="3"/>
      <c r="G672" s="3"/>
      <c r="H672" s="3"/>
      <c r="I672" s="3"/>
      <c r="J672" s="3"/>
      <c r="K672" s="20">
        <v>20505</v>
      </c>
      <c r="L672" s="20" t="str">
        <v>2+ Cars</v>
      </c>
      <c r="M672" s="20" t="str">
        <v>61+</v>
      </c>
      <c r="N672" s="20" t="str">
        <v>10+ Miles</v>
      </c>
      <c r="O672" s="20">
        <v>5</v>
      </c>
      <c r="P672" s="20" t="str">
        <v>High School</v>
      </c>
      <c r="Q672" s="20" t="str">
        <v>North America</v>
      </c>
      <c r="R672" s="20" t="str">
        <v>Married</v>
      </c>
      <c r="S672" s="20" t="str">
        <v>$40k-60k</v>
      </c>
      <c r="T672" s="89">
        <v>0.36020441335313497</v>
      </c>
      <c r="U672" s="91">
        <v>0</v>
      </c>
      <c r="V672" s="49">
        <v>1000</v>
      </c>
      <c r="W672" s="20">
        <v>10</v>
      </c>
      <c r="X672" s="20" t="str">
        <v>Cold</v>
      </c>
      <c r="Y672" s="20">
        <v>0</v>
      </c>
    </row>
    <row r="673" spans="1:25" ht="15" customHeight="1" x14ac:dyDescent="0.25">
      <c r="A673" s="3"/>
      <c r="B673" s="3"/>
      <c r="C673" s="3"/>
      <c r="D673" s="3"/>
      <c r="E673" s="3"/>
      <c r="F673" s="3"/>
      <c r="G673" s="3"/>
      <c r="H673" s="3"/>
      <c r="I673" s="3"/>
      <c r="J673" s="3"/>
      <c r="K673" s="20">
        <v>14592</v>
      </c>
      <c r="L673" s="20" t="str">
        <v>0-1 Cars</v>
      </c>
      <c r="M673" s="20" t="str">
        <v>31-40</v>
      </c>
      <c r="N673" s="20" t="str">
        <v>0-1 Miles</v>
      </c>
      <c r="O673" s="20">
        <v>0</v>
      </c>
      <c r="P673" s="20" t="str">
        <v>Graduate Degree</v>
      </c>
      <c r="Q673" s="20" t="str">
        <v>North America</v>
      </c>
      <c r="R673" s="20" t="str">
        <v>Married</v>
      </c>
      <c r="S673" s="20" t="str">
        <v>$40k-60k</v>
      </c>
      <c r="T673" s="89">
        <v>0.53603935863746655</v>
      </c>
      <c r="U673" s="91">
        <v>85.254193164911712</v>
      </c>
      <c r="V673" s="49">
        <v>137</v>
      </c>
      <c r="W673" s="20">
        <v>2</v>
      </c>
      <c r="X673" s="20" t="str">
        <v>Hot</v>
      </c>
      <c r="Y673" s="20">
        <v>0</v>
      </c>
    </row>
    <row r="674" spans="1:25" ht="15" customHeight="1" x14ac:dyDescent="0.25">
      <c r="A674" s="3"/>
      <c r="B674" s="3"/>
      <c r="C674" s="3"/>
      <c r="D674" s="3"/>
      <c r="E674" s="3"/>
      <c r="F674" s="3"/>
      <c r="G674" s="3"/>
      <c r="H674" s="3"/>
      <c r="I674" s="3"/>
      <c r="J674" s="3"/>
      <c r="K674" s="20">
        <v>22227</v>
      </c>
      <c r="L674" s="20" t="str">
        <v>2+ Cars</v>
      </c>
      <c r="M674" s="20" t="str">
        <v>41-50</v>
      </c>
      <c r="N674" s="20" t="str">
        <v>5-10 Miles</v>
      </c>
      <c r="O674" s="20">
        <v>2</v>
      </c>
      <c r="P674" s="20" t="str">
        <v>High School</v>
      </c>
      <c r="Q674" s="20" t="str">
        <v>North America</v>
      </c>
      <c r="R674" s="20" t="str">
        <v>Married</v>
      </c>
      <c r="S674" s="20" t="str">
        <v>$40k-60k</v>
      </c>
      <c r="T674" s="89">
        <v>0.43461285565574964</v>
      </c>
      <c r="U674" s="91">
        <v>36.07719559334133</v>
      </c>
      <c r="V674" s="49">
        <v>806</v>
      </c>
      <c r="W674" s="20">
        <v>9</v>
      </c>
      <c r="X674" s="20" t="str">
        <v>Cold</v>
      </c>
      <c r="Y674" s="20">
        <v>0</v>
      </c>
    </row>
    <row r="675" spans="1:25" ht="15" customHeight="1" x14ac:dyDescent="0.25">
      <c r="A675" s="3"/>
      <c r="B675" s="3"/>
      <c r="C675" s="3"/>
      <c r="D675" s="3"/>
      <c r="E675" s="3"/>
      <c r="F675" s="3"/>
      <c r="G675" s="3"/>
      <c r="H675" s="3"/>
      <c r="I675" s="3"/>
      <c r="J675" s="3"/>
      <c r="K675" s="20">
        <v>21471</v>
      </c>
      <c r="L675" s="20" t="str">
        <v>0-1 Cars</v>
      </c>
      <c r="M675" s="20" t="str">
        <v>51-60</v>
      </c>
      <c r="N675" s="20" t="str">
        <v>10+ Miles</v>
      </c>
      <c r="O675" s="20">
        <v>2</v>
      </c>
      <c r="P675" s="20" t="str">
        <v>Partial College</v>
      </c>
      <c r="Q675" s="20" t="str">
        <v>North America</v>
      </c>
      <c r="R675" s="20" t="str">
        <v>Married</v>
      </c>
      <c r="S675" s="20" t="str">
        <v>$70k-90k</v>
      </c>
      <c r="T675" s="89">
        <v>0.45520089469621555</v>
      </c>
      <c r="U675" s="91">
        <v>46.059378909657511</v>
      </c>
      <c r="V675" s="49">
        <v>691</v>
      </c>
      <c r="W675" s="20">
        <v>7</v>
      </c>
      <c r="X675" s="20" t="str">
        <v>Cold</v>
      </c>
      <c r="Y675" s="20">
        <v>0</v>
      </c>
    </row>
    <row r="676" spans="1:25" ht="15" customHeight="1" x14ac:dyDescent="0.25">
      <c r="A676" s="3"/>
      <c r="B676" s="3"/>
      <c r="C676" s="3"/>
      <c r="D676" s="3"/>
      <c r="E676" s="3"/>
      <c r="F676" s="3"/>
      <c r="G676" s="3"/>
      <c r="H676" s="3"/>
      <c r="I676" s="3"/>
      <c r="J676" s="3"/>
      <c r="K676" s="20">
        <v>22252</v>
      </c>
      <c r="L676" s="20" t="str">
        <v>0-1 Cars</v>
      </c>
      <c r="M676" s="20" t="str">
        <v>31-40</v>
      </c>
      <c r="N676" s="20" t="str">
        <v>2-5 Miles</v>
      </c>
      <c r="O676" s="20">
        <v>1</v>
      </c>
      <c r="P676" s="20" t="str">
        <v>Graduate Degree</v>
      </c>
      <c r="Q676" s="20" t="str">
        <v>North America</v>
      </c>
      <c r="R676" s="20" t="str">
        <v>Single</v>
      </c>
      <c r="S676" s="20" t="str">
        <v>$40k-60k</v>
      </c>
      <c r="T676" s="89">
        <v>0.56102546184004687</v>
      </c>
      <c r="U676" s="91">
        <v>97.368793396547346</v>
      </c>
      <c r="V676" s="49">
        <v>7</v>
      </c>
      <c r="W676" s="20">
        <v>1</v>
      </c>
      <c r="X676" s="20" t="str">
        <v>Hot</v>
      </c>
      <c r="Y676" s="20">
        <v>1</v>
      </c>
    </row>
    <row r="677" spans="1:25" ht="15" customHeight="1" x14ac:dyDescent="0.25">
      <c r="A677" s="3"/>
      <c r="B677" s="3"/>
      <c r="C677" s="3"/>
      <c r="D677" s="3"/>
      <c r="E677" s="3"/>
      <c r="F677" s="3"/>
      <c r="G677" s="3"/>
      <c r="H677" s="3"/>
      <c r="I677" s="3"/>
      <c r="J677" s="3"/>
      <c r="K677" s="20">
        <v>21260</v>
      </c>
      <c r="L677" s="20" t="str">
        <v>2+ Cars</v>
      </c>
      <c r="M677" s="20" t="str">
        <v>25-30</v>
      </c>
      <c r="N677" s="20" t="str">
        <v>5-10 Miles</v>
      </c>
      <c r="O677" s="20">
        <v>0</v>
      </c>
      <c r="P677" s="20" t="str">
        <v>High School</v>
      </c>
      <c r="Q677" s="20" t="str">
        <v>North America</v>
      </c>
      <c r="R677" s="20" t="str">
        <v>Single</v>
      </c>
      <c r="S677" s="20" t="str">
        <v>$40k-60k</v>
      </c>
      <c r="T677" s="89">
        <v>0.43216555021179781</v>
      </c>
      <c r="U677" s="91">
        <v>34.890610920341167</v>
      </c>
      <c r="V677" s="49">
        <v>826</v>
      </c>
      <c r="W677" s="20">
        <v>9</v>
      </c>
      <c r="X677" s="20" t="str">
        <v>Cold</v>
      </c>
      <c r="Y677" s="20">
        <v>0</v>
      </c>
    </row>
    <row r="678" spans="1:25" ht="15" customHeight="1" x14ac:dyDescent="0.25">
      <c r="A678" s="3"/>
      <c r="B678" s="3"/>
      <c r="C678" s="3"/>
      <c r="D678" s="3"/>
      <c r="E678" s="3"/>
      <c r="F678" s="3"/>
      <c r="G678" s="3"/>
      <c r="H678" s="3"/>
      <c r="I678" s="3"/>
      <c r="J678" s="3"/>
      <c r="K678" s="20">
        <v>11817</v>
      </c>
      <c r="L678" s="20" t="str">
        <v>0-1 Cars</v>
      </c>
      <c r="M678" s="20" t="str">
        <v>31-40</v>
      </c>
      <c r="N678" s="20" t="str">
        <v>2-5 Miles</v>
      </c>
      <c r="O678" s="20">
        <v>4</v>
      </c>
      <c r="P678" s="20" t="str">
        <v>Graduate Degree</v>
      </c>
      <c r="Q678" s="20" t="str">
        <v>North America</v>
      </c>
      <c r="R678" s="20" t="str">
        <v>Single</v>
      </c>
      <c r="S678" s="20" t="str">
        <v>$70k-90k</v>
      </c>
      <c r="T678" s="89">
        <v>0.53784546610430639</v>
      </c>
      <c r="U678" s="91">
        <v>86.129890738028166</v>
      </c>
      <c r="V678" s="49">
        <v>128</v>
      </c>
      <c r="W678" s="20">
        <v>2</v>
      </c>
      <c r="X678" s="20" t="str">
        <v>Hot</v>
      </c>
      <c r="Y678" s="20">
        <v>1</v>
      </c>
    </row>
    <row r="679" spans="1:25" ht="15" customHeight="1" x14ac:dyDescent="0.25">
      <c r="A679" s="3"/>
      <c r="B679" s="3"/>
      <c r="C679" s="3"/>
      <c r="D679" s="3"/>
      <c r="E679" s="3"/>
      <c r="F679" s="3"/>
      <c r="G679" s="3"/>
      <c r="H679" s="3"/>
      <c r="I679" s="3"/>
      <c r="J679" s="3"/>
      <c r="K679" s="20">
        <v>19223</v>
      </c>
      <c r="L679" s="20" t="str">
        <v>2+ Cars</v>
      </c>
      <c r="M679" s="20" t="str">
        <v>41-50</v>
      </c>
      <c r="N679" s="20" t="str">
        <v>1-2 Miles</v>
      </c>
      <c r="O679" s="20">
        <v>2</v>
      </c>
      <c r="P679" s="20" t="str">
        <v>High School</v>
      </c>
      <c r="Q679" s="20" t="str">
        <v>North America</v>
      </c>
      <c r="R679" s="20" t="str">
        <v>Married</v>
      </c>
      <c r="S679" s="20" t="str">
        <v>$10k-30k</v>
      </c>
      <c r="T679" s="89">
        <v>0.43241279765027696</v>
      </c>
      <c r="U679" s="91">
        <v>35.010489712611644</v>
      </c>
      <c r="V679" s="49">
        <v>821</v>
      </c>
      <c r="W679" s="20">
        <v>9</v>
      </c>
      <c r="X679" s="20" t="str">
        <v>Cold</v>
      </c>
      <c r="Y679" s="20">
        <v>0</v>
      </c>
    </row>
    <row r="680" spans="1:25" ht="15" customHeight="1" x14ac:dyDescent="0.25">
      <c r="A680" s="3"/>
      <c r="B680" s="3"/>
      <c r="C680" s="3"/>
      <c r="D680" s="3"/>
      <c r="E680" s="3"/>
      <c r="F680" s="3"/>
      <c r="G680" s="3"/>
      <c r="H680" s="3"/>
      <c r="I680" s="3"/>
      <c r="J680" s="3"/>
      <c r="K680" s="20">
        <v>18517</v>
      </c>
      <c r="L680" s="20" t="str">
        <v>2+ Cars</v>
      </c>
      <c r="M680" s="20" t="str">
        <v>41-50</v>
      </c>
      <c r="N680" s="20" t="str">
        <v>0-1 Miles</v>
      </c>
      <c r="O680" s="20">
        <v>3</v>
      </c>
      <c r="P680" s="20" t="str">
        <v>Bachelors</v>
      </c>
      <c r="Q680" s="20" t="str">
        <v>North America</v>
      </c>
      <c r="R680" s="20" t="str">
        <v>Married</v>
      </c>
      <c r="S680" s="20" t="str">
        <v>$100k+</v>
      </c>
      <c r="T680" s="89">
        <v>0.47745097753241633</v>
      </c>
      <c r="U680" s="91">
        <v>56.847410020227542</v>
      </c>
      <c r="V680" s="49">
        <v>530</v>
      </c>
      <c r="W680" s="20">
        <v>6</v>
      </c>
      <c r="X680" s="20" t="str">
        <v>Warm</v>
      </c>
      <c r="Y680" s="20">
        <v>0</v>
      </c>
    </row>
    <row r="681" spans="1:25" ht="15" customHeight="1" x14ac:dyDescent="0.25">
      <c r="A681" s="3"/>
      <c r="B681" s="3"/>
      <c r="C681" s="3"/>
      <c r="D681" s="3"/>
      <c r="E681" s="3"/>
      <c r="F681" s="3"/>
      <c r="G681" s="3"/>
      <c r="H681" s="3"/>
      <c r="I681" s="3"/>
      <c r="J681" s="3"/>
      <c r="K681" s="20">
        <v>21717</v>
      </c>
      <c r="L681" s="20" t="str">
        <v>0-1 Cars</v>
      </c>
      <c r="M681" s="20" t="str">
        <v>41-50</v>
      </c>
      <c r="N681" s="20" t="str">
        <v>0-1 Miles</v>
      </c>
      <c r="O681" s="20">
        <v>2</v>
      </c>
      <c r="P681" s="20" t="str">
        <v>Partial College</v>
      </c>
      <c r="Q681" s="20" t="str">
        <v>North America</v>
      </c>
      <c r="R681" s="20" t="str">
        <v>Married</v>
      </c>
      <c r="S681" s="20" t="str">
        <v>$40k-60k</v>
      </c>
      <c r="T681" s="89">
        <v>0.49600845310431635</v>
      </c>
      <c r="U681" s="91">
        <v>65.845067479622642</v>
      </c>
      <c r="V681" s="49">
        <v>410</v>
      </c>
      <c r="W681" s="20">
        <v>5</v>
      </c>
      <c r="X681" s="20" t="str">
        <v>Warm</v>
      </c>
      <c r="Y681" s="20">
        <v>0</v>
      </c>
    </row>
    <row r="682" spans="1:25" ht="15" customHeight="1" x14ac:dyDescent="0.25">
      <c r="A682" s="3"/>
      <c r="B682" s="3"/>
      <c r="C682" s="3"/>
      <c r="D682" s="3"/>
      <c r="E682" s="3"/>
      <c r="F682" s="3"/>
      <c r="G682" s="3"/>
      <c r="H682" s="3"/>
      <c r="I682" s="3"/>
      <c r="J682" s="3"/>
      <c r="K682" s="20">
        <v>13760</v>
      </c>
      <c r="L682" s="20" t="str">
        <v>0-1 Cars</v>
      </c>
      <c r="M682" s="20" t="str">
        <v>41-50</v>
      </c>
      <c r="N682" s="20" t="str">
        <v>0-1 Miles</v>
      </c>
      <c r="O682" s="20">
        <v>4</v>
      </c>
      <c r="P682" s="20" t="str">
        <v>Graduate Degree</v>
      </c>
      <c r="Q682" s="20" t="str">
        <v>North America</v>
      </c>
      <c r="R682" s="20" t="str">
        <v>Married</v>
      </c>
      <c r="S682" s="20" t="str">
        <v>$40k-60k</v>
      </c>
      <c r="T682" s="89">
        <v>0.50233566810735431</v>
      </c>
      <c r="U682" s="91">
        <v>68.912839981798825</v>
      </c>
      <c r="V682" s="49">
        <v>354</v>
      </c>
      <c r="W682" s="20">
        <v>4</v>
      </c>
      <c r="X682" s="20" t="str">
        <v>Warm</v>
      </c>
      <c r="Y682" s="20">
        <v>0</v>
      </c>
    </row>
    <row r="683" spans="1:25" ht="15" customHeight="1" x14ac:dyDescent="0.25">
      <c r="A683" s="3"/>
      <c r="B683" s="3"/>
      <c r="C683" s="3"/>
      <c r="D683" s="3"/>
      <c r="E683" s="3"/>
      <c r="F683" s="3"/>
      <c r="G683" s="3"/>
      <c r="H683" s="3"/>
      <c r="I683" s="3"/>
      <c r="J683" s="3"/>
      <c r="K683" s="20">
        <v>18145</v>
      </c>
      <c r="L683" s="20" t="str">
        <v>2+ Cars</v>
      </c>
      <c r="M683" s="20" t="str">
        <v>61+</v>
      </c>
      <c r="N683" s="20" t="str">
        <v>2-5 Miles</v>
      </c>
      <c r="O683" s="20">
        <v>5</v>
      </c>
      <c r="P683" s="20" t="str">
        <v>Bachelors</v>
      </c>
      <c r="Q683" s="20" t="str">
        <v>Europe</v>
      </c>
      <c r="R683" s="20" t="str">
        <v>Married</v>
      </c>
      <c r="S683" s="20" t="str">
        <v>$70k-90k</v>
      </c>
      <c r="T683" s="89">
        <v>0.41815063207234093</v>
      </c>
      <c r="U683" s="91">
        <v>28.095428447826404</v>
      </c>
      <c r="V683" s="49">
        <v>905</v>
      </c>
      <c r="W683" s="20">
        <v>10</v>
      </c>
      <c r="X683" s="20" t="str">
        <v>Cold</v>
      </c>
      <c r="Y683" s="20">
        <v>0</v>
      </c>
    </row>
    <row r="684" spans="1:25" ht="15" customHeight="1" x14ac:dyDescent="0.25">
      <c r="A684" s="3"/>
      <c r="B684" s="3"/>
      <c r="C684" s="3"/>
      <c r="D684" s="3"/>
      <c r="E684" s="3"/>
      <c r="F684" s="3"/>
      <c r="G684" s="3"/>
      <c r="H684" s="3"/>
      <c r="I684" s="3"/>
      <c r="J684" s="3"/>
      <c r="K684" s="20">
        <v>21770</v>
      </c>
      <c r="L684" s="20" t="str">
        <v>2+ Cars</v>
      </c>
      <c r="M684" s="20" t="str">
        <v>51-60</v>
      </c>
      <c r="N684" s="20" t="str">
        <v>10+ Miles</v>
      </c>
      <c r="O684" s="20">
        <v>4</v>
      </c>
      <c r="P684" s="20" t="str">
        <v>Bachelors</v>
      </c>
      <c r="Q684" s="20" t="str">
        <v>North America</v>
      </c>
      <c r="R684" s="20" t="str">
        <v>Married</v>
      </c>
      <c r="S684" s="20" t="str">
        <v>$40k-60k</v>
      </c>
      <c r="T684" s="89">
        <v>0.42727012543648552</v>
      </c>
      <c r="U684" s="91">
        <v>32.517046958161238</v>
      </c>
      <c r="V684" s="49">
        <v>849</v>
      </c>
      <c r="W684" s="20">
        <v>9</v>
      </c>
      <c r="X684" s="20" t="str">
        <v>Cold</v>
      </c>
      <c r="Y684" s="20">
        <v>0</v>
      </c>
    </row>
    <row r="685" spans="1:25" ht="15" customHeight="1" x14ac:dyDescent="0.25">
      <c r="A685" s="3"/>
      <c r="B685" s="3"/>
      <c r="C685" s="3"/>
      <c r="D685" s="3"/>
      <c r="E685" s="3"/>
      <c r="F685" s="3"/>
      <c r="G685" s="3"/>
      <c r="H685" s="3"/>
      <c r="I685" s="3"/>
      <c r="J685" s="3"/>
      <c r="K685" s="20">
        <v>11165</v>
      </c>
      <c r="L685" s="20" t="str">
        <v>0-1 Cars</v>
      </c>
      <c r="M685" s="20" t="str">
        <v>31-40</v>
      </c>
      <c r="N685" s="20" t="str">
        <v>1-2 Miles</v>
      </c>
      <c r="O685" s="20">
        <v>0</v>
      </c>
      <c r="P685" s="20" t="str">
        <v>Partial College</v>
      </c>
      <c r="Q685" s="20" t="str">
        <v>North America</v>
      </c>
      <c r="R685" s="20" t="str">
        <v>Married</v>
      </c>
      <c r="S685" s="20" t="str">
        <v>$40k-60k</v>
      </c>
      <c r="T685" s="89">
        <v>0.51166718598355632</v>
      </c>
      <c r="U685" s="91">
        <v>73.437259324342577</v>
      </c>
      <c r="V685" s="49">
        <v>306</v>
      </c>
      <c r="W685" s="20">
        <v>4</v>
      </c>
      <c r="X685" s="20" t="str">
        <v>Warm</v>
      </c>
      <c r="Y685" s="20">
        <v>0</v>
      </c>
    </row>
    <row r="686" spans="1:25" ht="15" customHeight="1" x14ac:dyDescent="0.25">
      <c r="A686" s="3"/>
      <c r="B686" s="3"/>
      <c r="C686" s="3"/>
      <c r="D686" s="3"/>
      <c r="E686" s="3"/>
      <c r="F686" s="3"/>
      <c r="G686" s="3"/>
      <c r="H686" s="3"/>
      <c r="I686" s="3"/>
      <c r="J686" s="3"/>
      <c r="K686" s="20">
        <v>16377</v>
      </c>
      <c r="L686" s="20" t="str">
        <v>0-1 Cars</v>
      </c>
      <c r="M686" s="20" t="str">
        <v>41-50</v>
      </c>
      <c r="N686" s="20" t="str">
        <v>0-1 Miles</v>
      </c>
      <c r="O686" s="20">
        <v>4</v>
      </c>
      <c r="P686" s="20" t="str">
        <v>Graduate Degree</v>
      </c>
      <c r="Q686" s="20" t="str">
        <v>North America</v>
      </c>
      <c r="R686" s="20" t="str">
        <v>Single</v>
      </c>
      <c r="S686" s="20" t="str">
        <v>$70k-90k</v>
      </c>
      <c r="T686" s="89">
        <v>0.50904857795456493</v>
      </c>
      <c r="U686" s="91">
        <v>72.167617989021991</v>
      </c>
      <c r="V686" s="49">
        <v>325</v>
      </c>
      <c r="W686" s="20">
        <v>4</v>
      </c>
      <c r="X686" s="20" t="str">
        <v>Warm</v>
      </c>
      <c r="Y686" s="20">
        <v>0</v>
      </c>
    </row>
    <row r="687" spans="1:25" ht="15" customHeight="1" x14ac:dyDescent="0.25">
      <c r="A687" s="3"/>
      <c r="B687" s="3"/>
      <c r="C687" s="3"/>
      <c r="D687" s="3"/>
      <c r="E687" s="3"/>
      <c r="F687" s="3"/>
      <c r="G687" s="3"/>
      <c r="H687" s="3"/>
      <c r="I687" s="3"/>
      <c r="J687" s="3"/>
      <c r="K687" s="20">
        <v>26248</v>
      </c>
      <c r="L687" s="20" t="str">
        <v>2+ Cars</v>
      </c>
      <c r="M687" s="20" t="str">
        <v>51-60</v>
      </c>
      <c r="N687" s="20" t="str">
        <v>0-1 Miles</v>
      </c>
      <c r="O687" s="20">
        <v>3</v>
      </c>
      <c r="P687" s="20" t="str">
        <v>Partial High School</v>
      </c>
      <c r="Q687" s="20" t="str">
        <v>North America</v>
      </c>
      <c r="R687" s="20" t="str">
        <v>Married</v>
      </c>
      <c r="S687" s="20" t="str">
        <v>$10k-30k</v>
      </c>
      <c r="T687" s="89">
        <v>0.43280871158216755</v>
      </c>
      <c r="U687" s="91">
        <v>35.202449978368257</v>
      </c>
      <c r="V687" s="49">
        <v>817</v>
      </c>
      <c r="W687" s="20">
        <v>9</v>
      </c>
      <c r="X687" s="20" t="str">
        <v>Cold</v>
      </c>
      <c r="Y687" s="20">
        <v>0</v>
      </c>
    </row>
    <row r="688" spans="1:25" ht="15" customHeight="1" x14ac:dyDescent="0.25">
      <c r="A688" s="3"/>
      <c r="B688" s="3"/>
      <c r="C688" s="3"/>
      <c r="D688" s="3"/>
      <c r="E688" s="3"/>
      <c r="F688" s="3"/>
      <c r="G688" s="3"/>
      <c r="H688" s="3"/>
      <c r="I688" s="3"/>
      <c r="J688" s="3"/>
      <c r="K688" s="20">
        <v>23461</v>
      </c>
      <c r="L688" s="20" t="str">
        <v>2+ Cars</v>
      </c>
      <c r="M688" s="20" t="str">
        <v>31-40</v>
      </c>
      <c r="N688" s="20" t="str">
        <v>2-5 Miles</v>
      </c>
      <c r="O688" s="20">
        <v>5</v>
      </c>
      <c r="P688" s="20" t="str">
        <v>Partial College</v>
      </c>
      <c r="Q688" s="20" t="str">
        <v>North America</v>
      </c>
      <c r="R688" s="20" t="str">
        <v>Married</v>
      </c>
      <c r="S688" s="20" t="str">
        <v>$70k-90k</v>
      </c>
      <c r="T688" s="89">
        <v>0.44949499087193784</v>
      </c>
      <c r="U688" s="91">
        <v>43.292851323069023</v>
      </c>
      <c r="V688" s="49">
        <v>728</v>
      </c>
      <c r="W688" s="20">
        <v>8</v>
      </c>
      <c r="X688" s="20" t="str">
        <v>Cold</v>
      </c>
      <c r="Y688" s="20">
        <v>0</v>
      </c>
    </row>
    <row r="689" spans="1:25" ht="15" customHeight="1" x14ac:dyDescent="0.25">
      <c r="A689" s="3"/>
      <c r="B689" s="3"/>
      <c r="C689" s="3"/>
      <c r="D689" s="3"/>
      <c r="E689" s="3"/>
      <c r="F689" s="3"/>
      <c r="G689" s="3"/>
      <c r="H689" s="3"/>
      <c r="I689" s="3"/>
      <c r="J689" s="3"/>
      <c r="K689" s="20">
        <v>29133</v>
      </c>
      <c r="L689" s="20" t="str">
        <v>2+ Cars</v>
      </c>
      <c r="M689" s="20" t="str">
        <v>41-50</v>
      </c>
      <c r="N689" s="20" t="str">
        <v>0-1 Miles</v>
      </c>
      <c r="O689" s="20">
        <v>4</v>
      </c>
      <c r="P689" s="20" t="str">
        <v>Bachelors</v>
      </c>
      <c r="Q689" s="20" t="str">
        <v>North America</v>
      </c>
      <c r="R689" s="20" t="str">
        <v>Single</v>
      </c>
      <c r="S689" s="20" t="str">
        <v>$40k-60k</v>
      </c>
      <c r="T689" s="89">
        <v>0.47479059369179699</v>
      </c>
      <c r="U689" s="91">
        <v>55.557513535349571</v>
      </c>
      <c r="V689" s="49">
        <v>543</v>
      </c>
      <c r="W689" s="20">
        <v>6</v>
      </c>
      <c r="X689" s="20" t="str">
        <v>Warm</v>
      </c>
      <c r="Y689" s="20">
        <v>0</v>
      </c>
    </row>
    <row r="690" spans="1:25" ht="15" customHeight="1" x14ac:dyDescent="0.25">
      <c r="A690" s="3"/>
      <c r="B690" s="3"/>
      <c r="C690" s="3"/>
      <c r="D690" s="3"/>
      <c r="E690" s="3"/>
      <c r="F690" s="3"/>
      <c r="G690" s="3"/>
      <c r="H690" s="3"/>
      <c r="I690" s="3"/>
      <c r="J690" s="3"/>
      <c r="K690" s="20">
        <v>27673</v>
      </c>
      <c r="L690" s="20" t="str">
        <v>2+ Cars</v>
      </c>
      <c r="M690" s="20" t="str">
        <v>51-60</v>
      </c>
      <c r="N690" s="20" t="str">
        <v>5-10 Miles</v>
      </c>
      <c r="O690" s="20">
        <v>3</v>
      </c>
      <c r="P690" s="20" t="str">
        <v>Graduate Degree</v>
      </c>
      <c r="Q690" s="20" t="str">
        <v>North America</v>
      </c>
      <c r="R690" s="20" t="str">
        <v>Single</v>
      </c>
      <c r="S690" s="20" t="str">
        <v>$40k-60k</v>
      </c>
      <c r="T690" s="89">
        <v>0.46582978851279216</v>
      </c>
      <c r="U690" s="91">
        <v>51.21283555106897</v>
      </c>
      <c r="V690" s="49">
        <v>606</v>
      </c>
      <c r="W690" s="20">
        <v>7</v>
      </c>
      <c r="X690" s="20" t="str">
        <v>Cold</v>
      </c>
      <c r="Y690" s="20">
        <v>1</v>
      </c>
    </row>
    <row r="691" spans="1:25" ht="15" customHeight="1" x14ac:dyDescent="0.25">
      <c r="A691" s="3"/>
      <c r="B691" s="3"/>
      <c r="C691" s="3"/>
      <c r="D691" s="3"/>
      <c r="E691" s="3"/>
      <c r="F691" s="3"/>
      <c r="G691" s="3"/>
      <c r="H691" s="3"/>
      <c r="I691" s="3"/>
      <c r="J691" s="3"/>
      <c r="K691" s="20">
        <v>12774</v>
      </c>
      <c r="L691" s="20" t="str">
        <v>0-1 Cars</v>
      </c>
      <c r="M691" s="20" t="str">
        <v>51-60</v>
      </c>
      <c r="N691" s="20" t="str">
        <v>1-2 Miles</v>
      </c>
      <c r="O691" s="20">
        <v>1</v>
      </c>
      <c r="P691" s="20" t="str">
        <v>Partial College</v>
      </c>
      <c r="Q691" s="20" t="str">
        <v>North America</v>
      </c>
      <c r="R691" s="20" t="str">
        <v>Married</v>
      </c>
      <c r="S691" s="20" t="str">
        <v>$40k-60k</v>
      </c>
      <c r="T691" s="89">
        <v>0.49627972805476811</v>
      </c>
      <c r="U691" s="91">
        <v>65.976596095787187</v>
      </c>
      <c r="V691" s="49">
        <v>407</v>
      </c>
      <c r="W691" s="20">
        <v>5</v>
      </c>
      <c r="X691" s="20" t="str">
        <v>Warm</v>
      </c>
      <c r="Y691" s="20">
        <v>1</v>
      </c>
    </row>
    <row r="692" spans="1:25" ht="15" customHeight="1" x14ac:dyDescent="0.25">
      <c r="A692" s="3"/>
      <c r="B692" s="3"/>
      <c r="C692" s="3"/>
      <c r="D692" s="3"/>
      <c r="E692" s="3"/>
      <c r="F692" s="3"/>
      <c r="G692" s="3"/>
      <c r="H692" s="3"/>
      <c r="I692" s="3"/>
      <c r="J692" s="3"/>
      <c r="K692" s="20">
        <v>18910</v>
      </c>
      <c r="L692" s="20" t="str">
        <v>2+ Cars</v>
      </c>
      <c r="M692" s="20" t="str">
        <v>25-30</v>
      </c>
      <c r="N692" s="20" t="str">
        <v>5-10 Miles</v>
      </c>
      <c r="O692" s="20">
        <v>0</v>
      </c>
      <c r="P692" s="20" t="str">
        <v>Partial College</v>
      </c>
      <c r="Q692" s="20" t="str">
        <v>North America</v>
      </c>
      <c r="R692" s="20" t="str">
        <v>Single</v>
      </c>
      <c r="S692" s="20" t="str">
        <v>$10k-30k</v>
      </c>
      <c r="T692" s="89">
        <v>0.42229384362632155</v>
      </c>
      <c r="U692" s="91">
        <v>30.104279177554666</v>
      </c>
      <c r="V692" s="49">
        <v>874</v>
      </c>
      <c r="W692" s="20">
        <v>9</v>
      </c>
      <c r="X692" s="20" t="str">
        <v>Cold</v>
      </c>
      <c r="Y692" s="20">
        <v>0</v>
      </c>
    </row>
    <row r="693" spans="1:25" ht="15" customHeight="1" x14ac:dyDescent="0.25">
      <c r="A693" s="3"/>
      <c r="B693" s="3"/>
      <c r="C693" s="3"/>
      <c r="D693" s="3"/>
      <c r="E693" s="3"/>
      <c r="F693" s="3"/>
      <c r="G693" s="3"/>
      <c r="H693" s="3"/>
      <c r="I693" s="3"/>
      <c r="J693" s="3"/>
      <c r="K693" s="20">
        <v>11699</v>
      </c>
      <c r="L693" s="20" t="str">
        <v>2+ Cars</v>
      </c>
      <c r="M693" s="20" t="str">
        <v>25-30</v>
      </c>
      <c r="N693" s="20" t="str">
        <v>0-1 Miles</v>
      </c>
      <c r="O693" s="20">
        <v>0</v>
      </c>
      <c r="P693" s="20" t="str">
        <v>Bachelors</v>
      </c>
      <c r="Q693" s="20" t="str">
        <v>North America</v>
      </c>
      <c r="R693" s="20" t="str">
        <v>Single</v>
      </c>
      <c r="S693" s="20" t="str">
        <v>$40k-60k</v>
      </c>
      <c r="T693" s="89">
        <v>0.46760705634859367</v>
      </c>
      <c r="U693" s="91">
        <v>52.074550127396179</v>
      </c>
      <c r="V693" s="49">
        <v>594</v>
      </c>
      <c r="W693" s="20">
        <v>6</v>
      </c>
      <c r="X693" s="20" t="str">
        <v>Warm</v>
      </c>
      <c r="Y693" s="20">
        <v>0</v>
      </c>
    </row>
    <row r="694" spans="1:25" ht="15" customHeight="1" x14ac:dyDescent="0.25">
      <c r="A694" s="3"/>
      <c r="B694" s="3"/>
      <c r="C694" s="3"/>
      <c r="D694" s="3"/>
      <c r="E694" s="3"/>
      <c r="F694" s="3"/>
      <c r="G694" s="3"/>
      <c r="H694" s="3"/>
      <c r="I694" s="3"/>
      <c r="J694" s="3"/>
      <c r="K694" s="20">
        <v>16725</v>
      </c>
      <c r="L694" s="20" t="str">
        <v>2+ Cars</v>
      </c>
      <c r="M694" s="20" t="str">
        <v>25-30</v>
      </c>
      <c r="N694" s="20" t="str">
        <v>5-10 Miles</v>
      </c>
      <c r="O694" s="20">
        <v>0</v>
      </c>
      <c r="P694" s="20" t="str">
        <v>High School</v>
      </c>
      <c r="Q694" s="20" t="str">
        <v>North America</v>
      </c>
      <c r="R694" s="20" t="str">
        <v>Married</v>
      </c>
      <c r="S694" s="20" t="str">
        <v>$10k-30k</v>
      </c>
      <c r="T694" s="89">
        <v>0.41166212466472019</v>
      </c>
      <c r="U694" s="91">
        <v>24.949452754617301</v>
      </c>
      <c r="V694" s="49">
        <v>940</v>
      </c>
      <c r="W694" s="20">
        <v>10</v>
      </c>
      <c r="X694" s="20" t="str">
        <v>Cold</v>
      </c>
      <c r="Y694" s="20">
        <v>0</v>
      </c>
    </row>
    <row r="695" spans="1:25" ht="15" customHeight="1" x14ac:dyDescent="0.25">
      <c r="A695" s="3"/>
      <c r="B695" s="3"/>
      <c r="C695" s="3"/>
      <c r="D695" s="3"/>
      <c r="E695" s="3"/>
      <c r="F695" s="3"/>
      <c r="G695" s="3"/>
      <c r="H695" s="3"/>
      <c r="I695" s="3"/>
      <c r="J695" s="3"/>
      <c r="K695" s="20">
        <v>28269</v>
      </c>
      <c r="L695" s="20" t="str">
        <v>0-1 Cars</v>
      </c>
      <c r="M695" s="20" t="str">
        <v>41-50</v>
      </c>
      <c r="N695" s="20" t="str">
        <v>2-5 Miles</v>
      </c>
      <c r="O695" s="20">
        <v>1</v>
      </c>
      <c r="P695" s="20" t="str">
        <v>Bachelors</v>
      </c>
      <c r="Q695" s="20" t="str">
        <v>North America</v>
      </c>
      <c r="R695" s="20" t="str">
        <v>Single</v>
      </c>
      <c r="S695" s="20" t="str">
        <v>$100k+</v>
      </c>
      <c r="T695" s="89">
        <v>0.53566722488354657</v>
      </c>
      <c r="U695" s="91">
        <v>85.073762802286282</v>
      </c>
      <c r="V695" s="49">
        <v>143</v>
      </c>
      <c r="W695" s="20">
        <v>2</v>
      </c>
      <c r="X695" s="20" t="str">
        <v>Hot</v>
      </c>
      <c r="Y695" s="20">
        <v>0</v>
      </c>
    </row>
    <row r="696" spans="1:25" ht="15" customHeight="1" x14ac:dyDescent="0.25">
      <c r="A696" s="3"/>
      <c r="B696" s="3"/>
      <c r="C696" s="3"/>
      <c r="D696" s="3"/>
      <c r="E696" s="3"/>
      <c r="F696" s="3"/>
      <c r="G696" s="3"/>
      <c r="H696" s="3"/>
      <c r="I696" s="3"/>
      <c r="J696" s="3"/>
      <c r="K696" s="20">
        <v>23144</v>
      </c>
      <c r="L696" s="20" t="str">
        <v>0-1 Cars</v>
      </c>
      <c r="M696" s="20" t="str">
        <v>31-40</v>
      </c>
      <c r="N696" s="20" t="str">
        <v>0-1 Miles</v>
      </c>
      <c r="O696" s="20">
        <v>1</v>
      </c>
      <c r="P696" s="20" t="str">
        <v>Bachelors</v>
      </c>
      <c r="Q696" s="20" t="str">
        <v>North America</v>
      </c>
      <c r="R696" s="20" t="str">
        <v>Married</v>
      </c>
      <c r="S696" s="20" t="str">
        <v>$40k-60k</v>
      </c>
      <c r="T696" s="89">
        <v>0.5470712301118793</v>
      </c>
      <c r="U696" s="91">
        <v>90.603034944509176</v>
      </c>
      <c r="V696" s="49">
        <v>63</v>
      </c>
      <c r="W696" s="20">
        <v>1</v>
      </c>
      <c r="X696" s="20" t="str">
        <v>Hot</v>
      </c>
      <c r="Y696" s="20">
        <v>1</v>
      </c>
    </row>
    <row r="697" spans="1:25" ht="15" customHeight="1" x14ac:dyDescent="0.25">
      <c r="A697" s="3"/>
      <c r="B697" s="3"/>
      <c r="C697" s="3"/>
      <c r="D697" s="3"/>
      <c r="E697" s="3"/>
      <c r="F697" s="3"/>
      <c r="G697" s="3"/>
      <c r="H697" s="3"/>
      <c r="I697" s="3"/>
      <c r="J697" s="3"/>
      <c r="K697" s="20">
        <v>23376</v>
      </c>
      <c r="L697" s="20" t="str">
        <v>0-1 Cars</v>
      </c>
      <c r="M697" s="20" t="str">
        <v>41-50</v>
      </c>
      <c r="N697" s="20" t="str">
        <v>2-5 Miles</v>
      </c>
      <c r="O697" s="20">
        <v>1</v>
      </c>
      <c r="P697" s="20" t="str">
        <v>Bachelors</v>
      </c>
      <c r="Q697" s="20" t="str">
        <v>North America</v>
      </c>
      <c r="R697" s="20" t="str">
        <v>Married</v>
      </c>
      <c r="S697" s="20" t="str">
        <v>$70k-90k</v>
      </c>
      <c r="T697" s="89">
        <v>0.5268422519328676</v>
      </c>
      <c r="U697" s="91">
        <v>80.794943552815113</v>
      </c>
      <c r="V697" s="49">
        <v>212</v>
      </c>
      <c r="W697" s="20">
        <v>3</v>
      </c>
      <c r="X697" s="20" t="str">
        <v>Hot</v>
      </c>
      <c r="Y697" s="20">
        <v>1</v>
      </c>
    </row>
    <row r="698" spans="1:25" ht="15" customHeight="1" x14ac:dyDescent="0.25">
      <c r="A698" s="3"/>
      <c r="B698" s="3"/>
      <c r="C698" s="3"/>
      <c r="D698" s="3"/>
      <c r="E698" s="3"/>
      <c r="F698" s="3"/>
      <c r="G698" s="3"/>
      <c r="H698" s="3"/>
      <c r="I698" s="3"/>
      <c r="J698" s="3"/>
      <c r="K698" s="20">
        <v>25970</v>
      </c>
      <c r="L698" s="20" t="str">
        <v>2+ Cars</v>
      </c>
      <c r="M698" s="20" t="str">
        <v>41-50</v>
      </c>
      <c r="N698" s="20" t="str">
        <v>0-1 Miles</v>
      </c>
      <c r="O698" s="20">
        <v>4</v>
      </c>
      <c r="P698" s="20" t="str">
        <v>Bachelors</v>
      </c>
      <c r="Q698" s="20" t="str">
        <v>North America</v>
      </c>
      <c r="R698" s="20" t="str">
        <v>Single</v>
      </c>
      <c r="S698" s="20" t="str">
        <v>$40k-60k</v>
      </c>
      <c r="T698" s="89">
        <v>0.47479059369179699</v>
      </c>
      <c r="U698" s="91">
        <v>55.557513535349571</v>
      </c>
      <c r="V698" s="49">
        <v>541</v>
      </c>
      <c r="W698" s="20">
        <v>6</v>
      </c>
      <c r="X698" s="20" t="str">
        <v>Warm</v>
      </c>
      <c r="Y698" s="20">
        <v>1</v>
      </c>
    </row>
    <row r="699" spans="1:25" ht="15" customHeight="1" x14ac:dyDescent="0.25">
      <c r="A699" s="3"/>
      <c r="B699" s="3"/>
      <c r="C699" s="3"/>
      <c r="D699" s="3"/>
      <c r="E699" s="3"/>
      <c r="F699" s="3"/>
      <c r="G699" s="3"/>
      <c r="H699" s="3"/>
      <c r="I699" s="3"/>
      <c r="J699" s="3"/>
      <c r="K699" s="20">
        <v>28068</v>
      </c>
      <c r="L699" s="20" t="str">
        <v>0-1 Cars</v>
      </c>
      <c r="M699" s="20" t="str">
        <v>31-40</v>
      </c>
      <c r="N699" s="20" t="str">
        <v>0-1 Miles</v>
      </c>
      <c r="O699" s="20">
        <v>3</v>
      </c>
      <c r="P699" s="20" t="str">
        <v>Graduate Degree</v>
      </c>
      <c r="Q699" s="20" t="str">
        <v>North America</v>
      </c>
      <c r="R699" s="20" t="str">
        <v>Single</v>
      </c>
      <c r="S699" s="20" t="str">
        <v>$70k-90k</v>
      </c>
      <c r="T699" s="89">
        <v>0.54823557385483945</v>
      </c>
      <c r="U699" s="91">
        <v>91.167571113426931</v>
      </c>
      <c r="V699" s="49">
        <v>54</v>
      </c>
      <c r="W699" s="20">
        <v>1</v>
      </c>
      <c r="X699" s="20" t="str">
        <v>Hot</v>
      </c>
      <c r="Y699" s="20">
        <v>1</v>
      </c>
    </row>
    <row r="700" spans="1:25" ht="15" customHeight="1" x14ac:dyDescent="0.25">
      <c r="A700" s="3"/>
      <c r="B700" s="3"/>
      <c r="C700" s="3"/>
      <c r="D700" s="3"/>
      <c r="E700" s="3"/>
      <c r="F700" s="3"/>
      <c r="G700" s="3"/>
      <c r="H700" s="3"/>
      <c r="I700" s="3"/>
      <c r="J700" s="3"/>
      <c r="K700" s="20">
        <v>18390</v>
      </c>
      <c r="L700" s="20" t="str">
        <v>2+ Cars</v>
      </c>
      <c r="M700" s="20" t="str">
        <v>41-50</v>
      </c>
      <c r="N700" s="20" t="str">
        <v>0-1 Miles</v>
      </c>
      <c r="O700" s="20">
        <v>5</v>
      </c>
      <c r="P700" s="20" t="str">
        <v>Partial College</v>
      </c>
      <c r="Q700" s="20" t="str">
        <v>North America</v>
      </c>
      <c r="R700" s="20" t="str">
        <v>Married</v>
      </c>
      <c r="S700" s="20" t="str">
        <v>$70k-90k</v>
      </c>
      <c r="T700" s="89">
        <v>0.42069810272219649</v>
      </c>
      <c r="U700" s="91">
        <v>29.330578574062898</v>
      </c>
      <c r="V700" s="49">
        <v>887</v>
      </c>
      <c r="W700" s="20">
        <v>9</v>
      </c>
      <c r="X700" s="20" t="str">
        <v>Cold</v>
      </c>
      <c r="Y700" s="20">
        <v>0</v>
      </c>
    </row>
    <row r="701" spans="1:25" ht="15" customHeight="1" x14ac:dyDescent="0.25">
      <c r="A701" s="3"/>
      <c r="B701" s="3"/>
      <c r="C701" s="3"/>
      <c r="D701" s="3"/>
      <c r="E701" s="3"/>
      <c r="F701" s="3"/>
      <c r="G701" s="3"/>
      <c r="H701" s="3"/>
      <c r="I701" s="3"/>
      <c r="J701" s="3"/>
      <c r="K701" s="20">
        <v>29112</v>
      </c>
      <c r="L701" s="20" t="str">
        <v>2+ Cars</v>
      </c>
      <c r="M701" s="20" t="str">
        <v>25-30</v>
      </c>
      <c r="N701" s="20" t="str">
        <v>1-2 Miles</v>
      </c>
      <c r="O701" s="20">
        <v>0</v>
      </c>
      <c r="P701" s="20" t="str">
        <v>Partial College</v>
      </c>
      <c r="Q701" s="20" t="str">
        <v>North America</v>
      </c>
      <c r="R701" s="20" t="str">
        <v>Single</v>
      </c>
      <c r="S701" s="20" t="str">
        <v>$40k-60k</v>
      </c>
      <c r="T701" s="89">
        <v>0.44174455129935392</v>
      </c>
      <c r="U701" s="91">
        <v>39.535023370465083</v>
      </c>
      <c r="V701" s="49">
        <v>781</v>
      </c>
      <c r="W701" s="20">
        <v>8</v>
      </c>
      <c r="X701" s="20" t="str">
        <v>Cold</v>
      </c>
      <c r="Y701" s="20">
        <v>0</v>
      </c>
    </row>
    <row r="702" spans="1:25" ht="15" customHeight="1" x14ac:dyDescent="0.25">
      <c r="A702" s="3"/>
      <c r="B702" s="3"/>
      <c r="C702" s="3"/>
      <c r="D702" s="3"/>
      <c r="E702" s="3"/>
      <c r="F702" s="3"/>
      <c r="G702" s="3"/>
      <c r="H702" s="3"/>
      <c r="I702" s="3"/>
      <c r="J702" s="3"/>
      <c r="K702" s="20">
        <v>14090</v>
      </c>
      <c r="L702" s="20" t="str">
        <v>2+ Cars</v>
      </c>
      <c r="M702" s="20" t="str">
        <v>25-30</v>
      </c>
      <c r="N702" s="20" t="str">
        <v>0-1 Miles</v>
      </c>
      <c r="O702" s="20">
        <v>0</v>
      </c>
      <c r="P702" s="20" t="str">
        <v>Partial High School</v>
      </c>
      <c r="Q702" s="20" t="str">
        <v>North America</v>
      </c>
      <c r="R702" s="20" t="str">
        <v>Married</v>
      </c>
      <c r="S702" s="20" t="str">
        <v>$10k-30k</v>
      </c>
      <c r="T702" s="89">
        <v>0.41136717534656114</v>
      </c>
      <c r="U702" s="91">
        <v>24.806445537800823</v>
      </c>
      <c r="V702" s="49">
        <v>943</v>
      </c>
      <c r="W702" s="20">
        <v>10</v>
      </c>
      <c r="X702" s="20" t="str">
        <v>Cold</v>
      </c>
      <c r="Y702" s="20">
        <v>0</v>
      </c>
    </row>
    <row r="703" spans="1:25" ht="15" customHeight="1" x14ac:dyDescent="0.25">
      <c r="A703" s="3"/>
      <c r="B703" s="3"/>
      <c r="C703" s="3"/>
      <c r="D703" s="3"/>
      <c r="E703" s="3"/>
      <c r="F703" s="3"/>
      <c r="G703" s="3"/>
      <c r="H703" s="3"/>
      <c r="I703" s="3"/>
      <c r="J703" s="3"/>
      <c r="K703" s="20">
        <v>27040</v>
      </c>
      <c r="L703" s="20" t="str">
        <v>2+ Cars</v>
      </c>
      <c r="M703" s="20" t="str">
        <v>41-50</v>
      </c>
      <c r="N703" s="20" t="str">
        <v>1-2 Miles</v>
      </c>
      <c r="O703" s="20">
        <v>2</v>
      </c>
      <c r="P703" s="20" t="str">
        <v>Partial High School</v>
      </c>
      <c r="Q703" s="20" t="str">
        <v>North America</v>
      </c>
      <c r="R703" s="20" t="str">
        <v>Married</v>
      </c>
      <c r="S703" s="20" t="str">
        <v>$10k-30k</v>
      </c>
      <c r="T703" s="89">
        <v>0.41038937665603964</v>
      </c>
      <c r="U703" s="91">
        <v>24.332356395262522</v>
      </c>
      <c r="V703" s="49">
        <v>945</v>
      </c>
      <c r="W703" s="20">
        <v>10</v>
      </c>
      <c r="X703" s="20" t="str">
        <v>Cold</v>
      </c>
      <c r="Y703" s="20">
        <v>0</v>
      </c>
    </row>
    <row r="704" spans="1:25" ht="15" customHeight="1" x14ac:dyDescent="0.25">
      <c r="A704" s="3"/>
      <c r="B704" s="3"/>
      <c r="C704" s="3"/>
      <c r="D704" s="3"/>
      <c r="E704" s="3"/>
      <c r="F704" s="3"/>
      <c r="G704" s="3"/>
      <c r="H704" s="3"/>
      <c r="I704" s="3"/>
      <c r="J704" s="3"/>
      <c r="K704" s="20">
        <v>23479</v>
      </c>
      <c r="L704" s="20" t="str">
        <v>2+ Cars</v>
      </c>
      <c r="M704" s="20" t="str">
        <v>41-50</v>
      </c>
      <c r="N704" s="20" t="str">
        <v>0-1 Miles</v>
      </c>
      <c r="O704" s="20">
        <v>0</v>
      </c>
      <c r="P704" s="20" t="str">
        <v>Partial College</v>
      </c>
      <c r="Q704" s="20" t="str">
        <v>North America</v>
      </c>
      <c r="R704" s="20" t="str">
        <v>Single</v>
      </c>
      <c r="S704" s="20" t="str">
        <v>$70k-90k</v>
      </c>
      <c r="T704" s="89">
        <v>0.46973942642028393</v>
      </c>
      <c r="U704" s="91">
        <v>53.108437274783128</v>
      </c>
      <c r="V704" s="49">
        <v>580</v>
      </c>
      <c r="W704" s="20">
        <v>6</v>
      </c>
      <c r="X704" s="20" t="str">
        <v>Warm</v>
      </c>
      <c r="Y704" s="20">
        <v>1</v>
      </c>
    </row>
    <row r="705" spans="1:25" ht="15" customHeight="1" x14ac:dyDescent="0.25">
      <c r="A705" s="3"/>
      <c r="B705" s="3"/>
      <c r="C705" s="3"/>
      <c r="D705" s="3"/>
      <c r="E705" s="3"/>
      <c r="F705" s="3"/>
      <c r="G705" s="3"/>
      <c r="H705" s="3"/>
      <c r="I705" s="3"/>
      <c r="J705" s="3"/>
      <c r="K705" s="20">
        <v>16795</v>
      </c>
      <c r="L705" s="20" t="str">
        <v>0-1 Cars</v>
      </c>
      <c r="M705" s="20" t="str">
        <v>51-60</v>
      </c>
      <c r="N705" s="20" t="str">
        <v>1-2 Miles</v>
      </c>
      <c r="O705" s="20">
        <v>4</v>
      </c>
      <c r="P705" s="20" t="str">
        <v>Bachelors</v>
      </c>
      <c r="Q705" s="20" t="str">
        <v>North America</v>
      </c>
      <c r="R705" s="20" t="str">
        <v>Married</v>
      </c>
      <c r="S705" s="20" t="str">
        <v>$70k-90k</v>
      </c>
      <c r="T705" s="89">
        <v>0.48585909052596893</v>
      </c>
      <c r="U705" s="91">
        <v>60.924113249756815</v>
      </c>
      <c r="V705" s="49">
        <v>474</v>
      </c>
      <c r="W705" s="20">
        <v>5</v>
      </c>
      <c r="X705" s="20" t="str">
        <v>Warm</v>
      </c>
      <c r="Y705" s="20">
        <v>0</v>
      </c>
    </row>
    <row r="706" spans="1:25" ht="15" customHeight="1" x14ac:dyDescent="0.25">
      <c r="A706" s="3"/>
      <c r="B706" s="3"/>
      <c r="C706" s="3"/>
      <c r="D706" s="3"/>
      <c r="E706" s="3"/>
      <c r="F706" s="3"/>
      <c r="G706" s="3"/>
      <c r="H706" s="3"/>
      <c r="I706" s="3"/>
      <c r="J706" s="3"/>
      <c r="K706" s="20">
        <v>22014</v>
      </c>
      <c r="L706" s="20" t="str">
        <v>2+ Cars</v>
      </c>
      <c r="M706" s="20" t="str">
        <v>25-30</v>
      </c>
      <c r="N706" s="20" t="str">
        <v>5-10 Miles</v>
      </c>
      <c r="O706" s="20">
        <v>0</v>
      </c>
      <c r="P706" s="20" t="str">
        <v>High School</v>
      </c>
      <c r="Q706" s="20" t="str">
        <v>North America</v>
      </c>
      <c r="R706" s="20" t="str">
        <v>Single</v>
      </c>
      <c r="S706" s="20" t="str">
        <v>$10k-30k</v>
      </c>
      <c r="T706" s="89">
        <v>0.42134016737254532</v>
      </c>
      <c r="U706" s="91">
        <v>29.64188588352113</v>
      </c>
      <c r="V706" s="49">
        <v>883</v>
      </c>
      <c r="W706" s="20">
        <v>9</v>
      </c>
      <c r="X706" s="20" t="str">
        <v>Cold</v>
      </c>
      <c r="Y706" s="20">
        <v>0</v>
      </c>
    </row>
    <row r="707" spans="1:25" ht="15" customHeight="1" x14ac:dyDescent="0.25">
      <c r="A707" s="3"/>
      <c r="B707" s="3"/>
      <c r="C707" s="3"/>
      <c r="D707" s="3"/>
      <c r="E707" s="3"/>
      <c r="F707" s="3"/>
      <c r="G707" s="3"/>
      <c r="H707" s="3"/>
      <c r="I707" s="3"/>
      <c r="J707" s="3"/>
      <c r="K707" s="20">
        <v>13314</v>
      </c>
      <c r="L707" s="20" t="str">
        <v>2+ Cars</v>
      </c>
      <c r="M707" s="20" t="str">
        <v>41-50</v>
      </c>
      <c r="N707" s="20" t="str">
        <v>5-10 Miles</v>
      </c>
      <c r="O707" s="20">
        <v>1</v>
      </c>
      <c r="P707" s="20" t="str">
        <v>High School</v>
      </c>
      <c r="Q707" s="20" t="str">
        <v>North America</v>
      </c>
      <c r="R707" s="20" t="str">
        <v>Married</v>
      </c>
      <c r="S707" s="20" t="str">
        <v>$100k+</v>
      </c>
      <c r="T707" s="89">
        <v>0.4460677051045413</v>
      </c>
      <c r="U707" s="91">
        <v>41.631119735115938</v>
      </c>
      <c r="V707" s="49">
        <v>743</v>
      </c>
      <c r="W707" s="20">
        <v>8</v>
      </c>
      <c r="X707" s="20" t="str">
        <v>Cold</v>
      </c>
      <c r="Y707" s="20">
        <v>1</v>
      </c>
    </row>
    <row r="708" spans="1:25" ht="15" customHeight="1" x14ac:dyDescent="0.25">
      <c r="A708" s="3"/>
      <c r="B708" s="3"/>
      <c r="C708" s="3"/>
      <c r="D708" s="3"/>
      <c r="E708" s="3"/>
      <c r="F708" s="3"/>
      <c r="G708" s="3"/>
      <c r="H708" s="3"/>
      <c r="I708" s="3"/>
      <c r="J708" s="3"/>
      <c r="K708" s="20">
        <v>11619</v>
      </c>
      <c r="L708" s="20" t="str">
        <v>0-1 Cars</v>
      </c>
      <c r="M708" s="20" t="str">
        <v>31-40</v>
      </c>
      <c r="N708" s="20" t="str">
        <v>1-2 Miles</v>
      </c>
      <c r="O708" s="20">
        <v>0</v>
      </c>
      <c r="P708" s="20" t="str">
        <v>Graduate Degree</v>
      </c>
      <c r="Q708" s="20" t="str">
        <v>North America</v>
      </c>
      <c r="R708" s="20" t="str">
        <v>Single</v>
      </c>
      <c r="S708" s="20" t="str">
        <v>$40k-60k</v>
      </c>
      <c r="T708" s="89">
        <v>0.53261425450299316</v>
      </c>
      <c r="U708" s="91">
        <v>83.593519349373238</v>
      </c>
      <c r="V708" s="49">
        <v>172</v>
      </c>
      <c r="W708" s="20">
        <v>2</v>
      </c>
      <c r="X708" s="20" t="str">
        <v>Hot</v>
      </c>
      <c r="Y708" s="20">
        <v>0</v>
      </c>
    </row>
    <row r="709" spans="1:25" ht="15" customHeight="1" x14ac:dyDescent="0.25">
      <c r="A709" s="3"/>
      <c r="B709" s="3"/>
      <c r="C709" s="3"/>
      <c r="D709" s="3"/>
      <c r="E709" s="3"/>
      <c r="F709" s="3"/>
      <c r="G709" s="3"/>
      <c r="H709" s="3"/>
      <c r="I709" s="3"/>
      <c r="J709" s="3"/>
      <c r="K709" s="20">
        <v>29132</v>
      </c>
      <c r="L709" s="20" t="str">
        <v>0-1 Cars</v>
      </c>
      <c r="M709" s="20" t="str">
        <v>41-50</v>
      </c>
      <c r="N709" s="20" t="str">
        <v>2-5 Miles</v>
      </c>
      <c r="O709" s="20">
        <v>0</v>
      </c>
      <c r="P709" s="20" t="str">
        <v>Bachelors</v>
      </c>
      <c r="Q709" s="20" t="str">
        <v>North America</v>
      </c>
      <c r="R709" s="20" t="str">
        <v>Single</v>
      </c>
      <c r="S709" s="20" t="str">
        <v>$40k-60k</v>
      </c>
      <c r="T709" s="89">
        <v>0.52994388842222395</v>
      </c>
      <c r="U709" s="91">
        <v>82.29878294016406</v>
      </c>
      <c r="V709" s="49">
        <v>186</v>
      </c>
      <c r="W709" s="20">
        <v>2</v>
      </c>
      <c r="X709" s="20" t="str">
        <v>Hot</v>
      </c>
      <c r="Y709" s="20">
        <v>1</v>
      </c>
    </row>
    <row r="710" spans="1:25" ht="15" customHeight="1" x14ac:dyDescent="0.25">
      <c r="A710" s="3"/>
      <c r="B710" s="3"/>
      <c r="C710" s="3"/>
      <c r="D710" s="3"/>
      <c r="E710" s="3"/>
      <c r="F710" s="3"/>
      <c r="G710" s="3"/>
      <c r="H710" s="3"/>
      <c r="I710" s="3"/>
      <c r="J710" s="3"/>
      <c r="K710" s="20">
        <v>11199</v>
      </c>
      <c r="L710" s="20" t="str">
        <v>0-1 Cars</v>
      </c>
      <c r="M710" s="20" t="str">
        <v>51-60</v>
      </c>
      <c r="N710" s="20" t="str">
        <v>10+ Miles</v>
      </c>
      <c r="O710" s="20">
        <v>4</v>
      </c>
      <c r="P710" s="20" t="str">
        <v>Bachelors</v>
      </c>
      <c r="Q710" s="20" t="str">
        <v>North America</v>
      </c>
      <c r="R710" s="20" t="str">
        <v>Married</v>
      </c>
      <c r="S710" s="20" t="str">
        <v>$70k-90k</v>
      </c>
      <c r="T710" s="89">
        <v>0.4630184420945832</v>
      </c>
      <c r="U710" s="91">
        <v>49.849744328195719</v>
      </c>
      <c r="V710" s="49">
        <v>622</v>
      </c>
      <c r="W710" s="20">
        <v>7</v>
      </c>
      <c r="X710" s="20" t="str">
        <v>Cold</v>
      </c>
      <c r="Y710" s="20">
        <v>0</v>
      </c>
    </row>
    <row r="711" spans="1:25" ht="15" customHeight="1" x14ac:dyDescent="0.25">
      <c r="A711" s="3"/>
      <c r="B711" s="3"/>
      <c r="C711" s="3"/>
      <c r="D711" s="3"/>
      <c r="E711" s="3"/>
      <c r="F711" s="3"/>
      <c r="G711" s="3"/>
      <c r="H711" s="3"/>
      <c r="I711" s="3"/>
      <c r="J711" s="3"/>
      <c r="K711" s="20">
        <v>20296</v>
      </c>
      <c r="L711" s="20" t="str">
        <v>0-1 Cars</v>
      </c>
      <c r="M711" s="20" t="str">
        <v>31-40</v>
      </c>
      <c r="N711" s="20" t="str">
        <v>1-2 Miles</v>
      </c>
      <c r="O711" s="20">
        <v>0</v>
      </c>
      <c r="P711" s="20" t="str">
        <v>Partial College</v>
      </c>
      <c r="Q711" s="20" t="str">
        <v>North America</v>
      </c>
      <c r="R711" s="20" t="str">
        <v>Single</v>
      </c>
      <c r="S711" s="20" t="str">
        <v>$40k-60k</v>
      </c>
      <c r="T711" s="89">
        <v>0.52134522869138145</v>
      </c>
      <c r="U711" s="91">
        <v>78.129692453246406</v>
      </c>
      <c r="V711" s="49">
        <v>243</v>
      </c>
      <c r="W711" s="20">
        <v>3</v>
      </c>
      <c r="X711" s="20" t="str">
        <v>Hot</v>
      </c>
      <c r="Y711" s="20">
        <v>1</v>
      </c>
    </row>
    <row r="712" spans="1:25" ht="15" customHeight="1" x14ac:dyDescent="0.25">
      <c r="A712" s="3"/>
      <c r="B712" s="3"/>
      <c r="C712" s="3"/>
      <c r="D712" s="3"/>
      <c r="E712" s="3"/>
      <c r="F712" s="3"/>
      <c r="G712" s="3"/>
      <c r="H712" s="3"/>
      <c r="I712" s="3"/>
      <c r="J712" s="3"/>
      <c r="K712" s="20">
        <v>17546</v>
      </c>
      <c r="L712" s="20" t="str">
        <v>0-1 Cars</v>
      </c>
      <c r="M712" s="20" t="str">
        <v>41-50</v>
      </c>
      <c r="N712" s="20" t="str">
        <v>0-1 Miles</v>
      </c>
      <c r="O712" s="20">
        <v>1</v>
      </c>
      <c r="P712" s="20" t="str">
        <v>Partial College</v>
      </c>
      <c r="Q712" s="20" t="str">
        <v>North America</v>
      </c>
      <c r="R712" s="20" t="str">
        <v>Married</v>
      </c>
      <c r="S712" s="20" t="str">
        <v>$70k-90k</v>
      </c>
      <c r="T712" s="89">
        <v>0.50831637231025417</v>
      </c>
      <c r="U712" s="91">
        <v>71.812605500829918</v>
      </c>
      <c r="V712" s="49">
        <v>333</v>
      </c>
      <c r="W712" s="20">
        <v>4</v>
      </c>
      <c r="X712" s="20" t="str">
        <v>Warm</v>
      </c>
      <c r="Y712" s="20">
        <v>1</v>
      </c>
    </row>
    <row r="713" spans="1:25" ht="15" customHeight="1" x14ac:dyDescent="0.25">
      <c r="A713" s="3"/>
      <c r="B713" s="3"/>
      <c r="C713" s="3"/>
      <c r="D713" s="3"/>
      <c r="E713" s="3"/>
      <c r="F713" s="3"/>
      <c r="G713" s="3"/>
      <c r="H713" s="3"/>
      <c r="I713" s="3"/>
      <c r="J713" s="3"/>
      <c r="K713" s="20">
        <v>18069</v>
      </c>
      <c r="L713" s="20" t="str">
        <v>2+ Cars</v>
      </c>
      <c r="M713" s="20" t="str">
        <v>51-60</v>
      </c>
      <c r="N713" s="20" t="str">
        <v>10+ Miles</v>
      </c>
      <c r="O713" s="20">
        <v>5</v>
      </c>
      <c r="P713" s="20" t="str">
        <v>Bachelors</v>
      </c>
      <c r="Q713" s="20" t="str">
        <v>North America</v>
      </c>
      <c r="R713" s="20" t="str">
        <v>Married</v>
      </c>
      <c r="S713" s="20" t="str">
        <v>$70k-90k</v>
      </c>
      <c r="T713" s="89">
        <v>0.39561503538165149</v>
      </c>
      <c r="U713" s="91">
        <v>17.16896493826723</v>
      </c>
      <c r="V713" s="49">
        <v>979</v>
      </c>
      <c r="W713" s="20">
        <v>10</v>
      </c>
      <c r="X713" s="20" t="str">
        <v>Cold</v>
      </c>
      <c r="Y713" s="20">
        <v>0</v>
      </c>
    </row>
    <row r="714" spans="1:25" ht="15" customHeight="1" x14ac:dyDescent="0.25">
      <c r="A714" s="3"/>
      <c r="B714" s="3"/>
      <c r="C714" s="3"/>
      <c r="D714" s="3"/>
      <c r="E714" s="3"/>
      <c r="F714" s="3"/>
      <c r="G714" s="3"/>
      <c r="H714" s="3"/>
      <c r="I714" s="3"/>
      <c r="J714" s="3"/>
      <c r="K714" s="20">
        <v>23712</v>
      </c>
      <c r="L714" s="20" t="str">
        <v>0-1 Cars</v>
      </c>
      <c r="M714" s="20" t="str">
        <v>51-60</v>
      </c>
      <c r="N714" s="20" t="str">
        <v>10+ Miles</v>
      </c>
      <c r="O714" s="20">
        <v>2</v>
      </c>
      <c r="P714" s="20" t="str">
        <v>Bachelors</v>
      </c>
      <c r="Q714" s="20" t="str">
        <v>North America</v>
      </c>
      <c r="R714" s="20" t="str">
        <v>Single</v>
      </c>
      <c r="S714" s="20" t="str">
        <v>$70k-90k</v>
      </c>
      <c r="T714" s="89">
        <v>0.47763829561098203</v>
      </c>
      <c r="U714" s="91">
        <v>56.938231851050183</v>
      </c>
      <c r="V714" s="49">
        <v>523</v>
      </c>
      <c r="W714" s="20">
        <v>6</v>
      </c>
      <c r="X714" s="20" t="str">
        <v>Warm</v>
      </c>
      <c r="Y714" s="20">
        <v>0</v>
      </c>
    </row>
    <row r="715" spans="1:25" ht="15" customHeight="1" x14ac:dyDescent="0.25">
      <c r="A715" s="3"/>
      <c r="B715" s="3"/>
      <c r="C715" s="3"/>
      <c r="D715" s="3"/>
      <c r="E715" s="3"/>
      <c r="F715" s="3"/>
      <c r="G715" s="3"/>
      <c r="H715" s="3"/>
      <c r="I715" s="3"/>
      <c r="J715" s="3"/>
      <c r="K715" s="20">
        <v>23358</v>
      </c>
      <c r="L715" s="20" t="str">
        <v>2+ Cars</v>
      </c>
      <c r="M715" s="20" t="str">
        <v>31-40</v>
      </c>
      <c r="N715" s="20" t="str">
        <v>5-10 Miles</v>
      </c>
      <c r="O715" s="20">
        <v>0</v>
      </c>
      <c r="P715" s="20" t="str">
        <v>High School</v>
      </c>
      <c r="Q715" s="20" t="str">
        <v>North America</v>
      </c>
      <c r="R715" s="20" t="str">
        <v>Married</v>
      </c>
      <c r="S715" s="20" t="str">
        <v>$40k-60k</v>
      </c>
      <c r="T715" s="89">
        <v>0.46337473537728807</v>
      </c>
      <c r="U715" s="91">
        <v>50.022494382503545</v>
      </c>
      <c r="V715" s="49">
        <v>620</v>
      </c>
      <c r="W715" s="20">
        <v>7</v>
      </c>
      <c r="X715" s="20" t="str">
        <v>Cold</v>
      </c>
      <c r="Y715" s="20">
        <v>1</v>
      </c>
    </row>
    <row r="716" spans="1:25" ht="15" customHeight="1" x14ac:dyDescent="0.25">
      <c r="A716" s="3"/>
      <c r="B716" s="3"/>
      <c r="C716" s="3"/>
      <c r="D716" s="3"/>
      <c r="E716" s="3"/>
      <c r="F716" s="3"/>
      <c r="G716" s="3"/>
      <c r="H716" s="3"/>
      <c r="I716" s="3"/>
      <c r="J716" s="3"/>
      <c r="K716" s="20">
        <v>20518</v>
      </c>
      <c r="L716" s="20" t="str">
        <v>0-1 Cars</v>
      </c>
      <c r="M716" s="20" t="str">
        <v>51-60</v>
      </c>
      <c r="N716" s="20" t="str">
        <v>10+ Miles</v>
      </c>
      <c r="O716" s="20">
        <v>2</v>
      </c>
      <c r="P716" s="20" t="str">
        <v>Partial College</v>
      </c>
      <c r="Q716" s="20" t="str">
        <v>North America</v>
      </c>
      <c r="R716" s="20" t="str">
        <v>Married</v>
      </c>
      <c r="S716" s="20" t="str">
        <v>$70k-90k</v>
      </c>
      <c r="T716" s="89">
        <v>0.45520089469621555</v>
      </c>
      <c r="U716" s="91">
        <v>46.059378909657511</v>
      </c>
      <c r="V716" s="49">
        <v>690</v>
      </c>
      <c r="W716" s="20">
        <v>7</v>
      </c>
      <c r="X716" s="20" t="str">
        <v>Cold</v>
      </c>
      <c r="Y716" s="20">
        <v>0</v>
      </c>
    </row>
    <row r="717" spans="1:25" ht="15" customHeight="1" x14ac:dyDescent="0.25">
      <c r="A717" s="3"/>
      <c r="B717" s="3"/>
      <c r="C717" s="3"/>
      <c r="D717" s="3"/>
      <c r="E717" s="3"/>
      <c r="F717" s="3"/>
      <c r="G717" s="3"/>
      <c r="H717" s="3"/>
      <c r="I717" s="3"/>
      <c r="J717" s="3"/>
      <c r="K717" s="20">
        <v>28026</v>
      </c>
      <c r="L717" s="20" t="str">
        <v>2+ Cars</v>
      </c>
      <c r="M717" s="20" t="str">
        <v>51-60</v>
      </c>
      <c r="N717" s="20" t="str">
        <v>2-5 Miles</v>
      </c>
      <c r="O717" s="20">
        <v>2</v>
      </c>
      <c r="P717" s="20" t="str">
        <v>High School</v>
      </c>
      <c r="Q717" s="20" t="str">
        <v>North America</v>
      </c>
      <c r="R717" s="20" t="str">
        <v>Married</v>
      </c>
      <c r="S717" s="20" t="str">
        <v>$40k-60k</v>
      </c>
      <c r="T717" s="89">
        <v>0.46020921847369795</v>
      </c>
      <c r="U717" s="91">
        <v>48.487682351089255</v>
      </c>
      <c r="V717" s="49">
        <v>649</v>
      </c>
      <c r="W717" s="20">
        <v>7</v>
      </c>
      <c r="X717" s="20" t="str">
        <v>Cold</v>
      </c>
      <c r="Y717" s="20">
        <v>0</v>
      </c>
    </row>
    <row r="718" spans="1:25" ht="15" customHeight="1" x14ac:dyDescent="0.25">
      <c r="A718" s="3"/>
      <c r="B718" s="3"/>
      <c r="C718" s="3"/>
      <c r="D718" s="3"/>
      <c r="E718" s="3"/>
      <c r="F718" s="3"/>
      <c r="G718" s="3"/>
      <c r="H718" s="3"/>
      <c r="I718" s="3"/>
      <c r="J718" s="3"/>
      <c r="K718" s="20">
        <v>11669</v>
      </c>
      <c r="L718" s="20" t="str">
        <v>0-1 Cars</v>
      </c>
      <c r="M718" s="20" t="str">
        <v>31-40</v>
      </c>
      <c r="N718" s="20" t="str">
        <v>2-5 Miles</v>
      </c>
      <c r="O718" s="20">
        <v>2</v>
      </c>
      <c r="P718" s="20" t="str">
        <v>Bachelors</v>
      </c>
      <c r="Q718" s="20" t="str">
        <v>North America</v>
      </c>
      <c r="R718" s="20" t="str">
        <v>Single</v>
      </c>
      <c r="S718" s="20" t="str">
        <v>$70k-90k</v>
      </c>
      <c r="T718" s="89">
        <v>0.54427760930820968</v>
      </c>
      <c r="U718" s="91">
        <v>89.248538048340777</v>
      </c>
      <c r="V718" s="49">
        <v>77</v>
      </c>
      <c r="W718" s="20">
        <v>1</v>
      </c>
      <c r="X718" s="20" t="str">
        <v>Hot</v>
      </c>
      <c r="Y718" s="20">
        <v>0</v>
      </c>
    </row>
    <row r="719" spans="1:25" ht="15" customHeight="1" x14ac:dyDescent="0.25">
      <c r="A719" s="3"/>
      <c r="B719" s="3"/>
      <c r="C719" s="3"/>
      <c r="D719" s="3"/>
      <c r="E719" s="3"/>
      <c r="F719" s="3"/>
      <c r="G719" s="3"/>
      <c r="H719" s="3"/>
      <c r="I719" s="3"/>
      <c r="J719" s="3"/>
      <c r="K719" s="20">
        <v>16020</v>
      </c>
      <c r="L719" s="20" t="str">
        <v>2+ Cars</v>
      </c>
      <c r="M719" s="20" t="str">
        <v>25-30</v>
      </c>
      <c r="N719" s="20" t="str">
        <v>5-10 Miles</v>
      </c>
      <c r="O719" s="20">
        <v>0</v>
      </c>
      <c r="P719" s="20" t="str">
        <v>High School</v>
      </c>
      <c r="Q719" s="20" t="str">
        <v>North America</v>
      </c>
      <c r="R719" s="20" t="str">
        <v>Married</v>
      </c>
      <c r="S719" s="20" t="str">
        <v>$40k-60k</v>
      </c>
      <c r="T719" s="89">
        <v>0.42248750750397268</v>
      </c>
      <c r="U719" s="91">
        <v>30.198177791437342</v>
      </c>
      <c r="V719" s="49">
        <v>869</v>
      </c>
      <c r="W719" s="20">
        <v>9</v>
      </c>
      <c r="X719" s="20" t="str">
        <v>Cold</v>
      </c>
      <c r="Y719" s="20">
        <v>1</v>
      </c>
    </row>
    <row r="720" spans="1:25" ht="15" customHeight="1" x14ac:dyDescent="0.25">
      <c r="A720" s="3"/>
      <c r="B720" s="3"/>
      <c r="C720" s="3"/>
      <c r="D720" s="3"/>
      <c r="E720" s="3"/>
      <c r="F720" s="3"/>
      <c r="G720" s="3"/>
      <c r="H720" s="3"/>
      <c r="I720" s="3"/>
      <c r="J720" s="3"/>
      <c r="K720" s="20">
        <v>27090</v>
      </c>
      <c r="L720" s="20" t="str">
        <v>0-1 Cars</v>
      </c>
      <c r="M720" s="20" t="str">
        <v>31-40</v>
      </c>
      <c r="N720" s="20" t="str">
        <v>2-5 Miles</v>
      </c>
      <c r="O720" s="20">
        <v>1</v>
      </c>
      <c r="P720" s="20" t="str">
        <v>Graduate Degree</v>
      </c>
      <c r="Q720" s="20" t="str">
        <v>North America</v>
      </c>
      <c r="R720" s="20" t="str">
        <v>Married</v>
      </c>
      <c r="S720" s="20" t="str">
        <v>$40k-60k</v>
      </c>
      <c r="T720" s="89">
        <v>0.55134741913222174</v>
      </c>
      <c r="U720" s="91">
        <v>92.676360267643531</v>
      </c>
      <c r="V720" s="49">
        <v>38</v>
      </c>
      <c r="W720" s="20">
        <v>1</v>
      </c>
      <c r="X720" s="20" t="str">
        <v>Hot</v>
      </c>
      <c r="Y720" s="20">
        <v>1</v>
      </c>
    </row>
    <row r="721" spans="1:25" ht="15" customHeight="1" x14ac:dyDescent="0.25">
      <c r="A721" s="3"/>
      <c r="B721" s="3"/>
      <c r="C721" s="3"/>
      <c r="D721" s="3"/>
      <c r="E721" s="3"/>
      <c r="F721" s="3"/>
      <c r="G721" s="3"/>
      <c r="H721" s="3"/>
      <c r="I721" s="3"/>
      <c r="J721" s="3"/>
      <c r="K721" s="20">
        <v>27198</v>
      </c>
      <c r="L721" s="20" t="str">
        <v>0-1 Cars</v>
      </c>
      <c r="M721" s="20" t="str">
        <v>31-40</v>
      </c>
      <c r="N721" s="20" t="str">
        <v>0-1 Miles</v>
      </c>
      <c r="O721" s="20">
        <v>0</v>
      </c>
      <c r="P721" s="20" t="str">
        <v>Graduate Degree</v>
      </c>
      <c r="Q721" s="20" t="str">
        <v>North America</v>
      </c>
      <c r="R721" s="20" t="str">
        <v>Single</v>
      </c>
      <c r="S721" s="20" t="str">
        <v>$70k-90k</v>
      </c>
      <c r="T721" s="89">
        <v>0.54275226848467717</v>
      </c>
      <c r="U721" s="91">
        <v>88.508971172134892</v>
      </c>
      <c r="V721" s="49">
        <v>93</v>
      </c>
      <c r="W721" s="20">
        <v>1</v>
      </c>
      <c r="X721" s="20" t="str">
        <v>Hot</v>
      </c>
      <c r="Y721" s="20">
        <v>0</v>
      </c>
    </row>
    <row r="722" spans="1:25" ht="15" customHeight="1" x14ac:dyDescent="0.25">
      <c r="A722" s="3"/>
      <c r="B722" s="3"/>
      <c r="C722" s="3"/>
      <c r="D722" s="3"/>
      <c r="E722" s="3"/>
      <c r="F722" s="3"/>
      <c r="G722" s="3"/>
      <c r="H722" s="3"/>
      <c r="I722" s="3"/>
      <c r="J722" s="3"/>
      <c r="K722" s="20">
        <v>19661</v>
      </c>
      <c r="L722" s="20" t="str">
        <v>0-1 Cars</v>
      </c>
      <c r="M722" s="20" t="str">
        <v>31-40</v>
      </c>
      <c r="N722" s="20" t="str">
        <v>1-2 Miles</v>
      </c>
      <c r="O722" s="20">
        <v>4</v>
      </c>
      <c r="P722" s="20" t="str">
        <v>Bachelors</v>
      </c>
      <c r="Q722" s="20" t="str">
        <v>North America</v>
      </c>
      <c r="R722" s="20" t="str">
        <v>Single</v>
      </c>
      <c r="S722" s="20" t="str">
        <v>$70k-90k</v>
      </c>
      <c r="T722" s="89">
        <v>0.52046613024166544</v>
      </c>
      <c r="U722" s="91">
        <v>77.703458470451508</v>
      </c>
      <c r="V722" s="49">
        <v>252</v>
      </c>
      <c r="W722" s="20">
        <v>3</v>
      </c>
      <c r="X722" s="20" t="str">
        <v>Hot</v>
      </c>
      <c r="Y722" s="20">
        <v>1</v>
      </c>
    </row>
    <row r="723" spans="1:25" ht="15" customHeight="1" x14ac:dyDescent="0.25">
      <c r="A723" s="3"/>
      <c r="B723" s="3"/>
      <c r="C723" s="3"/>
      <c r="D723" s="3"/>
      <c r="E723" s="3"/>
      <c r="F723" s="3"/>
      <c r="G723" s="3"/>
      <c r="H723" s="3"/>
      <c r="I723" s="3"/>
      <c r="J723" s="3"/>
      <c r="K723" s="20">
        <v>26327</v>
      </c>
      <c r="L723" s="20" t="str">
        <v>0-1 Cars</v>
      </c>
      <c r="M723" s="20" t="str">
        <v>31-40</v>
      </c>
      <c r="N723" s="20" t="str">
        <v>2-5 Miles</v>
      </c>
      <c r="O723" s="20">
        <v>4</v>
      </c>
      <c r="P723" s="20" t="str">
        <v>Graduate Degree</v>
      </c>
      <c r="Q723" s="20" t="str">
        <v>North America</v>
      </c>
      <c r="R723" s="20" t="str">
        <v>Married</v>
      </c>
      <c r="S723" s="20" t="str">
        <v>$70k-90k</v>
      </c>
      <c r="T723" s="89">
        <v>0.52816742339648126</v>
      </c>
      <c r="U723" s="91">
        <v>81.437457609124351</v>
      </c>
      <c r="V723" s="49">
        <v>208</v>
      </c>
      <c r="W723" s="20">
        <v>3</v>
      </c>
      <c r="X723" s="20" t="str">
        <v>Hot</v>
      </c>
      <c r="Y723" s="20">
        <v>1</v>
      </c>
    </row>
    <row r="724" spans="1:25" ht="15" customHeight="1" x14ac:dyDescent="0.25">
      <c r="A724" s="3"/>
      <c r="B724" s="3"/>
      <c r="C724" s="3"/>
      <c r="D724" s="3"/>
      <c r="E724" s="3"/>
      <c r="F724" s="3"/>
      <c r="G724" s="3"/>
      <c r="H724" s="3"/>
      <c r="I724" s="3"/>
      <c r="J724" s="3"/>
      <c r="K724" s="20">
        <v>26341</v>
      </c>
      <c r="L724" s="20" t="str">
        <v>2+ Cars</v>
      </c>
      <c r="M724" s="20" t="str">
        <v>31-40</v>
      </c>
      <c r="N724" s="20" t="str">
        <v>0-1 Miles</v>
      </c>
      <c r="O724" s="20">
        <v>5</v>
      </c>
      <c r="P724" s="20" t="str">
        <v>Graduate Degree</v>
      </c>
      <c r="Q724" s="20" t="str">
        <v>North America</v>
      </c>
      <c r="R724" s="20" t="str">
        <v>Married</v>
      </c>
      <c r="S724" s="20" t="str">
        <v>$70k-90k</v>
      </c>
      <c r="T724" s="89">
        <v>0.45499749526787753</v>
      </c>
      <c r="U724" s="91">
        <v>45.960759979699525</v>
      </c>
      <c r="V724" s="49">
        <v>693</v>
      </c>
      <c r="W724" s="20">
        <v>7</v>
      </c>
      <c r="X724" s="20" t="str">
        <v>Cold</v>
      </c>
      <c r="Y724" s="20">
        <v>0</v>
      </c>
    </row>
    <row r="725" spans="1:25" ht="15" customHeight="1" x14ac:dyDescent="0.25">
      <c r="A725" s="3"/>
      <c r="B725" s="3"/>
      <c r="C725" s="3"/>
      <c r="D725" s="3"/>
      <c r="E725" s="3"/>
      <c r="F725" s="3"/>
      <c r="G725" s="3"/>
      <c r="H725" s="3"/>
      <c r="I725" s="3"/>
      <c r="J725" s="3"/>
      <c r="K725" s="20">
        <v>24958</v>
      </c>
      <c r="L725" s="20" t="str">
        <v>2+ Cars</v>
      </c>
      <c r="M725" s="20" t="str">
        <v>51-60</v>
      </c>
      <c r="N725" s="20" t="str">
        <v>2-5 Miles</v>
      </c>
      <c r="O725" s="20">
        <v>5</v>
      </c>
      <c r="P725" s="20" t="str">
        <v>High School</v>
      </c>
      <c r="Q725" s="20" t="str">
        <v>North America</v>
      </c>
      <c r="R725" s="20" t="str">
        <v>Single</v>
      </c>
      <c r="S725" s="20" t="str">
        <v>$40k-60k</v>
      </c>
      <c r="T725" s="89">
        <v>0.4362554931787298</v>
      </c>
      <c r="U725" s="91">
        <v>36.873634187829069</v>
      </c>
      <c r="V725" s="49">
        <v>799</v>
      </c>
      <c r="W725" s="20">
        <v>8</v>
      </c>
      <c r="X725" s="20" t="str">
        <v>Cold</v>
      </c>
      <c r="Y725" s="20">
        <v>1</v>
      </c>
    </row>
    <row r="726" spans="1:25" ht="15" customHeight="1" x14ac:dyDescent="0.25">
      <c r="A726" s="3"/>
      <c r="B726" s="3"/>
      <c r="C726" s="3"/>
      <c r="D726" s="3"/>
      <c r="E726" s="3"/>
      <c r="F726" s="3"/>
      <c r="G726" s="3"/>
      <c r="H726" s="3"/>
      <c r="I726" s="3"/>
      <c r="J726" s="3"/>
      <c r="K726" s="20">
        <v>13287</v>
      </c>
      <c r="L726" s="20" t="str">
        <v>2+ Cars</v>
      </c>
      <c r="M726" s="20" t="str">
        <v>41-50</v>
      </c>
      <c r="N726" s="20" t="str">
        <v>5-10 Miles</v>
      </c>
      <c r="O726" s="20">
        <v>4</v>
      </c>
      <c r="P726" s="20" t="str">
        <v>Bachelors</v>
      </c>
      <c r="Q726" s="20" t="str">
        <v>North America</v>
      </c>
      <c r="R726" s="20" t="str">
        <v>Single</v>
      </c>
      <c r="S726" s="20" t="str">
        <v>$100k+</v>
      </c>
      <c r="T726" s="89">
        <v>0.44924391939795799</v>
      </c>
      <c r="U726" s="91">
        <v>43.171118433703576</v>
      </c>
      <c r="V726" s="49">
        <v>730</v>
      </c>
      <c r="W726" s="20">
        <v>8</v>
      </c>
      <c r="X726" s="20" t="str">
        <v>Cold</v>
      </c>
      <c r="Y726" s="20">
        <v>1</v>
      </c>
    </row>
    <row r="727" spans="1:25" ht="15" customHeight="1" x14ac:dyDescent="0.25">
      <c r="A727" s="3"/>
      <c r="B727" s="3"/>
      <c r="C727" s="3"/>
      <c r="D727" s="3"/>
      <c r="E727" s="3"/>
      <c r="F727" s="3"/>
      <c r="G727" s="3"/>
      <c r="H727" s="3"/>
      <c r="I727" s="3"/>
      <c r="J727" s="3"/>
      <c r="K727" s="20">
        <v>14493</v>
      </c>
      <c r="L727" s="20" t="str">
        <v>2+ Cars</v>
      </c>
      <c r="M727" s="20" t="str">
        <v>51-60</v>
      </c>
      <c r="N727" s="20" t="str">
        <v>1-2 Miles</v>
      </c>
      <c r="O727" s="20">
        <v>3</v>
      </c>
      <c r="P727" s="20" t="str">
        <v>Graduate Degree</v>
      </c>
      <c r="Q727" s="20" t="str">
        <v>North America</v>
      </c>
      <c r="R727" s="20" t="str">
        <v>Single</v>
      </c>
      <c r="S727" s="20" t="str">
        <v>$70k-90k</v>
      </c>
      <c r="T727" s="89">
        <v>0.47148998048595742</v>
      </c>
      <c r="U727" s="91">
        <v>53.957199585478641</v>
      </c>
      <c r="V727" s="49">
        <v>565</v>
      </c>
      <c r="W727" s="20">
        <v>6</v>
      </c>
      <c r="X727" s="20" t="str">
        <v>Warm</v>
      </c>
      <c r="Y727" s="20">
        <v>0</v>
      </c>
    </row>
    <row r="728" spans="1:25" ht="15" customHeight="1" x14ac:dyDescent="0.25">
      <c r="A728" s="3"/>
      <c r="B728" s="3"/>
      <c r="C728" s="3"/>
      <c r="D728" s="3"/>
      <c r="E728" s="3"/>
      <c r="F728" s="3"/>
      <c r="G728" s="3"/>
      <c r="H728" s="3"/>
      <c r="I728" s="3"/>
      <c r="J728" s="3"/>
      <c r="K728" s="20">
        <v>26678</v>
      </c>
      <c r="L728" s="20" t="str">
        <v>2+ Cars</v>
      </c>
      <c r="M728" s="20" t="str">
        <v>41-50</v>
      </c>
      <c r="N728" s="20" t="str">
        <v>5-10 Miles</v>
      </c>
      <c r="O728" s="20">
        <v>2</v>
      </c>
      <c r="P728" s="20" t="str">
        <v>Partial High School</v>
      </c>
      <c r="Q728" s="20" t="str">
        <v>North America</v>
      </c>
      <c r="R728" s="20" t="str">
        <v>Single</v>
      </c>
      <c r="S728" s="20" t="str">
        <v>$70k-90k</v>
      </c>
      <c r="T728" s="89">
        <v>0.419302344508723</v>
      </c>
      <c r="U728" s="91">
        <v>28.653840283215402</v>
      </c>
      <c r="V728" s="49">
        <v>896</v>
      </c>
      <c r="W728" s="20">
        <v>9</v>
      </c>
      <c r="X728" s="20" t="str">
        <v>Cold</v>
      </c>
      <c r="Y728" s="20">
        <v>0</v>
      </c>
    </row>
    <row r="729" spans="1:25" ht="15" customHeight="1" x14ac:dyDescent="0.25">
      <c r="A729" s="3"/>
      <c r="B729" s="3"/>
      <c r="C729" s="3"/>
      <c r="D729" s="3"/>
      <c r="E729" s="3"/>
      <c r="F729" s="3"/>
      <c r="G729" s="3"/>
      <c r="H729" s="3"/>
      <c r="I729" s="3"/>
      <c r="J729" s="3"/>
      <c r="K729" s="20">
        <v>23275</v>
      </c>
      <c r="L729" s="20" t="str">
        <v>2+ Cars</v>
      </c>
      <c r="M729" s="20" t="str">
        <v>41-50</v>
      </c>
      <c r="N729" s="20" t="str">
        <v>1-2 Miles</v>
      </c>
      <c r="O729" s="20">
        <v>2</v>
      </c>
      <c r="P729" s="20" t="str">
        <v>High School</v>
      </c>
      <c r="Q729" s="20" t="str">
        <v>North America</v>
      </c>
      <c r="R729" s="20" t="str">
        <v>Married</v>
      </c>
      <c r="S729" s="20" t="str">
        <v>$10k-30k</v>
      </c>
      <c r="T729" s="89">
        <v>0.43241279765027696</v>
      </c>
      <c r="U729" s="91">
        <v>35.010489712611644</v>
      </c>
      <c r="V729" s="49">
        <v>823</v>
      </c>
      <c r="W729" s="20">
        <v>9</v>
      </c>
      <c r="X729" s="20" t="str">
        <v>Cold</v>
      </c>
      <c r="Y729" s="20">
        <v>0</v>
      </c>
    </row>
    <row r="730" spans="1:25" ht="15" customHeight="1" x14ac:dyDescent="0.25">
      <c r="A730" s="3"/>
      <c r="B730" s="3"/>
      <c r="C730" s="3"/>
      <c r="D730" s="3"/>
      <c r="E730" s="3"/>
      <c r="F730" s="3"/>
      <c r="G730" s="3"/>
      <c r="H730" s="3"/>
      <c r="I730" s="3"/>
      <c r="J730" s="3"/>
      <c r="K730" s="20">
        <v>11270</v>
      </c>
      <c r="L730" s="20" t="str">
        <v>2+ Cars</v>
      </c>
      <c r="M730" s="20" t="str">
        <v>41-50</v>
      </c>
      <c r="N730" s="20" t="str">
        <v>0-1 Miles</v>
      </c>
      <c r="O730" s="20">
        <v>2</v>
      </c>
      <c r="P730" s="20" t="str">
        <v>Graduate Degree</v>
      </c>
      <c r="Q730" s="20" t="str">
        <v>North America</v>
      </c>
      <c r="R730" s="20" t="str">
        <v>Married</v>
      </c>
      <c r="S730" s="20" t="str">
        <v>$100k+</v>
      </c>
      <c r="T730" s="89">
        <v>0.46474582677945525</v>
      </c>
      <c r="U730" s="91">
        <v>50.687272882921043</v>
      </c>
      <c r="V730" s="49">
        <v>612</v>
      </c>
      <c r="W730" s="20">
        <v>7</v>
      </c>
      <c r="X730" s="20" t="str">
        <v>Cold</v>
      </c>
      <c r="Y730" s="20">
        <v>1</v>
      </c>
    </row>
    <row r="731" spans="1:25" ht="15" customHeight="1" x14ac:dyDescent="0.25">
      <c r="A731" s="3"/>
      <c r="B731" s="3"/>
      <c r="C731" s="3"/>
      <c r="D731" s="3"/>
      <c r="E731" s="3"/>
      <c r="F731" s="3"/>
      <c r="G731" s="3"/>
      <c r="H731" s="3"/>
      <c r="I731" s="3"/>
      <c r="J731" s="3"/>
      <c r="K731" s="20">
        <v>20084</v>
      </c>
      <c r="L731" s="20" t="str">
        <v>2+ Cars</v>
      </c>
      <c r="M731" s="20" t="str">
        <v>51-60</v>
      </c>
      <c r="N731" s="20" t="str">
        <v>0-1 Miles</v>
      </c>
      <c r="O731" s="20">
        <v>2</v>
      </c>
      <c r="P731" s="20" t="str">
        <v>High School</v>
      </c>
      <c r="Q731" s="20" t="str">
        <v>North America</v>
      </c>
      <c r="R731" s="20" t="str">
        <v>Married</v>
      </c>
      <c r="S731" s="20" t="str">
        <v>$10k-30k</v>
      </c>
      <c r="T731" s="89">
        <v>0.44361731421877337</v>
      </c>
      <c r="U731" s="91">
        <v>40.443039074772855</v>
      </c>
      <c r="V731" s="49">
        <v>770</v>
      </c>
      <c r="W731" s="20">
        <v>8</v>
      </c>
      <c r="X731" s="20" t="str">
        <v>Cold</v>
      </c>
      <c r="Y731" s="20">
        <v>0</v>
      </c>
    </row>
    <row r="732" spans="1:25" ht="15" customHeight="1" x14ac:dyDescent="0.25">
      <c r="A732" s="3"/>
      <c r="B732" s="3"/>
      <c r="C732" s="3"/>
      <c r="D732" s="3"/>
      <c r="E732" s="3"/>
      <c r="F732" s="3"/>
      <c r="G732" s="3"/>
      <c r="H732" s="3"/>
      <c r="I732" s="3"/>
      <c r="J732" s="3"/>
      <c r="K732" s="20">
        <v>16144</v>
      </c>
      <c r="L732" s="20" t="str">
        <v>0-1 Cars</v>
      </c>
      <c r="M732" s="20" t="str">
        <v>41-50</v>
      </c>
      <c r="N732" s="20" t="str">
        <v>0-1 Miles</v>
      </c>
      <c r="O732" s="20">
        <v>1</v>
      </c>
      <c r="P732" s="20" t="str">
        <v>Graduate Degree</v>
      </c>
      <c r="Q732" s="20" t="str">
        <v>North America</v>
      </c>
      <c r="R732" s="20" t="str">
        <v>Married</v>
      </c>
      <c r="S732" s="20" t="str">
        <v>$70k-90k</v>
      </c>
      <c r="T732" s="89">
        <v>0.51958539812186588</v>
      </c>
      <c r="U732" s="91">
        <v>77.27643239695675</v>
      </c>
      <c r="V732" s="49">
        <v>258</v>
      </c>
      <c r="W732" s="20">
        <v>3</v>
      </c>
      <c r="X732" s="20" t="str">
        <v>Hot</v>
      </c>
      <c r="Y732" s="20">
        <v>1</v>
      </c>
    </row>
    <row r="733" spans="1:25" ht="15" customHeight="1" x14ac:dyDescent="0.25">
      <c r="A733" s="3"/>
      <c r="B733" s="3"/>
      <c r="C733" s="3"/>
      <c r="D733" s="3"/>
      <c r="E733" s="3"/>
      <c r="F733" s="3"/>
      <c r="G733" s="3"/>
      <c r="H733" s="3"/>
      <c r="I733" s="3"/>
      <c r="J733" s="3"/>
      <c r="K733" s="20">
        <v>27731</v>
      </c>
      <c r="L733" s="20" t="str">
        <v>2+ Cars</v>
      </c>
      <c r="M733" s="20" t="str">
        <v>25-30</v>
      </c>
      <c r="N733" s="20" t="str">
        <v>5-10 Miles</v>
      </c>
      <c r="O733" s="20">
        <v>0</v>
      </c>
      <c r="P733" s="20" t="str">
        <v>High School</v>
      </c>
      <c r="Q733" s="20" t="str">
        <v>North America</v>
      </c>
      <c r="R733" s="20" t="str">
        <v>Married</v>
      </c>
      <c r="S733" s="20" t="str">
        <v>$40k-60k</v>
      </c>
      <c r="T733" s="89">
        <v>0.42248750750397268</v>
      </c>
      <c r="U733" s="91">
        <v>30.198177791437342</v>
      </c>
      <c r="V733" s="49">
        <v>872</v>
      </c>
      <c r="W733" s="20">
        <v>9</v>
      </c>
      <c r="X733" s="20" t="str">
        <v>Cold</v>
      </c>
      <c r="Y733" s="20">
        <v>0</v>
      </c>
    </row>
    <row r="734" spans="1:25" ht="15" customHeight="1" x14ac:dyDescent="0.25">
      <c r="A734" s="3"/>
      <c r="B734" s="3"/>
      <c r="C734" s="3"/>
      <c r="D734" s="3"/>
      <c r="E734" s="3"/>
      <c r="F734" s="3"/>
      <c r="G734" s="3"/>
      <c r="H734" s="3"/>
      <c r="I734" s="3"/>
      <c r="J734" s="3"/>
      <c r="K734" s="20">
        <v>11886</v>
      </c>
      <c r="L734" s="20" t="str">
        <v>0-1 Cars</v>
      </c>
      <c r="M734" s="20" t="str">
        <v>41-50</v>
      </c>
      <c r="N734" s="20" t="str">
        <v>0-1 Miles</v>
      </c>
      <c r="O734" s="20">
        <v>3</v>
      </c>
      <c r="P734" s="20" t="str">
        <v>Bachelors</v>
      </c>
      <c r="Q734" s="20" t="str">
        <v>North America</v>
      </c>
      <c r="R734" s="20" t="str">
        <v>Married</v>
      </c>
      <c r="S734" s="20" t="str">
        <v>$40k-60k</v>
      </c>
      <c r="T734" s="89">
        <v>0.5199826296688892</v>
      </c>
      <c r="U734" s="91">
        <v>77.469031513055995</v>
      </c>
      <c r="V734" s="49">
        <v>255</v>
      </c>
      <c r="W734" s="20">
        <v>3</v>
      </c>
      <c r="X734" s="20" t="str">
        <v>Hot</v>
      </c>
      <c r="Y734" s="20">
        <v>1</v>
      </c>
    </row>
    <row r="735" spans="1:25" ht="15" customHeight="1" x14ac:dyDescent="0.25">
      <c r="A735" s="3"/>
      <c r="B735" s="3"/>
      <c r="C735" s="3"/>
      <c r="D735" s="3"/>
      <c r="E735" s="3"/>
      <c r="F735" s="3"/>
      <c r="G735" s="3"/>
      <c r="H735" s="3"/>
      <c r="I735" s="3"/>
      <c r="J735" s="3"/>
      <c r="K735" s="20">
        <v>24324</v>
      </c>
      <c r="L735" s="20" t="str">
        <v>2+ Cars</v>
      </c>
      <c r="M735" s="20" t="str">
        <v>41-50</v>
      </c>
      <c r="N735" s="20" t="str">
        <v>2-5 Miles</v>
      </c>
      <c r="O735" s="20">
        <v>4</v>
      </c>
      <c r="P735" s="20" t="str">
        <v>Bachelors</v>
      </c>
      <c r="Q735" s="20" t="str">
        <v>North America</v>
      </c>
      <c r="R735" s="20" t="str">
        <v>Single</v>
      </c>
      <c r="S735" s="20" t="str">
        <v>$40k-60k</v>
      </c>
      <c r="T735" s="89">
        <v>0.48055711510746901</v>
      </c>
      <c r="U735" s="91">
        <v>58.353431774845902</v>
      </c>
      <c r="V735" s="49">
        <v>509</v>
      </c>
      <c r="W735" s="20">
        <v>6</v>
      </c>
      <c r="X735" s="20" t="str">
        <v>Warm</v>
      </c>
      <c r="Y735" s="20">
        <v>1</v>
      </c>
    </row>
    <row r="736" spans="1:25" ht="15" customHeight="1" x14ac:dyDescent="0.25">
      <c r="A736" s="3"/>
      <c r="B736" s="3"/>
      <c r="C736" s="3"/>
      <c r="D736" s="3"/>
      <c r="E736" s="3"/>
      <c r="F736" s="3"/>
      <c r="G736" s="3"/>
      <c r="H736" s="3"/>
      <c r="I736" s="3"/>
      <c r="J736" s="3"/>
      <c r="K736" s="20">
        <v>22220</v>
      </c>
      <c r="L736" s="20" t="str">
        <v>2+ Cars</v>
      </c>
      <c r="M736" s="20" t="str">
        <v>41-50</v>
      </c>
      <c r="N736" s="20" t="str">
        <v>1-2 Miles</v>
      </c>
      <c r="O736" s="20">
        <v>2</v>
      </c>
      <c r="P736" s="20" t="str">
        <v>High School</v>
      </c>
      <c r="Q736" s="20" t="str">
        <v>North America</v>
      </c>
      <c r="R736" s="20" t="str">
        <v>Married</v>
      </c>
      <c r="S736" s="20" t="str">
        <v>$40k-60k</v>
      </c>
      <c r="T736" s="89">
        <v>0.44323818048952945</v>
      </c>
      <c r="U736" s="91">
        <v>40.259214749431685</v>
      </c>
      <c r="V736" s="49">
        <v>772</v>
      </c>
      <c r="W736" s="20">
        <v>8</v>
      </c>
      <c r="X736" s="20" t="str">
        <v>Cold</v>
      </c>
      <c r="Y736" s="20">
        <v>1</v>
      </c>
    </row>
    <row r="737" spans="1:25" ht="15" customHeight="1" x14ac:dyDescent="0.25">
      <c r="A737" s="3"/>
      <c r="B737" s="3"/>
      <c r="C737" s="3"/>
      <c r="D737" s="3"/>
      <c r="E737" s="3"/>
      <c r="F737" s="3"/>
      <c r="G737" s="3"/>
      <c r="H737" s="3"/>
      <c r="I737" s="3"/>
      <c r="J737" s="3"/>
      <c r="K737" s="20">
        <v>26625</v>
      </c>
      <c r="L737" s="20" t="str">
        <v>0-1 Cars</v>
      </c>
      <c r="M737" s="20" t="str">
        <v>31-40</v>
      </c>
      <c r="N737" s="20" t="str">
        <v>2-5 Miles</v>
      </c>
      <c r="O737" s="20">
        <v>0</v>
      </c>
      <c r="P737" s="20" t="str">
        <v>Graduate Degree</v>
      </c>
      <c r="Q737" s="20" t="str">
        <v>North America</v>
      </c>
      <c r="R737" s="20" t="str">
        <v>Single</v>
      </c>
      <c r="S737" s="20" t="str">
        <v>$40k-60k</v>
      </c>
      <c r="T737" s="89">
        <v>0.5514839227609637</v>
      </c>
      <c r="U737" s="91">
        <v>92.742544533311872</v>
      </c>
      <c r="V737" s="49">
        <v>31</v>
      </c>
      <c r="W737" s="20">
        <v>1</v>
      </c>
      <c r="X737" s="20" t="str">
        <v>Hot</v>
      </c>
      <c r="Y737" s="20">
        <v>1</v>
      </c>
    </row>
    <row r="738" spans="1:25" ht="15" customHeight="1" x14ac:dyDescent="0.25">
      <c r="A738" s="3"/>
      <c r="B738" s="3"/>
      <c r="C738" s="3"/>
      <c r="D738" s="3"/>
      <c r="E738" s="3"/>
      <c r="F738" s="3"/>
      <c r="G738" s="3"/>
      <c r="H738" s="3"/>
      <c r="I738" s="3"/>
      <c r="J738" s="3"/>
      <c r="K738" s="20">
        <v>23027</v>
      </c>
      <c r="L738" s="20" t="str">
        <v>2+ Cars</v>
      </c>
      <c r="M738" s="20" t="str">
        <v>41-50</v>
      </c>
      <c r="N738" s="20" t="str">
        <v>0-1 Miles</v>
      </c>
      <c r="O738" s="20">
        <v>1</v>
      </c>
      <c r="P738" s="20" t="str">
        <v>Bachelors</v>
      </c>
      <c r="Q738" s="20" t="str">
        <v>North America</v>
      </c>
      <c r="R738" s="20" t="str">
        <v>Single</v>
      </c>
      <c r="S738" s="20" t="str">
        <v>$100k+</v>
      </c>
      <c r="T738" s="89">
        <v>0.49118725394916235</v>
      </c>
      <c r="U738" s="91">
        <v>63.5074920710748</v>
      </c>
      <c r="V738" s="49">
        <v>449</v>
      </c>
      <c r="W738" s="20">
        <v>5</v>
      </c>
      <c r="X738" s="20" t="str">
        <v>Warm</v>
      </c>
      <c r="Y738" s="20">
        <v>0</v>
      </c>
    </row>
    <row r="739" spans="1:25" ht="15" customHeight="1" x14ac:dyDescent="0.25">
      <c r="A739" s="3"/>
      <c r="B739" s="3"/>
      <c r="C739" s="3"/>
      <c r="D739" s="3"/>
      <c r="E739" s="3"/>
      <c r="F739" s="3"/>
      <c r="G739" s="3"/>
      <c r="H739" s="3"/>
      <c r="I739" s="3"/>
      <c r="J739" s="3"/>
      <c r="K739" s="20">
        <v>16867</v>
      </c>
      <c r="L739" s="20" t="str">
        <v>2+ Cars</v>
      </c>
      <c r="M739" s="20" t="str">
        <v>41-50</v>
      </c>
      <c r="N739" s="20" t="str">
        <v>0-1 Miles</v>
      </c>
      <c r="O739" s="20">
        <v>1</v>
      </c>
      <c r="P739" s="20" t="str">
        <v>Bachelors</v>
      </c>
      <c r="Q739" s="20" t="str">
        <v>North America</v>
      </c>
      <c r="R739" s="20" t="str">
        <v>Single</v>
      </c>
      <c r="S739" s="20" t="str">
        <v>$100k+</v>
      </c>
      <c r="T739" s="89">
        <v>0.49118725394916235</v>
      </c>
      <c r="U739" s="91">
        <v>63.5074920710748</v>
      </c>
      <c r="V739" s="49">
        <v>448</v>
      </c>
      <c r="W739" s="20">
        <v>5</v>
      </c>
      <c r="X739" s="20" t="str">
        <v>Warm</v>
      </c>
      <c r="Y739" s="20">
        <v>1</v>
      </c>
    </row>
    <row r="740" spans="1:25" ht="15" customHeight="1" x14ac:dyDescent="0.25">
      <c r="A740" s="3"/>
      <c r="B740" s="3"/>
      <c r="C740" s="3"/>
      <c r="D740" s="3"/>
      <c r="E740" s="3"/>
      <c r="F740" s="3"/>
      <c r="G740" s="3"/>
      <c r="H740" s="3"/>
      <c r="I740" s="3"/>
      <c r="J740" s="3"/>
      <c r="K740" s="20">
        <v>14514</v>
      </c>
      <c r="L740" s="20" t="str">
        <v>0-1 Cars</v>
      </c>
      <c r="M740" s="20" t="str">
        <v>25-30</v>
      </c>
      <c r="N740" s="20" t="str">
        <v>5-10 Miles</v>
      </c>
      <c r="O740" s="20">
        <v>0</v>
      </c>
      <c r="P740" s="20" t="str">
        <v>Partial College</v>
      </c>
      <c r="Q740" s="20" t="str">
        <v>North America</v>
      </c>
      <c r="R740" s="20" t="str">
        <v>Single</v>
      </c>
      <c r="S740" s="20" t="str">
        <v>$10k-30k</v>
      </c>
      <c r="T740" s="89">
        <v>0.4610072931450338</v>
      </c>
      <c r="U740" s="91">
        <v>48.874631669269831</v>
      </c>
      <c r="V740" s="49">
        <v>642</v>
      </c>
      <c r="W740" s="20">
        <v>7</v>
      </c>
      <c r="X740" s="20" t="str">
        <v>Cold</v>
      </c>
      <c r="Y740" s="20">
        <v>0</v>
      </c>
    </row>
    <row r="741" spans="1:25" ht="15" customHeight="1" x14ac:dyDescent="0.25">
      <c r="A741" s="3"/>
      <c r="B741" s="3"/>
      <c r="C741" s="3"/>
      <c r="D741" s="3"/>
      <c r="E741" s="3"/>
      <c r="F741" s="3"/>
      <c r="G741" s="3"/>
      <c r="H741" s="3"/>
      <c r="I741" s="3"/>
      <c r="J741" s="3"/>
      <c r="K741" s="20">
        <v>19634</v>
      </c>
      <c r="L741" s="20" t="str">
        <v>0-1 Cars</v>
      </c>
      <c r="M741" s="20" t="str">
        <v>31-40</v>
      </c>
      <c r="N741" s="20" t="str">
        <v>5-10 Miles</v>
      </c>
      <c r="O741" s="20">
        <v>0</v>
      </c>
      <c r="P741" s="20" t="str">
        <v>High School</v>
      </c>
      <c r="Q741" s="20" t="str">
        <v>North America</v>
      </c>
      <c r="R741" s="20" t="str">
        <v>Married</v>
      </c>
      <c r="S741" s="20" t="str">
        <v>$40k-60k</v>
      </c>
      <c r="T741" s="89">
        <v>0.50208818489600027</v>
      </c>
      <c r="U741" s="91">
        <v>68.792846874218682</v>
      </c>
      <c r="V741" s="49">
        <v>355</v>
      </c>
      <c r="W741" s="20">
        <v>4</v>
      </c>
      <c r="X741" s="20" t="str">
        <v>Warm</v>
      </c>
      <c r="Y741" s="20">
        <v>0</v>
      </c>
    </row>
    <row r="742" spans="1:25" ht="15" customHeight="1" x14ac:dyDescent="0.25">
      <c r="A742" s="3"/>
      <c r="B742" s="3"/>
      <c r="C742" s="3"/>
      <c r="D742" s="3"/>
      <c r="E742" s="3"/>
      <c r="F742" s="3"/>
      <c r="G742" s="3"/>
      <c r="H742" s="3"/>
      <c r="I742" s="3"/>
      <c r="J742" s="3"/>
      <c r="K742" s="20">
        <v>18504</v>
      </c>
      <c r="L742" s="20" t="str">
        <v>2+ Cars</v>
      </c>
      <c r="M742" s="20" t="str">
        <v>41-50</v>
      </c>
      <c r="N742" s="20" t="str">
        <v>1-2 Miles</v>
      </c>
      <c r="O742" s="20">
        <v>2</v>
      </c>
      <c r="P742" s="20" t="str">
        <v>Partial High School</v>
      </c>
      <c r="Q742" s="20" t="str">
        <v>North America</v>
      </c>
      <c r="R742" s="20" t="str">
        <v>Married</v>
      </c>
      <c r="S742" s="20" t="str">
        <v>$70k-90k</v>
      </c>
      <c r="T742" s="89">
        <v>0.41824962663467763</v>
      </c>
      <c r="U742" s="91">
        <v>28.14342631040191</v>
      </c>
      <c r="V742" s="49">
        <v>903</v>
      </c>
      <c r="W742" s="20">
        <v>10</v>
      </c>
      <c r="X742" s="20" t="str">
        <v>Cold</v>
      </c>
      <c r="Y742" s="20">
        <v>0</v>
      </c>
    </row>
    <row r="743" spans="1:25" ht="15" customHeight="1" x14ac:dyDescent="0.25">
      <c r="A743" s="3"/>
      <c r="B743" s="3"/>
      <c r="C743" s="3"/>
      <c r="D743" s="3"/>
      <c r="E743" s="3"/>
      <c r="F743" s="3"/>
      <c r="G743" s="3"/>
      <c r="H743" s="3"/>
      <c r="I743" s="3"/>
      <c r="J743" s="3"/>
      <c r="K743" s="20">
        <v>28799</v>
      </c>
      <c r="L743" s="20" t="str">
        <v>0-1 Cars</v>
      </c>
      <c r="M743" s="20" t="str">
        <v>41-50</v>
      </c>
      <c r="N743" s="20" t="str">
        <v>1-2 Miles</v>
      </c>
      <c r="O743" s="20">
        <v>2</v>
      </c>
      <c r="P743" s="20" t="str">
        <v>Partial College</v>
      </c>
      <c r="Q743" s="20" t="str">
        <v>North America</v>
      </c>
      <c r="R743" s="20" t="str">
        <v>Single</v>
      </c>
      <c r="S743" s="20" t="str">
        <v>$40k-60k</v>
      </c>
      <c r="T743" s="89">
        <v>0.49258334896984296</v>
      </c>
      <c r="U743" s="91">
        <v>64.184393664084155</v>
      </c>
      <c r="V743" s="49">
        <v>438</v>
      </c>
      <c r="W743" s="20">
        <v>5</v>
      </c>
      <c r="X743" s="20" t="str">
        <v>Warm</v>
      </c>
      <c r="Y743" s="20">
        <v>1</v>
      </c>
    </row>
    <row r="744" spans="1:25" ht="15" customHeight="1" x14ac:dyDescent="0.25">
      <c r="A744" s="3"/>
      <c r="B744" s="3"/>
      <c r="C744" s="3"/>
      <c r="D744" s="3"/>
      <c r="E744" s="3"/>
      <c r="F744" s="3"/>
      <c r="G744" s="3"/>
      <c r="H744" s="3"/>
      <c r="I744" s="3"/>
      <c r="J744" s="3"/>
      <c r="K744" s="20">
        <v>11225</v>
      </c>
      <c r="L744" s="20" t="str">
        <v>0-1 Cars</v>
      </c>
      <c r="M744" s="20" t="str">
        <v>51-60</v>
      </c>
      <c r="N744" s="20" t="str">
        <v>10+ Miles</v>
      </c>
      <c r="O744" s="20">
        <v>2</v>
      </c>
      <c r="P744" s="20" t="str">
        <v>Partial College</v>
      </c>
      <c r="Q744" s="20" t="str">
        <v>North America</v>
      </c>
      <c r="R744" s="20" t="str">
        <v>Married</v>
      </c>
      <c r="S744" s="20" t="str">
        <v>$40k-60k</v>
      </c>
      <c r="T744" s="89">
        <v>0.45816602755683006</v>
      </c>
      <c r="U744" s="91">
        <v>47.497034031338167</v>
      </c>
      <c r="V744" s="49">
        <v>657</v>
      </c>
      <c r="W744" s="20">
        <v>7</v>
      </c>
      <c r="X744" s="20" t="str">
        <v>Cold</v>
      </c>
      <c r="Y744" s="20">
        <v>0</v>
      </c>
    </row>
    <row r="745" spans="1:25" ht="15" customHeight="1" x14ac:dyDescent="0.25">
      <c r="A745" s="3"/>
      <c r="B745" s="3"/>
      <c r="C745" s="3"/>
      <c r="D745" s="3"/>
      <c r="E745" s="3"/>
      <c r="F745" s="3"/>
      <c r="G745" s="3"/>
      <c r="H745" s="3"/>
      <c r="I745" s="3"/>
      <c r="J745" s="3"/>
      <c r="K745" s="20">
        <v>17657</v>
      </c>
      <c r="L745" s="20" t="str">
        <v>0-1 Cars</v>
      </c>
      <c r="M745" s="20" t="str">
        <v>25-30</v>
      </c>
      <c r="N745" s="20" t="str">
        <v>0-1 Miles</v>
      </c>
      <c r="O745" s="20">
        <v>4</v>
      </c>
      <c r="P745" s="20" t="str">
        <v>Partial College</v>
      </c>
      <c r="Q745" s="20" t="str">
        <v>North America</v>
      </c>
      <c r="R745" s="20" t="str">
        <v>Married</v>
      </c>
      <c r="S745" s="20" t="str">
        <v>$40k-60k</v>
      </c>
      <c r="T745" s="89">
        <v>0.47320978115649664</v>
      </c>
      <c r="U745" s="91">
        <v>54.79105100411563</v>
      </c>
      <c r="V745" s="49">
        <v>552</v>
      </c>
      <c r="W745" s="20">
        <v>6</v>
      </c>
      <c r="X745" s="20" t="str">
        <v>Warm</v>
      </c>
      <c r="Y745" s="20">
        <v>0</v>
      </c>
    </row>
    <row r="746" spans="1:25" ht="15" customHeight="1" x14ac:dyDescent="0.25">
      <c r="A746" s="3"/>
      <c r="B746" s="3"/>
      <c r="C746" s="3"/>
      <c r="D746" s="3"/>
      <c r="E746" s="3"/>
      <c r="F746" s="3"/>
      <c r="G746" s="3"/>
      <c r="H746" s="3"/>
      <c r="I746" s="3"/>
      <c r="J746" s="3"/>
      <c r="K746" s="20">
        <v>14913</v>
      </c>
      <c r="L746" s="20" t="str">
        <v>0-1 Cars</v>
      </c>
      <c r="M746" s="20" t="str">
        <v>41-50</v>
      </c>
      <c r="N746" s="20" t="str">
        <v>1-2 Miles</v>
      </c>
      <c r="O746" s="20">
        <v>1</v>
      </c>
      <c r="P746" s="20" t="str">
        <v>Partial College</v>
      </c>
      <c r="Q746" s="20" t="str">
        <v>North America</v>
      </c>
      <c r="R746" s="20" t="str">
        <v>Married</v>
      </c>
      <c r="S746" s="20" t="str">
        <v>$40k-60k</v>
      </c>
      <c r="T746" s="89">
        <v>0.49817835832857021</v>
      </c>
      <c r="U746" s="91">
        <v>66.897153678068278</v>
      </c>
      <c r="V746" s="49">
        <v>393</v>
      </c>
      <c r="W746" s="20">
        <v>4</v>
      </c>
      <c r="X746" s="20" t="str">
        <v>Warm</v>
      </c>
      <c r="Y746" s="20">
        <v>1</v>
      </c>
    </row>
    <row r="747" spans="1:25" ht="15" customHeight="1" x14ac:dyDescent="0.25">
      <c r="A747" s="3"/>
      <c r="B747" s="3"/>
      <c r="C747" s="3"/>
      <c r="D747" s="3"/>
      <c r="E747" s="3"/>
      <c r="F747" s="3"/>
      <c r="G747" s="3"/>
      <c r="H747" s="3"/>
      <c r="I747" s="3"/>
      <c r="J747" s="3"/>
      <c r="K747" s="20">
        <v>14077</v>
      </c>
      <c r="L747" s="20" t="str">
        <v>2+ Cars</v>
      </c>
      <c r="M747" s="20" t="str">
        <v>25-30</v>
      </c>
      <c r="N747" s="20" t="str">
        <v>5-10 Miles</v>
      </c>
      <c r="O747" s="20">
        <v>0</v>
      </c>
      <c r="P747" s="20" t="str">
        <v>High School</v>
      </c>
      <c r="Q747" s="20" t="str">
        <v>North America</v>
      </c>
      <c r="R747" s="20" t="str">
        <v>Single</v>
      </c>
      <c r="S747" s="20" t="str">
        <v>$10k-30k</v>
      </c>
      <c r="T747" s="89">
        <v>0.42134016737254532</v>
      </c>
      <c r="U747" s="91">
        <v>29.64188588352113</v>
      </c>
      <c r="V747" s="49">
        <v>881</v>
      </c>
      <c r="W747" s="20">
        <v>9</v>
      </c>
      <c r="X747" s="20" t="str">
        <v>Cold</v>
      </c>
      <c r="Y747" s="20">
        <v>0</v>
      </c>
    </row>
    <row r="748" spans="1:25" ht="15" customHeight="1" x14ac:dyDescent="0.25">
      <c r="A748" s="3"/>
      <c r="B748" s="3"/>
      <c r="C748" s="3"/>
      <c r="D748" s="3"/>
      <c r="E748" s="3"/>
      <c r="F748" s="3"/>
      <c r="G748" s="3"/>
      <c r="H748" s="3"/>
      <c r="I748" s="3"/>
      <c r="J748" s="3"/>
      <c r="K748" s="20">
        <v>13296</v>
      </c>
      <c r="L748" s="20" t="str">
        <v>2+ Cars</v>
      </c>
      <c r="M748" s="20" t="str">
        <v>41-50</v>
      </c>
      <c r="N748" s="20" t="str">
        <v>5-10 Miles</v>
      </c>
      <c r="O748" s="20">
        <v>1</v>
      </c>
      <c r="P748" s="20" t="str">
        <v>Bachelors</v>
      </c>
      <c r="Q748" s="20" t="str">
        <v>North America</v>
      </c>
      <c r="R748" s="20" t="str">
        <v>Married</v>
      </c>
      <c r="S748" s="20" t="str">
        <v>$100k+</v>
      </c>
      <c r="T748" s="89">
        <v>0.45978073956525889</v>
      </c>
      <c r="U748" s="91">
        <v>48.279932841638306</v>
      </c>
      <c r="V748" s="49">
        <v>651</v>
      </c>
      <c r="W748" s="20">
        <v>7</v>
      </c>
      <c r="X748" s="20" t="str">
        <v>Cold</v>
      </c>
      <c r="Y748" s="20">
        <v>0</v>
      </c>
    </row>
    <row r="749" spans="1:25" ht="15" customHeight="1" x14ac:dyDescent="0.25">
      <c r="A749" s="3"/>
      <c r="B749" s="3"/>
      <c r="C749" s="3"/>
      <c r="D749" s="3"/>
      <c r="E749" s="3"/>
      <c r="F749" s="3"/>
      <c r="G749" s="3"/>
      <c r="H749" s="3"/>
      <c r="I749" s="3"/>
      <c r="J749" s="3"/>
      <c r="K749" s="20">
        <v>20535</v>
      </c>
      <c r="L749" s="20" t="str">
        <v>0-1 Cars</v>
      </c>
      <c r="M749" s="20" t="str">
        <v>51-60</v>
      </c>
      <c r="N749" s="20" t="str">
        <v>10+ Miles</v>
      </c>
      <c r="O749" s="20">
        <v>4</v>
      </c>
      <c r="P749" s="20" t="str">
        <v>Partial College</v>
      </c>
      <c r="Q749" s="20" t="str">
        <v>North America</v>
      </c>
      <c r="R749" s="20" t="str">
        <v>Married</v>
      </c>
      <c r="S749" s="20" t="str">
        <v>$70k-90k</v>
      </c>
      <c r="T749" s="89">
        <v>0.45025908388764185</v>
      </c>
      <c r="U749" s="91">
        <v>43.663324515706883</v>
      </c>
      <c r="V749" s="49">
        <v>725</v>
      </c>
      <c r="W749" s="20">
        <v>8</v>
      </c>
      <c r="X749" s="20" t="str">
        <v>Cold</v>
      </c>
      <c r="Y749" s="20">
        <v>0</v>
      </c>
    </row>
    <row r="750" spans="1:25" ht="15" customHeight="1" x14ac:dyDescent="0.25">
      <c r="A750" s="3"/>
      <c r="B750" s="3"/>
      <c r="C750" s="3"/>
      <c r="D750" s="3"/>
      <c r="E750" s="3"/>
      <c r="F750" s="3"/>
      <c r="G750" s="3"/>
      <c r="H750" s="3"/>
      <c r="I750" s="3"/>
      <c r="J750" s="3"/>
      <c r="K750" s="20">
        <v>12452</v>
      </c>
      <c r="L750" s="20" t="str">
        <v>0-1 Cars</v>
      </c>
      <c r="M750" s="20" t="str">
        <v>41-50</v>
      </c>
      <c r="N750" s="20" t="str">
        <v>1-2 Miles</v>
      </c>
      <c r="O750" s="20">
        <v>4</v>
      </c>
      <c r="P750" s="20" t="str">
        <v>Graduate Degree</v>
      </c>
      <c r="Q750" s="20" t="str">
        <v>North America</v>
      </c>
      <c r="R750" s="20" t="str">
        <v>Married</v>
      </c>
      <c r="S750" s="20" t="str">
        <v>$40k-60k</v>
      </c>
      <c r="T750" s="89">
        <v>0.48923252126505584</v>
      </c>
      <c r="U750" s="91">
        <v>62.559733037356537</v>
      </c>
      <c r="V750" s="49">
        <v>456</v>
      </c>
      <c r="W750" s="20">
        <v>5</v>
      </c>
      <c r="X750" s="20" t="str">
        <v>Warm</v>
      </c>
      <c r="Y750" s="20">
        <v>1</v>
      </c>
    </row>
    <row r="751" spans="1:25" ht="15" customHeight="1" x14ac:dyDescent="0.25">
      <c r="A751" s="3"/>
      <c r="B751" s="3"/>
      <c r="C751" s="3"/>
      <c r="D751" s="3"/>
      <c r="E751" s="3"/>
      <c r="F751" s="3"/>
      <c r="G751" s="3"/>
      <c r="H751" s="3"/>
      <c r="I751" s="3"/>
      <c r="J751" s="3"/>
      <c r="K751" s="20">
        <v>28043</v>
      </c>
      <c r="L751" s="20" t="str">
        <v>0-1 Cars</v>
      </c>
      <c r="M751" s="20" t="str">
        <v>51-60</v>
      </c>
      <c r="N751" s="20" t="str">
        <v>10+ Miles</v>
      </c>
      <c r="O751" s="20">
        <v>2</v>
      </c>
      <c r="P751" s="20" t="str">
        <v>Bachelors</v>
      </c>
      <c r="Q751" s="20" t="str">
        <v>North America</v>
      </c>
      <c r="R751" s="20" t="str">
        <v>Married</v>
      </c>
      <c r="S751" s="20" t="str">
        <v>$40k-60k</v>
      </c>
      <c r="T751" s="89">
        <v>0.47092538576377141</v>
      </c>
      <c r="U751" s="91">
        <v>53.683453843827003</v>
      </c>
      <c r="V751" s="49">
        <v>571</v>
      </c>
      <c r="W751" s="20">
        <v>6</v>
      </c>
      <c r="X751" s="20" t="str">
        <v>Warm</v>
      </c>
      <c r="Y751" s="20">
        <v>0</v>
      </c>
    </row>
    <row r="752" spans="1:25" ht="15" customHeight="1" x14ac:dyDescent="0.25">
      <c r="A752" s="3"/>
      <c r="B752" s="3"/>
      <c r="C752" s="3"/>
      <c r="D752" s="3"/>
      <c r="E752" s="3"/>
      <c r="F752" s="3"/>
      <c r="G752" s="3"/>
      <c r="H752" s="3"/>
      <c r="I752" s="3"/>
      <c r="J752" s="3"/>
      <c r="K752" s="20">
        <v>12957</v>
      </c>
      <c r="L752" s="20" t="str">
        <v>0-1 Cars</v>
      </c>
      <c r="M752" s="20" t="str">
        <v>41-50</v>
      </c>
      <c r="N752" s="20" t="str">
        <v>0-1 Miles</v>
      </c>
      <c r="O752" s="20">
        <v>1</v>
      </c>
      <c r="P752" s="20" t="str">
        <v>Bachelors</v>
      </c>
      <c r="Q752" s="20" t="str">
        <v>North America</v>
      </c>
      <c r="R752" s="20" t="str">
        <v>Single</v>
      </c>
      <c r="S752" s="20" t="str">
        <v>$70k-90k</v>
      </c>
      <c r="T752" s="89">
        <v>0.5307537732250206</v>
      </c>
      <c r="U752" s="91">
        <v>82.691458442222554</v>
      </c>
      <c r="V752" s="49">
        <v>181</v>
      </c>
      <c r="W752" s="20">
        <v>2</v>
      </c>
      <c r="X752" s="20" t="str">
        <v>Hot</v>
      </c>
      <c r="Y752" s="20">
        <v>0</v>
      </c>
    </row>
    <row r="753" spans="1:25" ht="15" customHeight="1" x14ac:dyDescent="0.25">
      <c r="A753" s="3"/>
      <c r="B753" s="3"/>
      <c r="C753" s="3"/>
      <c r="D753" s="3"/>
      <c r="E753" s="3"/>
      <c r="F753" s="3"/>
      <c r="G753" s="3"/>
      <c r="H753" s="3"/>
      <c r="I753" s="3"/>
      <c r="J753" s="3"/>
      <c r="K753" s="20">
        <v>15412</v>
      </c>
      <c r="L753" s="20" t="str">
        <v>2+ Cars</v>
      </c>
      <c r="M753" s="20" t="str">
        <v>61+</v>
      </c>
      <c r="N753" s="20" t="str">
        <v>2-5 Miles</v>
      </c>
      <c r="O753" s="20">
        <v>2</v>
      </c>
      <c r="P753" s="20" t="str">
        <v>Graduate Degree</v>
      </c>
      <c r="Q753" s="20" t="str">
        <v>North America</v>
      </c>
      <c r="R753" s="20" t="str">
        <v>Married</v>
      </c>
      <c r="S753" s="20" t="str">
        <v>$100k+</v>
      </c>
      <c r="T753" s="89">
        <v>0.44395099749291173</v>
      </c>
      <c r="U753" s="91">
        <v>40.604826586710772</v>
      </c>
      <c r="V753" s="49">
        <v>768</v>
      </c>
      <c r="W753" s="20">
        <v>8</v>
      </c>
      <c r="X753" s="20" t="str">
        <v>Cold</v>
      </c>
      <c r="Y753" s="20">
        <v>0</v>
      </c>
    </row>
    <row r="754" spans="1:25" ht="15" customHeight="1" x14ac:dyDescent="0.25">
      <c r="A754" s="3"/>
      <c r="B754" s="3"/>
      <c r="C754" s="3"/>
      <c r="D754" s="3"/>
      <c r="E754" s="3"/>
      <c r="F754" s="3"/>
      <c r="G754" s="3"/>
      <c r="H754" s="3"/>
      <c r="I754" s="3"/>
      <c r="J754" s="3"/>
      <c r="K754" s="20">
        <v>20514</v>
      </c>
      <c r="L754" s="20" t="str">
        <v>0-1 Cars</v>
      </c>
      <c r="M754" s="20" t="str">
        <v>51-60</v>
      </c>
      <c r="N754" s="20" t="str">
        <v>2-5 Miles</v>
      </c>
      <c r="O754" s="20">
        <v>2</v>
      </c>
      <c r="P754" s="20" t="str">
        <v>Partial College</v>
      </c>
      <c r="Q754" s="20" t="str">
        <v>North America</v>
      </c>
      <c r="R754" s="20" t="str">
        <v>Married</v>
      </c>
      <c r="S754" s="20" t="str">
        <v>$70k-90k</v>
      </c>
      <c r="T754" s="89">
        <v>0.49691121138557187</v>
      </c>
      <c r="U754" s="91">
        <v>66.282773015157275</v>
      </c>
      <c r="V754" s="49">
        <v>399</v>
      </c>
      <c r="W754" s="20">
        <v>4</v>
      </c>
      <c r="X754" s="20" t="str">
        <v>Warm</v>
      </c>
      <c r="Y754" s="20">
        <v>0</v>
      </c>
    </row>
    <row r="755" spans="1:25" ht="15" customHeight="1" x14ac:dyDescent="0.25">
      <c r="A755" s="3"/>
      <c r="B755" s="3"/>
      <c r="C755" s="3"/>
      <c r="D755" s="3"/>
      <c r="E755" s="3"/>
      <c r="F755" s="3"/>
      <c r="G755" s="3"/>
      <c r="H755" s="3"/>
      <c r="I755" s="3"/>
      <c r="J755" s="3"/>
      <c r="K755" s="20">
        <v>20758</v>
      </c>
      <c r="L755" s="20" t="str">
        <v>2+ Cars</v>
      </c>
      <c r="M755" s="20" t="str">
        <v>41-50</v>
      </c>
      <c r="N755" s="20" t="str">
        <v>1-2 Miles</v>
      </c>
      <c r="O755" s="20">
        <v>2</v>
      </c>
      <c r="P755" s="20" t="str">
        <v>High School</v>
      </c>
      <c r="Q755" s="20" t="str">
        <v>North America</v>
      </c>
      <c r="R755" s="20" t="str">
        <v>Married</v>
      </c>
      <c r="S755" s="20" t="str">
        <v>$10k-30k</v>
      </c>
      <c r="T755" s="89">
        <v>0.43241279765027696</v>
      </c>
      <c r="U755" s="91">
        <v>35.010489712611644</v>
      </c>
      <c r="V755" s="49">
        <v>822</v>
      </c>
      <c r="W755" s="20">
        <v>9</v>
      </c>
      <c r="X755" s="20" t="str">
        <v>Cold</v>
      </c>
      <c r="Y755" s="20">
        <v>0</v>
      </c>
    </row>
    <row r="756" spans="1:25" ht="15" customHeight="1" x14ac:dyDescent="0.25">
      <c r="A756" s="3"/>
      <c r="B756" s="3"/>
      <c r="C756" s="3"/>
      <c r="D756" s="3"/>
      <c r="E756" s="3"/>
      <c r="F756" s="3"/>
      <c r="G756" s="3"/>
      <c r="H756" s="3"/>
      <c r="I756" s="3"/>
      <c r="J756" s="3"/>
      <c r="K756" s="20">
        <v>11801</v>
      </c>
      <c r="L756" s="20" t="str">
        <v>0-1 Cars</v>
      </c>
      <c r="M756" s="20" t="str">
        <v>31-40</v>
      </c>
      <c r="N756" s="20" t="str">
        <v>2-5 Miles</v>
      </c>
      <c r="O756" s="20">
        <v>1</v>
      </c>
      <c r="P756" s="20" t="str">
        <v>Graduate Degree</v>
      </c>
      <c r="Q756" s="20" t="str">
        <v>North America</v>
      </c>
      <c r="R756" s="20" t="str">
        <v>Married</v>
      </c>
      <c r="S756" s="20" t="str">
        <v>$40k-60k</v>
      </c>
      <c r="T756" s="89">
        <v>0.55134741913222174</v>
      </c>
      <c r="U756" s="91">
        <v>92.676360267643531</v>
      </c>
      <c r="V756" s="49">
        <v>34</v>
      </c>
      <c r="W756" s="20">
        <v>1</v>
      </c>
      <c r="X756" s="20" t="str">
        <v>Hot</v>
      </c>
      <c r="Y756" s="20">
        <v>0</v>
      </c>
    </row>
    <row r="757" spans="1:25" ht="15" customHeight="1" x14ac:dyDescent="0.25">
      <c r="A757" s="3"/>
      <c r="B757" s="3"/>
      <c r="C757" s="3"/>
      <c r="D757" s="3"/>
      <c r="E757" s="3"/>
      <c r="F757" s="3"/>
      <c r="G757" s="3"/>
      <c r="H757" s="3"/>
      <c r="I757" s="3"/>
      <c r="J757" s="3"/>
      <c r="K757" s="20">
        <v>22211</v>
      </c>
      <c r="L757" s="20" t="str">
        <v>2+ Cars</v>
      </c>
      <c r="M757" s="20" t="str">
        <v>31-40</v>
      </c>
      <c r="N757" s="20" t="str">
        <v>5-10 Miles</v>
      </c>
      <c r="O757" s="20">
        <v>0</v>
      </c>
      <c r="P757" s="20" t="str">
        <v>Partial College</v>
      </c>
      <c r="Q757" s="20" t="str">
        <v>North America</v>
      </c>
      <c r="R757" s="20" t="str">
        <v>Married</v>
      </c>
      <c r="S757" s="20" t="str">
        <v>$40k-60k</v>
      </c>
      <c r="T757" s="89">
        <v>0.46432841163106436</v>
      </c>
      <c r="U757" s="91">
        <v>50.484887676537106</v>
      </c>
      <c r="V757" s="49">
        <v>614</v>
      </c>
      <c r="W757" s="20">
        <v>7</v>
      </c>
      <c r="X757" s="20" t="str">
        <v>Cold</v>
      </c>
      <c r="Y757" s="20">
        <v>0</v>
      </c>
    </row>
    <row r="758" spans="1:25" ht="15" customHeight="1" x14ac:dyDescent="0.25">
      <c r="A758" s="3"/>
      <c r="B758" s="3"/>
      <c r="C758" s="3"/>
      <c r="D758" s="3"/>
      <c r="E758" s="3"/>
      <c r="F758" s="3"/>
      <c r="G758" s="3"/>
      <c r="H758" s="3"/>
      <c r="I758" s="3"/>
      <c r="J758" s="3"/>
      <c r="K758" s="20">
        <v>28087</v>
      </c>
      <c r="L758" s="20" t="str">
        <v>0-1 Cars</v>
      </c>
      <c r="M758" s="20" t="str">
        <v>25-30</v>
      </c>
      <c r="N758" s="20" t="str">
        <v>1-2 Miles</v>
      </c>
      <c r="O758" s="20">
        <v>0</v>
      </c>
      <c r="P758" s="20" t="str">
        <v>Partial College</v>
      </c>
      <c r="Q758" s="20" t="str">
        <v>North America</v>
      </c>
      <c r="R758" s="20" t="str">
        <v>Single</v>
      </c>
      <c r="S758" s="20" t="str">
        <v>$40k-60k</v>
      </c>
      <c r="T758" s="89">
        <v>0.48045800081806606</v>
      </c>
      <c r="U758" s="91">
        <v>58.305375862180199</v>
      </c>
      <c r="V758" s="49">
        <v>510</v>
      </c>
      <c r="W758" s="20">
        <v>6</v>
      </c>
      <c r="X758" s="20" t="str">
        <v>Warm</v>
      </c>
      <c r="Y758" s="20">
        <v>0</v>
      </c>
    </row>
    <row r="759" spans="1:25" ht="15" customHeight="1" x14ac:dyDescent="0.25">
      <c r="A759" s="3"/>
      <c r="B759" s="3"/>
      <c r="C759" s="3"/>
      <c r="D759" s="3"/>
      <c r="E759" s="3"/>
      <c r="F759" s="3"/>
      <c r="G759" s="3"/>
      <c r="H759" s="3"/>
      <c r="I759" s="3"/>
      <c r="J759" s="3"/>
      <c r="K759" s="20">
        <v>23668</v>
      </c>
      <c r="L759" s="20" t="str">
        <v>2+ Cars</v>
      </c>
      <c r="M759" s="20" t="str">
        <v>51-60</v>
      </c>
      <c r="N759" s="20" t="str">
        <v>5-10 Miles</v>
      </c>
      <c r="O759" s="20">
        <v>4</v>
      </c>
      <c r="P759" s="20" t="str">
        <v>High School</v>
      </c>
      <c r="Q759" s="20" t="str">
        <v>North America</v>
      </c>
      <c r="R759" s="20" t="str">
        <v>Married</v>
      </c>
      <c r="S759" s="20" t="str">
        <v>$40k-60k</v>
      </c>
      <c r="T759" s="89">
        <v>0.42777241457337389</v>
      </c>
      <c r="U759" s="91">
        <v>32.760583617109624</v>
      </c>
      <c r="V759" s="49">
        <v>848</v>
      </c>
      <c r="W759" s="20">
        <v>9</v>
      </c>
      <c r="X759" s="20" t="str">
        <v>Cold</v>
      </c>
      <c r="Y759" s="20">
        <v>1</v>
      </c>
    </row>
    <row r="760" spans="1:25" ht="15" customHeight="1" x14ac:dyDescent="0.25">
      <c r="A760" s="3"/>
      <c r="B760" s="3"/>
      <c r="C760" s="3"/>
      <c r="D760" s="3"/>
      <c r="E760" s="3"/>
      <c r="F760" s="3"/>
      <c r="G760" s="3"/>
      <c r="H760" s="3"/>
      <c r="I760" s="3"/>
      <c r="J760" s="3"/>
      <c r="K760" s="20">
        <v>27441</v>
      </c>
      <c r="L760" s="20" t="str">
        <v>2+ Cars</v>
      </c>
      <c r="M760" s="20" t="str">
        <v>51-60</v>
      </c>
      <c r="N760" s="20" t="str">
        <v>2-5 Miles</v>
      </c>
      <c r="O760" s="20">
        <v>3</v>
      </c>
      <c r="P760" s="20" t="str">
        <v>High School</v>
      </c>
      <c r="Q760" s="20" t="str">
        <v>North America</v>
      </c>
      <c r="R760" s="20" t="str">
        <v>Married</v>
      </c>
      <c r="S760" s="20" t="str">
        <v>$40k-60k</v>
      </c>
      <c r="T760" s="89">
        <v>0.47142403683132938</v>
      </c>
      <c r="U760" s="91">
        <v>53.925226572033743</v>
      </c>
      <c r="V760" s="49">
        <v>567</v>
      </c>
      <c r="W760" s="20">
        <v>6</v>
      </c>
      <c r="X760" s="20" t="str">
        <v>Warm</v>
      </c>
      <c r="Y760" s="20">
        <v>0</v>
      </c>
    </row>
    <row r="761" spans="1:25" ht="15" customHeight="1" x14ac:dyDescent="0.25">
      <c r="A761" s="3"/>
      <c r="B761" s="3"/>
      <c r="C761" s="3"/>
      <c r="D761" s="3"/>
      <c r="E761" s="3"/>
      <c r="F761" s="3"/>
      <c r="G761" s="3"/>
      <c r="H761" s="3"/>
      <c r="I761" s="3"/>
      <c r="J761" s="3"/>
      <c r="K761" s="20">
        <v>27261</v>
      </c>
      <c r="L761" s="20" t="str">
        <v>0-1 Cars</v>
      </c>
      <c r="M761" s="20" t="str">
        <v>31-40</v>
      </c>
      <c r="N761" s="20" t="str">
        <v>0-1 Miles</v>
      </c>
      <c r="O761" s="20">
        <v>1</v>
      </c>
      <c r="P761" s="20" t="str">
        <v>Bachelors</v>
      </c>
      <c r="Q761" s="20" t="str">
        <v>North America</v>
      </c>
      <c r="R761" s="20" t="str">
        <v>Married</v>
      </c>
      <c r="S761" s="20" t="str">
        <v>$40k-60k</v>
      </c>
      <c r="T761" s="89">
        <v>0.5470712301118793</v>
      </c>
      <c r="U761" s="91">
        <v>90.603034944509176</v>
      </c>
      <c r="V761" s="49">
        <v>64</v>
      </c>
      <c r="W761" s="20">
        <v>1</v>
      </c>
      <c r="X761" s="20" t="str">
        <v>Hot</v>
      </c>
      <c r="Y761" s="20">
        <v>1</v>
      </c>
    </row>
    <row r="762" spans="1:25" ht="15" customHeight="1" x14ac:dyDescent="0.25">
      <c r="A762" s="3"/>
      <c r="B762" s="3"/>
      <c r="C762" s="3"/>
      <c r="D762" s="3"/>
      <c r="E762" s="3"/>
      <c r="F762" s="3"/>
      <c r="G762" s="3"/>
      <c r="H762" s="3"/>
      <c r="I762" s="3"/>
      <c r="J762" s="3"/>
      <c r="K762" s="20">
        <v>18649</v>
      </c>
      <c r="L762" s="20" t="str">
        <v>2+ Cars</v>
      </c>
      <c r="M762" s="20" t="str">
        <v>51-60</v>
      </c>
      <c r="N762" s="20" t="str">
        <v>1-2 Miles</v>
      </c>
      <c r="O762" s="20">
        <v>1</v>
      </c>
      <c r="P762" s="20" t="str">
        <v>High School</v>
      </c>
      <c r="Q762" s="20" t="str">
        <v>North America</v>
      </c>
      <c r="R762" s="20" t="str">
        <v>Single</v>
      </c>
      <c r="S762" s="20" t="str">
        <v>$10k-30k</v>
      </c>
      <c r="T762" s="89">
        <v>0.45546526215085237</v>
      </c>
      <c r="U762" s="91">
        <v>46.18755840212232</v>
      </c>
      <c r="V762" s="49">
        <v>689</v>
      </c>
      <c r="W762" s="20">
        <v>7</v>
      </c>
      <c r="X762" s="20" t="str">
        <v>Cold</v>
      </c>
      <c r="Y762" s="20">
        <v>1</v>
      </c>
    </row>
    <row r="763" spans="1:25" ht="15" customHeight="1" x14ac:dyDescent="0.25">
      <c r="A763" s="3"/>
      <c r="B763" s="3"/>
      <c r="C763" s="3"/>
      <c r="D763" s="3"/>
      <c r="E763" s="3"/>
      <c r="F763" s="3"/>
      <c r="G763" s="3"/>
      <c r="H763" s="3"/>
      <c r="I763" s="3"/>
      <c r="J763" s="3"/>
      <c r="K763" s="20">
        <v>21714</v>
      </c>
      <c r="L763" s="20" t="str">
        <v>0-1 Cars</v>
      </c>
      <c r="M763" s="20" t="str">
        <v>41-50</v>
      </c>
      <c r="N763" s="20" t="str">
        <v>0-1 Miles</v>
      </c>
      <c r="O763" s="20">
        <v>5</v>
      </c>
      <c r="P763" s="20" t="str">
        <v>Graduate Degree</v>
      </c>
      <c r="Q763" s="20" t="str">
        <v>North America</v>
      </c>
      <c r="R763" s="20" t="str">
        <v>Single</v>
      </c>
      <c r="S763" s="20" t="str">
        <v>$70k-90k</v>
      </c>
      <c r="T763" s="89">
        <v>0.48035862076034547</v>
      </c>
      <c r="U763" s="91">
        <v>58.257191090808668</v>
      </c>
      <c r="V763" s="49">
        <v>513</v>
      </c>
      <c r="W763" s="20">
        <v>6</v>
      </c>
      <c r="X763" s="20" t="str">
        <v>Warm</v>
      </c>
      <c r="Y763" s="20">
        <v>0</v>
      </c>
    </row>
    <row r="764" spans="1:25" ht="15" customHeight="1" x14ac:dyDescent="0.25">
      <c r="A764" s="3"/>
      <c r="B764" s="3"/>
      <c r="C764" s="3"/>
      <c r="D764" s="3"/>
      <c r="E764" s="3"/>
      <c r="F764" s="3"/>
      <c r="G764" s="3"/>
      <c r="H764" s="3"/>
      <c r="I764" s="3"/>
      <c r="J764" s="3"/>
      <c r="K764" s="20">
        <v>23217</v>
      </c>
      <c r="L764" s="20" t="str">
        <v>0-1 Cars</v>
      </c>
      <c r="M764" s="20" t="str">
        <v>41-50</v>
      </c>
      <c r="N764" s="20" t="str">
        <v>2-5 Miles</v>
      </c>
      <c r="O764" s="20">
        <v>3</v>
      </c>
      <c r="P764" s="20" t="str">
        <v>Graduate Degree</v>
      </c>
      <c r="Q764" s="20" t="str">
        <v>North America</v>
      </c>
      <c r="R764" s="20" t="str">
        <v>Single</v>
      </c>
      <c r="S764" s="20" t="str">
        <v>$40k-60k</v>
      </c>
      <c r="T764" s="89">
        <v>0.53393686139705665</v>
      </c>
      <c r="U764" s="91">
        <v>84.234789965094123</v>
      </c>
      <c r="V764" s="49">
        <v>161</v>
      </c>
      <c r="W764" s="20">
        <v>2</v>
      </c>
      <c r="X764" s="20" t="str">
        <v>Hot</v>
      </c>
      <c r="Y764" s="20">
        <v>1</v>
      </c>
    </row>
    <row r="765" spans="1:25" ht="15" customHeight="1" x14ac:dyDescent="0.25">
      <c r="A765" s="3"/>
      <c r="B765" s="3"/>
      <c r="C765" s="3"/>
      <c r="D765" s="3"/>
      <c r="E765" s="3"/>
      <c r="F765" s="3"/>
      <c r="G765" s="3"/>
      <c r="H765" s="3"/>
      <c r="I765" s="3"/>
      <c r="J765" s="3"/>
      <c r="K765" s="20">
        <v>23797</v>
      </c>
      <c r="L765" s="20" t="str">
        <v>2+ Cars</v>
      </c>
      <c r="M765" s="20" t="str">
        <v>41-50</v>
      </c>
      <c r="N765" s="20" t="str">
        <v>0-1 Miles</v>
      </c>
      <c r="O765" s="20">
        <v>3</v>
      </c>
      <c r="P765" s="20" t="str">
        <v>Partial High School</v>
      </c>
      <c r="Q765" s="20" t="str">
        <v>North America</v>
      </c>
      <c r="R765" s="20" t="str">
        <v>Single</v>
      </c>
      <c r="S765" s="20" t="str">
        <v>$10k-30k</v>
      </c>
      <c r="T765" s="89">
        <v>0.44438538456379478</v>
      </c>
      <c r="U765" s="91">
        <v>40.815440689553185</v>
      </c>
      <c r="V765" s="49">
        <v>762</v>
      </c>
      <c r="W765" s="20">
        <v>8</v>
      </c>
      <c r="X765" s="20" t="str">
        <v>Cold</v>
      </c>
      <c r="Y765" s="20">
        <v>0</v>
      </c>
    </row>
    <row r="766" spans="1:25" ht="15" customHeight="1" x14ac:dyDescent="0.25">
      <c r="A766" s="3"/>
      <c r="B766" s="3"/>
      <c r="C766" s="3"/>
      <c r="D766" s="3"/>
      <c r="E766" s="3"/>
      <c r="F766" s="3"/>
      <c r="G766" s="3"/>
      <c r="H766" s="3"/>
      <c r="I766" s="3"/>
      <c r="J766" s="3"/>
      <c r="K766" s="20">
        <v>13216</v>
      </c>
      <c r="L766" s="20" t="str">
        <v>2+ Cars</v>
      </c>
      <c r="M766" s="20" t="str">
        <v>51-60</v>
      </c>
      <c r="N766" s="20" t="str">
        <v>10+ Miles</v>
      </c>
      <c r="O766" s="20">
        <v>5</v>
      </c>
      <c r="P766" s="20" t="str">
        <v>Bachelors</v>
      </c>
      <c r="Q766" s="20" t="str">
        <v>North America</v>
      </c>
      <c r="R766" s="20" t="str">
        <v>Married</v>
      </c>
      <c r="S766" s="20" t="str">
        <v>$40k-60k</v>
      </c>
      <c r="T766" s="89">
        <v>0.398580168242266</v>
      </c>
      <c r="U766" s="91">
        <v>18.606620059947883</v>
      </c>
      <c r="V766" s="49">
        <v>972</v>
      </c>
      <c r="W766" s="20">
        <v>10</v>
      </c>
      <c r="X766" s="20" t="str">
        <v>Cold</v>
      </c>
      <c r="Y766" s="20">
        <v>0</v>
      </c>
    </row>
    <row r="767" spans="1:25" ht="15" customHeight="1" x14ac:dyDescent="0.25">
      <c r="A767" s="3"/>
      <c r="B767" s="3"/>
      <c r="C767" s="3"/>
      <c r="D767" s="3"/>
      <c r="E767" s="3"/>
      <c r="F767" s="3"/>
      <c r="G767" s="3"/>
      <c r="H767" s="3"/>
      <c r="I767" s="3"/>
      <c r="J767" s="3"/>
      <c r="K767" s="20">
        <v>20657</v>
      </c>
      <c r="L767" s="20" t="str">
        <v>0-1 Cars</v>
      </c>
      <c r="M767" s="20" t="str">
        <v>31-40</v>
      </c>
      <c r="N767" s="20" t="str">
        <v>2-5 Miles</v>
      </c>
      <c r="O767" s="20">
        <v>2</v>
      </c>
      <c r="P767" s="20" t="str">
        <v>Bachelors</v>
      </c>
      <c r="Q767" s="20" t="str">
        <v>North America</v>
      </c>
      <c r="R767" s="20" t="str">
        <v>Single</v>
      </c>
      <c r="S767" s="20" t="str">
        <v>$40k-60k</v>
      </c>
      <c r="T767" s="89">
        <v>0.54724274216882418</v>
      </c>
      <c r="U767" s="91">
        <v>90.68619317002144</v>
      </c>
      <c r="V767" s="49">
        <v>58</v>
      </c>
      <c r="W767" s="20">
        <v>1</v>
      </c>
      <c r="X767" s="20" t="str">
        <v>Hot</v>
      </c>
      <c r="Y767" s="20">
        <v>1</v>
      </c>
    </row>
    <row r="768" spans="1:25" ht="15" customHeight="1" x14ac:dyDescent="0.25">
      <c r="A768" s="3"/>
      <c r="B768" s="3"/>
      <c r="C768" s="3"/>
      <c r="D768" s="3"/>
      <c r="E768" s="3"/>
      <c r="F768" s="3"/>
      <c r="G768" s="3"/>
      <c r="H768" s="3"/>
      <c r="I768" s="3"/>
      <c r="J768" s="3"/>
      <c r="K768" s="20">
        <v>12882</v>
      </c>
      <c r="L768" s="20" t="str">
        <v>0-1 Cars</v>
      </c>
      <c r="M768" s="20" t="str">
        <v>31-40</v>
      </c>
      <c r="N768" s="20" t="str">
        <v>0-1 Miles</v>
      </c>
      <c r="O768" s="20">
        <v>1</v>
      </c>
      <c r="P768" s="20" t="str">
        <v>Graduate Degree</v>
      </c>
      <c r="Q768" s="20" t="str">
        <v>North America</v>
      </c>
      <c r="R768" s="20" t="str">
        <v>Married</v>
      </c>
      <c r="S768" s="20" t="str">
        <v>$40k-60k</v>
      </c>
      <c r="T768" s="89">
        <v>0.54558089771654972</v>
      </c>
      <c r="U768" s="91">
        <v>89.880442028147186</v>
      </c>
      <c r="V768" s="49">
        <v>69</v>
      </c>
      <c r="W768" s="20">
        <v>1</v>
      </c>
      <c r="X768" s="20" t="str">
        <v>Hot</v>
      </c>
      <c r="Y768" s="20">
        <v>1</v>
      </c>
    </row>
    <row r="769" spans="1:25" ht="15" customHeight="1" x14ac:dyDescent="0.25">
      <c r="A769" s="3"/>
      <c r="B769" s="3"/>
      <c r="C769" s="3"/>
      <c r="D769" s="3"/>
      <c r="E769" s="3"/>
      <c r="F769" s="3"/>
      <c r="G769" s="3"/>
      <c r="H769" s="3"/>
      <c r="I769" s="3"/>
      <c r="J769" s="3"/>
      <c r="K769" s="20">
        <v>25908</v>
      </c>
      <c r="L769" s="20" t="str">
        <v>0-1 Cars</v>
      </c>
      <c r="M769" s="20" t="str">
        <v>25-30</v>
      </c>
      <c r="N769" s="20" t="str">
        <v>1-2 Miles</v>
      </c>
      <c r="O769" s="20">
        <v>0</v>
      </c>
      <c r="P769" s="20" t="str">
        <v>Partial College</v>
      </c>
      <c r="Q769" s="20" t="str">
        <v>North America</v>
      </c>
      <c r="R769" s="20" t="str">
        <v>Married</v>
      </c>
      <c r="S769" s="20" t="str">
        <v>$40k-60k</v>
      </c>
      <c r="T769" s="89">
        <v>0.47077995811024093</v>
      </c>
      <c r="U769" s="91">
        <v>53.61294273327637</v>
      </c>
      <c r="V769" s="49">
        <v>575</v>
      </c>
      <c r="W769" s="20">
        <v>6</v>
      </c>
      <c r="X769" s="20" t="str">
        <v>Warm</v>
      </c>
      <c r="Y769" s="20">
        <v>0</v>
      </c>
    </row>
    <row r="770" spans="1:25" ht="15" customHeight="1" x14ac:dyDescent="0.25">
      <c r="A770" s="3"/>
      <c r="B770" s="3"/>
      <c r="C770" s="3"/>
      <c r="D770" s="3"/>
      <c r="E770" s="3"/>
      <c r="F770" s="3"/>
      <c r="G770" s="3"/>
      <c r="H770" s="3"/>
      <c r="I770" s="3"/>
      <c r="J770" s="3"/>
      <c r="K770" s="20">
        <v>16753</v>
      </c>
      <c r="L770" s="20" t="str">
        <v>2+ Cars</v>
      </c>
      <c r="M770" s="20" t="str">
        <v>31-40</v>
      </c>
      <c r="N770" s="20" t="str">
        <v>5-10 Miles</v>
      </c>
      <c r="O770" s="20">
        <v>0</v>
      </c>
      <c r="P770" s="20" t="str">
        <v>Partial College</v>
      </c>
      <c r="Q770" s="20" t="str">
        <v>North America</v>
      </c>
      <c r="R770" s="20" t="str">
        <v>Single</v>
      </c>
      <c r="S770" s="20" t="str">
        <v>$70k-90k</v>
      </c>
      <c r="T770" s="89">
        <v>0.47104132147827499</v>
      </c>
      <c r="U770" s="91">
        <v>53.739665683760286</v>
      </c>
      <c r="V770" s="49">
        <v>570</v>
      </c>
      <c r="W770" s="20">
        <v>6</v>
      </c>
      <c r="X770" s="20" t="str">
        <v>Warm</v>
      </c>
      <c r="Y770" s="20">
        <v>1</v>
      </c>
    </row>
    <row r="771" spans="1:25" ht="15" customHeight="1" x14ac:dyDescent="0.25">
      <c r="A771" s="3"/>
      <c r="B771" s="3"/>
      <c r="C771" s="3"/>
      <c r="D771" s="3"/>
      <c r="E771" s="3"/>
      <c r="F771" s="3"/>
      <c r="G771" s="3"/>
      <c r="H771" s="3"/>
      <c r="I771" s="3"/>
      <c r="J771" s="3"/>
      <c r="K771" s="20">
        <v>14608</v>
      </c>
      <c r="L771" s="20" t="str">
        <v>2+ Cars</v>
      </c>
      <c r="M771" s="20" t="str">
        <v>41-50</v>
      </c>
      <c r="N771" s="20" t="str">
        <v>10+ Miles</v>
      </c>
      <c r="O771" s="20">
        <v>4</v>
      </c>
      <c r="P771" s="20" t="str">
        <v>Bachelors</v>
      </c>
      <c r="Q771" s="20" t="str">
        <v>North America</v>
      </c>
      <c r="R771" s="20" t="str">
        <v>Married</v>
      </c>
      <c r="S771" s="20" t="str">
        <v>$40k-60k</v>
      </c>
      <c r="T771" s="89">
        <v>0.42916875571028762</v>
      </c>
      <c r="U771" s="91">
        <v>33.437604540442337</v>
      </c>
      <c r="V771" s="49">
        <v>842</v>
      </c>
      <c r="W771" s="20">
        <v>9</v>
      </c>
      <c r="X771" s="20" t="str">
        <v>Cold</v>
      </c>
      <c r="Y771" s="20">
        <v>0</v>
      </c>
    </row>
    <row r="772" spans="1:25" ht="15" customHeight="1" x14ac:dyDescent="0.25">
      <c r="A772" s="3"/>
      <c r="B772" s="3"/>
      <c r="C772" s="3"/>
      <c r="D772" s="3"/>
      <c r="E772" s="3"/>
      <c r="F772" s="3"/>
      <c r="G772" s="3"/>
      <c r="H772" s="3"/>
      <c r="I772" s="3"/>
      <c r="J772" s="3"/>
      <c r="K772" s="20">
        <v>24979</v>
      </c>
      <c r="L772" s="20" t="str">
        <v>2+ Cars</v>
      </c>
      <c r="M772" s="20" t="str">
        <v>51-60</v>
      </c>
      <c r="N772" s="20" t="str">
        <v>2-5 Miles</v>
      </c>
      <c r="O772" s="20">
        <v>2</v>
      </c>
      <c r="P772" s="20" t="str">
        <v>Partial College</v>
      </c>
      <c r="Q772" s="20" t="str">
        <v>North America</v>
      </c>
      <c r="R772" s="20" t="str">
        <v>Married</v>
      </c>
      <c r="S772" s="20" t="str">
        <v>$40k-60k</v>
      </c>
      <c r="T772" s="89">
        <v>0.46116289472747424</v>
      </c>
      <c r="U772" s="91">
        <v>48.950075645122816</v>
      </c>
      <c r="V772" s="49">
        <v>639</v>
      </c>
      <c r="W772" s="20">
        <v>7</v>
      </c>
      <c r="X772" s="20" t="str">
        <v>Cold</v>
      </c>
      <c r="Y772" s="20">
        <v>1</v>
      </c>
    </row>
    <row r="773" spans="1:25" ht="15" customHeight="1" x14ac:dyDescent="0.25">
      <c r="A773" s="3"/>
      <c r="B773" s="3"/>
      <c r="C773" s="3"/>
      <c r="D773" s="3"/>
      <c r="E773" s="3"/>
      <c r="F773" s="3"/>
      <c r="G773" s="3"/>
      <c r="H773" s="3"/>
      <c r="I773" s="3"/>
      <c r="J773" s="3"/>
      <c r="K773" s="20">
        <v>13313</v>
      </c>
      <c r="L773" s="20" t="str">
        <v>2+ Cars</v>
      </c>
      <c r="M773" s="20" t="str">
        <v>41-50</v>
      </c>
      <c r="N773" s="20" t="str">
        <v>2-5 Miles</v>
      </c>
      <c r="O773" s="20">
        <v>1</v>
      </c>
      <c r="P773" s="20" t="str">
        <v>High School</v>
      </c>
      <c r="Q773" s="20" t="str">
        <v>North America</v>
      </c>
      <c r="R773" s="20" t="str">
        <v>Married</v>
      </c>
      <c r="S773" s="20" t="str">
        <v>$100k+</v>
      </c>
      <c r="T773" s="89">
        <v>0.47356269819629171</v>
      </c>
      <c r="U773" s="91">
        <v>54.962164075144962</v>
      </c>
      <c r="V773" s="49">
        <v>550</v>
      </c>
      <c r="W773" s="20">
        <v>6</v>
      </c>
      <c r="X773" s="20" t="str">
        <v>Warm</v>
      </c>
      <c r="Y773" s="20">
        <v>0</v>
      </c>
    </row>
    <row r="774" spans="1:25" ht="15" customHeight="1" x14ac:dyDescent="0.25">
      <c r="A774" s="3"/>
      <c r="B774" s="3"/>
      <c r="C774" s="3"/>
      <c r="D774" s="3"/>
      <c r="E774" s="3"/>
      <c r="F774" s="3"/>
      <c r="G774" s="3"/>
      <c r="H774" s="3"/>
      <c r="I774" s="3"/>
      <c r="J774" s="3"/>
      <c r="K774" s="20">
        <v>18952</v>
      </c>
      <c r="L774" s="20" t="str">
        <v>2+ Cars</v>
      </c>
      <c r="M774" s="20" t="str">
        <v>31-40</v>
      </c>
      <c r="N774" s="20" t="str">
        <v>0-1 Miles</v>
      </c>
      <c r="O774" s="20">
        <v>4</v>
      </c>
      <c r="P774" s="20" t="str">
        <v>Bachelors</v>
      </c>
      <c r="Q774" s="20" t="str">
        <v>North America</v>
      </c>
      <c r="R774" s="20" t="str">
        <v>Married</v>
      </c>
      <c r="S774" s="20" t="str">
        <v>$100k+</v>
      </c>
      <c r="T774" s="89">
        <v>0.48432471510028052</v>
      </c>
      <c r="U774" s="91">
        <v>60.180165914842206</v>
      </c>
      <c r="V774" s="49">
        <v>478</v>
      </c>
      <c r="W774" s="20">
        <v>5</v>
      </c>
      <c r="X774" s="20" t="str">
        <v>Warm</v>
      </c>
      <c r="Y774" s="20">
        <v>0</v>
      </c>
    </row>
    <row r="775" spans="1:25" ht="15" customHeight="1" x14ac:dyDescent="0.25">
      <c r="A775" s="3"/>
      <c r="B775" s="3"/>
      <c r="C775" s="3"/>
      <c r="D775" s="3"/>
      <c r="E775" s="3"/>
      <c r="F775" s="3"/>
      <c r="G775" s="3"/>
      <c r="H775" s="3"/>
      <c r="I775" s="3"/>
      <c r="J775" s="3"/>
      <c r="K775" s="20">
        <v>17699</v>
      </c>
      <c r="L775" s="20" t="str">
        <v>0-1 Cars</v>
      </c>
      <c r="M775" s="20" t="str">
        <v>51-60</v>
      </c>
      <c r="N775" s="20" t="str">
        <v>0-1 Miles</v>
      </c>
      <c r="O775" s="20">
        <v>1</v>
      </c>
      <c r="P775" s="20" t="str">
        <v>Graduate Degree</v>
      </c>
      <c r="Q775" s="20" t="str">
        <v>North America</v>
      </c>
      <c r="R775" s="20" t="str">
        <v>Married</v>
      </c>
      <c r="S775" s="20" t="str">
        <v>$40k-60k</v>
      </c>
      <c r="T775" s="89">
        <v>0.52065190070867828</v>
      </c>
      <c r="U775" s="91">
        <v>77.793529936356293</v>
      </c>
      <c r="V775" s="49">
        <v>250</v>
      </c>
      <c r="W775" s="20">
        <v>3</v>
      </c>
      <c r="X775" s="20" t="str">
        <v>Hot</v>
      </c>
      <c r="Y775" s="20">
        <v>0</v>
      </c>
    </row>
    <row r="776" spans="1:25" ht="15" customHeight="1" x14ac:dyDescent="0.25">
      <c r="A776" s="3"/>
      <c r="B776" s="3"/>
      <c r="C776" s="3"/>
      <c r="D776" s="3"/>
      <c r="E776" s="3"/>
      <c r="F776" s="3"/>
      <c r="G776" s="3"/>
      <c r="H776" s="3"/>
      <c r="I776" s="3"/>
      <c r="J776" s="3"/>
      <c r="K776" s="20">
        <v>14657</v>
      </c>
      <c r="L776" s="20" t="str">
        <v>0-1 Cars</v>
      </c>
      <c r="M776" s="20" t="str">
        <v>41-50</v>
      </c>
      <c r="N776" s="20" t="str">
        <v>0-1 Miles</v>
      </c>
      <c r="O776" s="20">
        <v>1</v>
      </c>
      <c r="P776" s="20" t="str">
        <v>Partial College</v>
      </c>
      <c r="Q776" s="20" t="str">
        <v>North America</v>
      </c>
      <c r="R776" s="20" t="str">
        <v>Married</v>
      </c>
      <c r="S776" s="20" t="str">
        <v>$70k-90k</v>
      </c>
      <c r="T776" s="89">
        <v>0.50831637231025417</v>
      </c>
      <c r="U776" s="91">
        <v>71.812605500829918</v>
      </c>
      <c r="V776" s="49">
        <v>332</v>
      </c>
      <c r="W776" s="20">
        <v>4</v>
      </c>
      <c r="X776" s="20" t="str">
        <v>Warm</v>
      </c>
      <c r="Y776" s="20">
        <v>1</v>
      </c>
    </row>
    <row r="777" spans="1:25" ht="15" customHeight="1" x14ac:dyDescent="0.25">
      <c r="A777" s="3"/>
      <c r="B777" s="3"/>
      <c r="C777" s="3"/>
      <c r="D777" s="3"/>
      <c r="E777" s="3"/>
      <c r="F777" s="3"/>
      <c r="G777" s="3"/>
      <c r="H777" s="3"/>
      <c r="I777" s="3"/>
      <c r="J777" s="3"/>
      <c r="K777" s="20">
        <v>11540</v>
      </c>
      <c r="L777" s="20" t="str">
        <v>0-1 Cars</v>
      </c>
      <c r="M777" s="20" t="str">
        <v>41-50</v>
      </c>
      <c r="N777" s="20" t="str">
        <v>1-2 Miles</v>
      </c>
      <c r="O777" s="20">
        <v>4</v>
      </c>
      <c r="P777" s="20" t="str">
        <v>Graduate Degree</v>
      </c>
      <c r="Q777" s="20" t="str">
        <v>North America</v>
      </c>
      <c r="R777" s="20" t="str">
        <v>Single</v>
      </c>
      <c r="S777" s="20" t="str">
        <v>$40k-60k</v>
      </c>
      <c r="T777" s="89">
        <v>0.49891056397288097</v>
      </c>
      <c r="U777" s="91">
        <v>67.252166166260366</v>
      </c>
      <c r="V777" s="49">
        <v>383</v>
      </c>
      <c r="W777" s="20">
        <v>4</v>
      </c>
      <c r="X777" s="20" t="str">
        <v>Warm</v>
      </c>
      <c r="Y777" s="20">
        <v>1</v>
      </c>
    </row>
    <row r="778" spans="1:25" ht="15" customHeight="1" x14ac:dyDescent="0.25">
      <c r="A778" s="3"/>
      <c r="B778" s="3"/>
      <c r="C778" s="3"/>
      <c r="D778" s="3"/>
      <c r="E778" s="3"/>
      <c r="F778" s="3"/>
      <c r="G778" s="3"/>
      <c r="H778" s="3"/>
      <c r="I778" s="3"/>
      <c r="J778" s="3"/>
      <c r="K778" s="20">
        <v>11783</v>
      </c>
      <c r="L778" s="20" t="str">
        <v>0-1 Cars</v>
      </c>
      <c r="M778" s="20" t="str">
        <v>31-40</v>
      </c>
      <c r="N778" s="20" t="str">
        <v>0-1 Miles</v>
      </c>
      <c r="O778" s="20">
        <v>1</v>
      </c>
      <c r="P778" s="20" t="str">
        <v>Graduate Degree</v>
      </c>
      <c r="Q778" s="20" t="str">
        <v>North America</v>
      </c>
      <c r="R778" s="20" t="str">
        <v>Married</v>
      </c>
      <c r="S778" s="20" t="str">
        <v>$40k-60k</v>
      </c>
      <c r="T778" s="89">
        <v>0.54558089771654972</v>
      </c>
      <c r="U778" s="91">
        <v>89.880442028147186</v>
      </c>
      <c r="V778" s="49">
        <v>68</v>
      </c>
      <c r="W778" s="20">
        <v>1</v>
      </c>
      <c r="X778" s="20" t="str">
        <v>Hot</v>
      </c>
      <c r="Y778" s="20">
        <v>0</v>
      </c>
    </row>
    <row r="779" spans="1:25" ht="15" customHeight="1" x14ac:dyDescent="0.25">
      <c r="A779" s="3"/>
      <c r="B779" s="3"/>
      <c r="C779" s="3"/>
      <c r="D779" s="3"/>
      <c r="E779" s="3"/>
      <c r="F779" s="3"/>
      <c r="G779" s="3"/>
      <c r="H779" s="3"/>
      <c r="I779" s="3"/>
      <c r="J779" s="3"/>
      <c r="K779" s="20">
        <v>14602</v>
      </c>
      <c r="L779" s="20" t="str">
        <v>0-1 Cars</v>
      </c>
      <c r="M779" s="20" t="str">
        <v>31-40</v>
      </c>
      <c r="N779" s="20" t="str">
        <v>0-1 Miles</v>
      </c>
      <c r="O779" s="20">
        <v>3</v>
      </c>
      <c r="P779" s="20" t="str">
        <v>Graduate Degree</v>
      </c>
      <c r="Q779" s="20" t="str">
        <v>North America</v>
      </c>
      <c r="R779" s="20" t="str">
        <v>Married</v>
      </c>
      <c r="S779" s="20" t="str">
        <v>$70k-90k</v>
      </c>
      <c r="T779" s="89">
        <v>0.53855753114701432</v>
      </c>
      <c r="U779" s="91">
        <v>86.475137984523116</v>
      </c>
      <c r="V779" s="49">
        <v>121</v>
      </c>
      <c r="W779" s="20">
        <v>2</v>
      </c>
      <c r="X779" s="20" t="str">
        <v>Hot</v>
      </c>
      <c r="Y779" s="20">
        <v>1</v>
      </c>
    </row>
    <row r="780" spans="1:25" ht="15" customHeight="1" x14ac:dyDescent="0.25">
      <c r="A780" s="3"/>
      <c r="B780" s="3"/>
      <c r="C780" s="3"/>
      <c r="D780" s="3"/>
      <c r="E780" s="3"/>
      <c r="F780" s="3"/>
      <c r="G780" s="3"/>
      <c r="H780" s="3"/>
      <c r="I780" s="3"/>
      <c r="J780" s="3"/>
      <c r="K780" s="20">
        <v>29030</v>
      </c>
      <c r="L780" s="20" t="str">
        <v>2+ Cars</v>
      </c>
      <c r="M780" s="20" t="str">
        <v>51-60</v>
      </c>
      <c r="N780" s="20" t="str">
        <v>10+ Miles</v>
      </c>
      <c r="O780" s="20">
        <v>2</v>
      </c>
      <c r="P780" s="20" t="str">
        <v>Partial High School</v>
      </c>
      <c r="Q780" s="20" t="str">
        <v>North America</v>
      </c>
      <c r="R780" s="20" t="str">
        <v>Married</v>
      </c>
      <c r="S780" s="20" t="str">
        <v>$70k-90k</v>
      </c>
      <c r="T780" s="89">
        <v>0.39351034792948986</v>
      </c>
      <c r="U780" s="91">
        <v>16.148499806559748</v>
      </c>
      <c r="V780" s="49">
        <v>986</v>
      </c>
      <c r="W780" s="20">
        <v>10</v>
      </c>
      <c r="X780" s="20" t="str">
        <v>Cold</v>
      </c>
      <c r="Y780" s="20">
        <v>0</v>
      </c>
    </row>
    <row r="781" spans="1:25" ht="15" customHeight="1" x14ac:dyDescent="0.25">
      <c r="A781" s="3"/>
      <c r="B781" s="3"/>
      <c r="C781" s="3"/>
      <c r="D781" s="3"/>
      <c r="E781" s="3"/>
      <c r="F781" s="3"/>
      <c r="G781" s="3"/>
      <c r="H781" s="3"/>
      <c r="I781" s="3"/>
      <c r="J781" s="3"/>
      <c r="K781" s="20">
        <v>26490</v>
      </c>
      <c r="L781" s="20" t="str">
        <v>0-1 Cars</v>
      </c>
      <c r="M781" s="20" t="str">
        <v>51-60</v>
      </c>
      <c r="N781" s="20" t="str">
        <v>2-5 Miles</v>
      </c>
      <c r="O781" s="20">
        <v>2</v>
      </c>
      <c r="P781" s="20" t="str">
        <v>Bachelors</v>
      </c>
      <c r="Q781" s="20" t="str">
        <v>North America</v>
      </c>
      <c r="R781" s="20" t="str">
        <v>Single</v>
      </c>
      <c r="S781" s="20" t="str">
        <v>$70k-90k</v>
      </c>
      <c r="T781" s="89">
        <v>0.51934861230033824</v>
      </c>
      <c r="U781" s="91">
        <v>77.161625956549884</v>
      </c>
      <c r="V781" s="49">
        <v>260</v>
      </c>
      <c r="W781" s="20">
        <v>3</v>
      </c>
      <c r="X781" s="20" t="str">
        <v>Hot</v>
      </c>
      <c r="Y781" s="20">
        <v>1</v>
      </c>
    </row>
    <row r="782" spans="1:25" ht="15" customHeight="1" x14ac:dyDescent="0.25">
      <c r="A782" s="3"/>
      <c r="B782" s="3"/>
      <c r="C782" s="3"/>
      <c r="D782" s="3"/>
      <c r="E782" s="3"/>
      <c r="F782" s="3"/>
      <c r="G782" s="3"/>
      <c r="H782" s="3"/>
      <c r="I782" s="3"/>
      <c r="J782" s="3"/>
      <c r="K782" s="20">
        <v>13151</v>
      </c>
      <c r="L782" s="20" t="str">
        <v>2+ Cars</v>
      </c>
      <c r="M782" s="20" t="str">
        <v>25-30</v>
      </c>
      <c r="N782" s="20" t="str">
        <v>5-10 Miles</v>
      </c>
      <c r="O782" s="20">
        <v>0</v>
      </c>
      <c r="P782" s="20" t="str">
        <v>High School</v>
      </c>
      <c r="Q782" s="20" t="str">
        <v>North America</v>
      </c>
      <c r="R782" s="20" t="str">
        <v>Single</v>
      </c>
      <c r="S782" s="20" t="str">
        <v>$40k-60k</v>
      </c>
      <c r="T782" s="89">
        <v>0.43216555021179781</v>
      </c>
      <c r="U782" s="91">
        <v>34.890610920341167</v>
      </c>
      <c r="V782" s="49">
        <v>825</v>
      </c>
      <c r="W782" s="20">
        <v>9</v>
      </c>
      <c r="X782" s="20" t="str">
        <v>Cold</v>
      </c>
      <c r="Y782" s="20">
        <v>0</v>
      </c>
    </row>
    <row r="783" spans="1:25" ht="15" customHeight="1" x14ac:dyDescent="0.25">
      <c r="A783" s="3"/>
      <c r="B783" s="3"/>
      <c r="C783" s="3"/>
      <c r="D783" s="3"/>
      <c r="E783" s="3"/>
      <c r="F783" s="3"/>
      <c r="G783" s="3"/>
      <c r="H783" s="3"/>
      <c r="I783" s="3"/>
      <c r="J783" s="3"/>
      <c r="K783" s="20">
        <v>17260</v>
      </c>
      <c r="L783" s="20" t="str">
        <v>2+ Cars</v>
      </c>
      <c r="M783" s="20" t="str">
        <v>41-50</v>
      </c>
      <c r="N783" s="20" t="str">
        <v>0-1 Miles</v>
      </c>
      <c r="O783" s="20">
        <v>5</v>
      </c>
      <c r="P783" s="20" t="str">
        <v>Partial College</v>
      </c>
      <c r="Q783" s="20" t="str">
        <v>North America</v>
      </c>
      <c r="R783" s="20" t="str">
        <v>Married</v>
      </c>
      <c r="S783" s="20" t="str">
        <v>$70k-90k</v>
      </c>
      <c r="T783" s="89">
        <v>0.42069810272219649</v>
      </c>
      <c r="U783" s="91">
        <v>29.330578574062898</v>
      </c>
      <c r="V783" s="49">
        <v>886</v>
      </c>
      <c r="W783" s="20">
        <v>9</v>
      </c>
      <c r="X783" s="20" t="str">
        <v>Cold</v>
      </c>
      <c r="Y783" s="20">
        <v>0</v>
      </c>
    </row>
    <row r="784" spans="1:25" ht="15" customHeight="1" x14ac:dyDescent="0.25">
      <c r="A784" s="3"/>
      <c r="B784" s="3"/>
      <c r="C784" s="3"/>
      <c r="D784" s="3"/>
      <c r="E784" s="3"/>
      <c r="F784" s="3"/>
      <c r="G784" s="3"/>
      <c r="H784" s="3"/>
      <c r="I784" s="3"/>
      <c r="J784" s="3"/>
      <c r="K784" s="20">
        <v>15372</v>
      </c>
      <c r="L784" s="20" t="str">
        <v>2+ Cars</v>
      </c>
      <c r="M784" s="20" t="str">
        <v>41-50</v>
      </c>
      <c r="N784" s="20" t="str">
        <v>2-5 Miles</v>
      </c>
      <c r="O784" s="20">
        <v>3</v>
      </c>
      <c r="P784" s="20" t="str">
        <v>Partial College</v>
      </c>
      <c r="Q784" s="20" t="str">
        <v>North America</v>
      </c>
      <c r="R784" s="20" t="str">
        <v>Married</v>
      </c>
      <c r="S784" s="20" t="str">
        <v>$70k-90k</v>
      </c>
      <c r="T784" s="89">
        <v>0.47131121049829322</v>
      </c>
      <c r="U784" s="91">
        <v>53.870522326667739</v>
      </c>
      <c r="V784" s="49">
        <v>569</v>
      </c>
      <c r="W784" s="20">
        <v>6</v>
      </c>
      <c r="X784" s="20" t="str">
        <v>Warm</v>
      </c>
      <c r="Y784" s="20">
        <v>1</v>
      </c>
    </row>
    <row r="785" spans="1:25" ht="15" customHeight="1" x14ac:dyDescent="0.25">
      <c r="A785" s="3"/>
      <c r="B785" s="3"/>
      <c r="C785" s="3"/>
      <c r="D785" s="3"/>
      <c r="E785" s="3"/>
      <c r="F785" s="3"/>
      <c r="G785" s="3"/>
      <c r="H785" s="3"/>
      <c r="I785" s="3"/>
      <c r="J785" s="3"/>
      <c r="K785" s="20">
        <v>18105</v>
      </c>
      <c r="L785" s="20" t="str">
        <v>0-1 Cars</v>
      </c>
      <c r="M785" s="20" t="str">
        <v>51-60</v>
      </c>
      <c r="N785" s="20" t="str">
        <v>10+ Miles</v>
      </c>
      <c r="O785" s="20">
        <v>2</v>
      </c>
      <c r="P785" s="20" t="str">
        <v>Partial College</v>
      </c>
      <c r="Q785" s="20" t="str">
        <v>North America</v>
      </c>
      <c r="R785" s="20" t="str">
        <v>Married</v>
      </c>
      <c r="S785" s="20" t="str">
        <v>$40k-60k</v>
      </c>
      <c r="T785" s="89">
        <v>0.45816602755683006</v>
      </c>
      <c r="U785" s="91">
        <v>47.497034031338167</v>
      </c>
      <c r="V785" s="49">
        <v>659</v>
      </c>
      <c r="W785" s="20">
        <v>7</v>
      </c>
      <c r="X785" s="20" t="str">
        <v>Cold</v>
      </c>
      <c r="Y785" s="20">
        <v>0</v>
      </c>
    </row>
    <row r="786" spans="1:25" ht="15" customHeight="1" x14ac:dyDescent="0.25">
      <c r="A786" s="3"/>
      <c r="B786" s="3"/>
      <c r="C786" s="3"/>
      <c r="D786" s="3"/>
      <c r="E786" s="3"/>
      <c r="F786" s="3"/>
      <c r="G786" s="3"/>
      <c r="H786" s="3"/>
      <c r="I786" s="3"/>
      <c r="J786" s="3"/>
      <c r="K786" s="20">
        <v>19660</v>
      </c>
      <c r="L786" s="20" t="str">
        <v>0-1 Cars</v>
      </c>
      <c r="M786" s="20" t="str">
        <v>41-50</v>
      </c>
      <c r="N786" s="20" t="str">
        <v>0-1 Miles</v>
      </c>
      <c r="O786" s="20">
        <v>4</v>
      </c>
      <c r="P786" s="20" t="str">
        <v>Bachelors</v>
      </c>
      <c r="Q786" s="20" t="str">
        <v>North America</v>
      </c>
      <c r="R786" s="20" t="str">
        <v>Married</v>
      </c>
      <c r="S786" s="20" t="str">
        <v>$70k-90k</v>
      </c>
      <c r="T786" s="89">
        <v>0.5008608676420695</v>
      </c>
      <c r="U786" s="91">
        <v>68.197777776480194</v>
      </c>
      <c r="V786" s="49">
        <v>369</v>
      </c>
      <c r="W786" s="20">
        <v>4</v>
      </c>
      <c r="X786" s="20" t="str">
        <v>Warm</v>
      </c>
      <c r="Y786" s="20">
        <v>0</v>
      </c>
    </row>
    <row r="787" spans="1:25" ht="15" customHeight="1" x14ac:dyDescent="0.25">
      <c r="A787" s="3"/>
      <c r="B787" s="3"/>
      <c r="C787" s="3"/>
      <c r="D787" s="3"/>
      <c r="E787" s="3"/>
      <c r="F787" s="3"/>
      <c r="G787" s="3"/>
      <c r="H787" s="3"/>
      <c r="I787" s="3"/>
      <c r="J787" s="3"/>
      <c r="K787" s="20">
        <v>16112</v>
      </c>
      <c r="L787" s="20" t="str">
        <v>2+ Cars</v>
      </c>
      <c r="M787" s="20" t="str">
        <v>41-50</v>
      </c>
      <c r="N787" s="20" t="str">
        <v>2-5 Miles</v>
      </c>
      <c r="O787" s="20">
        <v>4</v>
      </c>
      <c r="P787" s="20" t="str">
        <v>Bachelors</v>
      </c>
      <c r="Q787" s="20" t="str">
        <v>North America</v>
      </c>
      <c r="R787" s="20" t="str">
        <v>Single</v>
      </c>
      <c r="S787" s="20" t="str">
        <v>$70k-90k</v>
      </c>
      <c r="T787" s="89">
        <v>0.47759198224685451</v>
      </c>
      <c r="U787" s="91">
        <v>56.915776653165253</v>
      </c>
      <c r="V787" s="49">
        <v>524</v>
      </c>
      <c r="W787" s="20">
        <v>6</v>
      </c>
      <c r="X787" s="20" t="str">
        <v>Warm</v>
      </c>
      <c r="Y787" s="20">
        <v>1</v>
      </c>
    </row>
    <row r="788" spans="1:25" ht="15" customHeight="1" x14ac:dyDescent="0.25">
      <c r="A788" s="3"/>
      <c r="B788" s="3"/>
      <c r="C788" s="3"/>
      <c r="D788" s="3"/>
      <c r="E788" s="3"/>
      <c r="F788" s="3"/>
      <c r="G788" s="3"/>
      <c r="H788" s="3"/>
      <c r="I788" s="3"/>
      <c r="J788" s="3"/>
      <c r="K788" s="20">
        <v>20698</v>
      </c>
      <c r="L788" s="20" t="str">
        <v>2+ Cars</v>
      </c>
      <c r="M788" s="20" t="str">
        <v>41-50</v>
      </c>
      <c r="N788" s="20" t="str">
        <v>5-10 Miles</v>
      </c>
      <c r="O788" s="20">
        <v>4</v>
      </c>
      <c r="P788" s="20" t="str">
        <v>Bachelors</v>
      </c>
      <c r="Q788" s="20" t="str">
        <v>North America</v>
      </c>
      <c r="R788" s="20" t="str">
        <v>Married</v>
      </c>
      <c r="S788" s="20" t="str">
        <v>$40k-60k</v>
      </c>
      <c r="T788" s="89">
        <v>0.44338407930789353</v>
      </c>
      <c r="U788" s="91">
        <v>40.329954305913077</v>
      </c>
      <c r="V788" s="49">
        <v>771</v>
      </c>
      <c r="W788" s="20">
        <v>8</v>
      </c>
      <c r="X788" s="20" t="str">
        <v>Cold</v>
      </c>
      <c r="Y788" s="20">
        <v>0</v>
      </c>
    </row>
    <row r="789" spans="1:25" ht="15" customHeight="1" x14ac:dyDescent="0.25">
      <c r="A789" s="3"/>
      <c r="B789" s="3"/>
      <c r="C789" s="3"/>
      <c r="D789" s="3"/>
      <c r="E789" s="3"/>
      <c r="F789" s="3"/>
      <c r="G789" s="3"/>
      <c r="H789" s="3"/>
      <c r="I789" s="3"/>
      <c r="J789" s="3"/>
      <c r="K789" s="20">
        <v>20076</v>
      </c>
      <c r="L789" s="20" t="str">
        <v>2+ Cars</v>
      </c>
      <c r="M789" s="20" t="str">
        <v>51-60</v>
      </c>
      <c r="N789" s="20" t="str">
        <v>1-2 Miles</v>
      </c>
      <c r="O789" s="20">
        <v>2</v>
      </c>
      <c r="P789" s="20" t="str">
        <v>High School</v>
      </c>
      <c r="Q789" s="20" t="str">
        <v>North America</v>
      </c>
      <c r="R789" s="20" t="str">
        <v>Single</v>
      </c>
      <c r="S789" s="20" t="str">
        <v>$10k-30k</v>
      </c>
      <c r="T789" s="89">
        <v>0.44019221008429998</v>
      </c>
      <c r="U789" s="91">
        <v>38.782365259234361</v>
      </c>
      <c r="V789" s="49">
        <v>786</v>
      </c>
      <c r="W789" s="20">
        <v>8</v>
      </c>
      <c r="X789" s="20" t="str">
        <v>Cold</v>
      </c>
      <c r="Y789" s="20">
        <v>1</v>
      </c>
    </row>
    <row r="790" spans="1:25" ht="15" customHeight="1" x14ac:dyDescent="0.25">
      <c r="A790" s="3"/>
      <c r="B790" s="3"/>
      <c r="C790" s="3"/>
      <c r="D790" s="3"/>
      <c r="E790" s="3"/>
      <c r="F790" s="3"/>
      <c r="G790" s="3"/>
      <c r="H790" s="3"/>
      <c r="I790" s="3"/>
      <c r="J790" s="3"/>
      <c r="K790" s="20">
        <v>24496</v>
      </c>
      <c r="L790" s="20" t="str">
        <v>2+ Cars</v>
      </c>
      <c r="M790" s="20" t="str">
        <v>25-30</v>
      </c>
      <c r="N790" s="20" t="str">
        <v>0-1 Miles</v>
      </c>
      <c r="O790" s="20">
        <v>0</v>
      </c>
      <c r="P790" s="20" t="str">
        <v>High School</v>
      </c>
      <c r="Q790" s="20" t="str">
        <v>North America</v>
      </c>
      <c r="R790" s="20" t="str">
        <v>Single</v>
      </c>
      <c r="S790" s="20" t="str">
        <v>$40k-60k</v>
      </c>
      <c r="T790" s="89">
        <v>0.45389402188787609</v>
      </c>
      <c r="U790" s="91">
        <v>45.425737020873811</v>
      </c>
      <c r="V790" s="49">
        <v>713</v>
      </c>
      <c r="W790" s="20">
        <v>8</v>
      </c>
      <c r="X790" s="20" t="str">
        <v>Cold</v>
      </c>
      <c r="Y790" s="20">
        <v>1</v>
      </c>
    </row>
    <row r="791" spans="1:25" ht="15" customHeight="1" x14ac:dyDescent="0.25">
      <c r="A791" s="3"/>
      <c r="B791" s="3"/>
      <c r="C791" s="3"/>
      <c r="D791" s="3"/>
      <c r="E791" s="3"/>
      <c r="F791" s="3"/>
      <c r="G791" s="3"/>
      <c r="H791" s="3"/>
      <c r="I791" s="3"/>
      <c r="J791" s="3"/>
      <c r="K791" s="20">
        <v>15468</v>
      </c>
      <c r="L791" s="20" t="str">
        <v>0-1 Cars</v>
      </c>
      <c r="M791" s="20" t="str">
        <v>31-40</v>
      </c>
      <c r="N791" s="20" t="str">
        <v>0-1 Miles</v>
      </c>
      <c r="O791" s="20">
        <v>1</v>
      </c>
      <c r="P791" s="20" t="str">
        <v>Bachelors</v>
      </c>
      <c r="Q791" s="20" t="str">
        <v>North America</v>
      </c>
      <c r="R791" s="20" t="str">
        <v>Married</v>
      </c>
      <c r="S791" s="20" t="str">
        <v>$40k-60k</v>
      </c>
      <c r="T791" s="89">
        <v>0.5470712301118793</v>
      </c>
      <c r="U791" s="91">
        <v>90.603034944509176</v>
      </c>
      <c r="V791" s="49">
        <v>61</v>
      </c>
      <c r="W791" s="20">
        <v>1</v>
      </c>
      <c r="X791" s="20" t="str">
        <v>Hot</v>
      </c>
      <c r="Y791" s="20">
        <v>0</v>
      </c>
    </row>
    <row r="792" spans="1:25" ht="15" customHeight="1" x14ac:dyDescent="0.25">
      <c r="A792" s="3"/>
      <c r="B792" s="3"/>
      <c r="C792" s="3"/>
      <c r="D792" s="3"/>
      <c r="E792" s="3"/>
      <c r="F792" s="3"/>
      <c r="G792" s="3"/>
      <c r="H792" s="3"/>
      <c r="I792" s="3"/>
      <c r="J792" s="3"/>
      <c r="K792" s="20">
        <v>28031</v>
      </c>
      <c r="L792" s="20" t="str">
        <v>0-1 Cars</v>
      </c>
      <c r="M792" s="20" t="str">
        <v>51-60</v>
      </c>
      <c r="N792" s="20" t="str">
        <v>2-5 Miles</v>
      </c>
      <c r="O792" s="20">
        <v>2</v>
      </c>
      <c r="P792" s="20" t="str">
        <v>Bachelors</v>
      </c>
      <c r="Q792" s="20" t="str">
        <v>North America</v>
      </c>
      <c r="R792" s="20" t="str">
        <v>Single</v>
      </c>
      <c r="S792" s="20" t="str">
        <v>$70k-90k</v>
      </c>
      <c r="T792" s="89">
        <v>0.51934861230033824</v>
      </c>
      <c r="U792" s="91">
        <v>77.161625956549884</v>
      </c>
      <c r="V792" s="49">
        <v>261</v>
      </c>
      <c r="W792" s="20">
        <v>3</v>
      </c>
      <c r="X792" s="20" t="str">
        <v>Hot</v>
      </c>
      <c r="Y792" s="20">
        <v>1</v>
      </c>
    </row>
    <row r="793" spans="1:25" ht="15" customHeight="1" x14ac:dyDescent="0.25">
      <c r="A793" s="3"/>
      <c r="B793" s="3"/>
      <c r="C793" s="3"/>
      <c r="D793" s="3"/>
      <c r="E793" s="3"/>
      <c r="F793" s="3"/>
      <c r="G793" s="3"/>
      <c r="H793" s="3"/>
      <c r="I793" s="3"/>
      <c r="J793" s="3"/>
      <c r="K793" s="20">
        <v>26270</v>
      </c>
      <c r="L793" s="20" t="str">
        <v>2+ Cars</v>
      </c>
      <c r="M793" s="20" t="str">
        <v>41-50</v>
      </c>
      <c r="N793" s="20" t="str">
        <v>1-2 Miles</v>
      </c>
      <c r="O793" s="20">
        <v>2</v>
      </c>
      <c r="P793" s="20" t="str">
        <v>Partial High School</v>
      </c>
      <c r="Q793" s="20" t="str">
        <v>North America</v>
      </c>
      <c r="R793" s="20" t="str">
        <v>Single</v>
      </c>
      <c r="S793" s="20" t="str">
        <v>$10k-30k</v>
      </c>
      <c r="T793" s="89">
        <v>0.42006741936386477</v>
      </c>
      <c r="U793" s="91">
        <v>29.024789524166344</v>
      </c>
      <c r="V793" s="49">
        <v>893</v>
      </c>
      <c r="W793" s="20">
        <v>9</v>
      </c>
      <c r="X793" s="20" t="str">
        <v>Cold</v>
      </c>
      <c r="Y793" s="20">
        <v>0</v>
      </c>
    </row>
    <row r="794" spans="1:25" ht="15" customHeight="1" x14ac:dyDescent="0.25">
      <c r="A794" s="3"/>
      <c r="B794" s="3"/>
      <c r="C794" s="3"/>
      <c r="D794" s="3"/>
      <c r="E794" s="3"/>
      <c r="F794" s="3"/>
      <c r="G794" s="3"/>
      <c r="H794" s="3"/>
      <c r="I794" s="3"/>
      <c r="J794" s="3"/>
      <c r="K794" s="20">
        <v>22221</v>
      </c>
      <c r="L794" s="20" t="str">
        <v>2+ Cars</v>
      </c>
      <c r="M794" s="20" t="str">
        <v>41-50</v>
      </c>
      <c r="N794" s="20" t="str">
        <v>1-2 Miles</v>
      </c>
      <c r="O794" s="20">
        <v>2</v>
      </c>
      <c r="P794" s="20" t="str">
        <v>High School</v>
      </c>
      <c r="Q794" s="20" t="str">
        <v>North America</v>
      </c>
      <c r="R794" s="20" t="str">
        <v>Married</v>
      </c>
      <c r="S794" s="20" t="str">
        <v>$40k-60k</v>
      </c>
      <c r="T794" s="89">
        <v>0.44323818048952945</v>
      </c>
      <c r="U794" s="91">
        <v>40.259214749431685</v>
      </c>
      <c r="V794" s="49">
        <v>773</v>
      </c>
      <c r="W794" s="20">
        <v>8</v>
      </c>
      <c r="X794" s="20" t="str">
        <v>Cold</v>
      </c>
      <c r="Y794" s="20">
        <v>1</v>
      </c>
    </row>
    <row r="795" spans="1:25" ht="15" customHeight="1" x14ac:dyDescent="0.25">
      <c r="A795" s="3"/>
      <c r="B795" s="3"/>
      <c r="C795" s="3"/>
      <c r="D795" s="3"/>
      <c r="E795" s="3"/>
      <c r="F795" s="3"/>
      <c r="G795" s="3"/>
      <c r="H795" s="3"/>
      <c r="I795" s="3"/>
      <c r="J795" s="3"/>
      <c r="K795" s="20">
        <v>28228</v>
      </c>
      <c r="L795" s="20" t="str">
        <v>2+ Cars</v>
      </c>
      <c r="M795" s="20" t="str">
        <v>41-50</v>
      </c>
      <c r="N795" s="20" t="str">
        <v>1-2 Miles</v>
      </c>
      <c r="O795" s="20">
        <v>2</v>
      </c>
      <c r="P795" s="20" t="str">
        <v>Partial High School</v>
      </c>
      <c r="Q795" s="20" t="str">
        <v>North America</v>
      </c>
      <c r="R795" s="20" t="str">
        <v>Single</v>
      </c>
      <c r="S795" s="20" t="str">
        <v>$70k-90k</v>
      </c>
      <c r="T795" s="89">
        <v>0.42792766934250276</v>
      </c>
      <c r="U795" s="91">
        <v>32.835859439305736</v>
      </c>
      <c r="V795" s="49">
        <v>847</v>
      </c>
      <c r="W795" s="20">
        <v>9</v>
      </c>
      <c r="X795" s="20" t="str">
        <v>Cold</v>
      </c>
      <c r="Y795" s="20">
        <v>0</v>
      </c>
    </row>
    <row r="796" spans="1:25" ht="15" customHeight="1" x14ac:dyDescent="0.25">
      <c r="A796" s="3"/>
      <c r="B796" s="3"/>
      <c r="C796" s="3"/>
      <c r="D796" s="3"/>
      <c r="E796" s="3"/>
      <c r="F796" s="3"/>
      <c r="G796" s="3"/>
      <c r="H796" s="3"/>
      <c r="I796" s="3"/>
      <c r="J796" s="3"/>
      <c r="K796" s="20">
        <v>18363</v>
      </c>
      <c r="L796" s="20" t="str">
        <v>2+ Cars</v>
      </c>
      <c r="M796" s="20" t="str">
        <v>25-30</v>
      </c>
      <c r="N796" s="20" t="str">
        <v>5-10 Miles</v>
      </c>
      <c r="O796" s="20">
        <v>0</v>
      </c>
      <c r="P796" s="20" t="str">
        <v>High School</v>
      </c>
      <c r="Q796" s="20" t="str">
        <v>North America</v>
      </c>
      <c r="R796" s="20" t="str">
        <v>Married</v>
      </c>
      <c r="S796" s="20" t="str">
        <v>$40k-60k</v>
      </c>
      <c r="T796" s="89">
        <v>0.42248750750397268</v>
      </c>
      <c r="U796" s="91">
        <v>30.198177791437342</v>
      </c>
      <c r="V796" s="49">
        <v>870</v>
      </c>
      <c r="W796" s="20">
        <v>9</v>
      </c>
      <c r="X796" s="20" t="str">
        <v>Cold</v>
      </c>
      <c r="Y796" s="20">
        <v>1</v>
      </c>
    </row>
    <row r="797" spans="1:25" ht="15" customHeight="1" x14ac:dyDescent="0.25">
      <c r="A797" s="3"/>
      <c r="B797" s="3"/>
      <c r="C797" s="3"/>
      <c r="D797" s="3"/>
      <c r="E797" s="3"/>
      <c r="F797" s="3"/>
      <c r="G797" s="3"/>
      <c r="H797" s="3"/>
      <c r="I797" s="3"/>
      <c r="J797" s="3"/>
      <c r="K797" s="20">
        <v>23256</v>
      </c>
      <c r="L797" s="20" t="str">
        <v>0-1 Cars</v>
      </c>
      <c r="M797" s="20" t="str">
        <v>51-60</v>
      </c>
      <c r="N797" s="20" t="str">
        <v>5-10 Miles</v>
      </c>
      <c r="O797" s="20">
        <v>1</v>
      </c>
      <c r="P797" s="20" t="str">
        <v>High School</v>
      </c>
      <c r="Q797" s="20" t="str">
        <v>North America</v>
      </c>
      <c r="R797" s="20" t="str">
        <v>Single</v>
      </c>
      <c r="S797" s="20" t="str">
        <v>$10k-30k</v>
      </c>
      <c r="T797" s="89">
        <v>0.48555338683578469</v>
      </c>
      <c r="U797" s="91">
        <v>60.775891737747081</v>
      </c>
      <c r="V797" s="49">
        <v>477</v>
      </c>
      <c r="W797" s="20">
        <v>5</v>
      </c>
      <c r="X797" s="20" t="str">
        <v>Warm</v>
      </c>
      <c r="Y797" s="20">
        <v>0</v>
      </c>
    </row>
    <row r="798" spans="1:25" ht="15" customHeight="1" x14ac:dyDescent="0.25">
      <c r="A798" s="3"/>
      <c r="B798" s="3"/>
      <c r="C798" s="3"/>
      <c r="D798" s="3"/>
      <c r="E798" s="3"/>
      <c r="F798" s="3"/>
      <c r="G798" s="3"/>
      <c r="H798" s="3"/>
      <c r="I798" s="3"/>
      <c r="J798" s="3"/>
      <c r="K798" s="20">
        <v>12768</v>
      </c>
      <c r="L798" s="20" t="str">
        <v>0-1 Cars</v>
      </c>
      <c r="M798" s="20" t="str">
        <v>51-60</v>
      </c>
      <c r="N798" s="20" t="str">
        <v>2-5 Miles</v>
      </c>
      <c r="O798" s="20">
        <v>1</v>
      </c>
      <c r="P798" s="20" t="str">
        <v>High School</v>
      </c>
      <c r="Q798" s="20" t="str">
        <v>North America</v>
      </c>
      <c r="R798" s="20" t="str">
        <v>Married</v>
      </c>
      <c r="S798" s="20" t="str">
        <v>$10k-30k</v>
      </c>
      <c r="T798" s="89">
        <v>0.50337033721970992</v>
      </c>
      <c r="U798" s="91">
        <v>69.414502948872254</v>
      </c>
      <c r="V798" s="49">
        <v>346</v>
      </c>
      <c r="W798" s="20">
        <v>4</v>
      </c>
      <c r="X798" s="20" t="str">
        <v>Warm</v>
      </c>
      <c r="Y798" s="20">
        <v>1</v>
      </c>
    </row>
    <row r="799" spans="1:25" ht="15" customHeight="1" x14ac:dyDescent="0.25">
      <c r="A799" s="3"/>
      <c r="B799" s="3"/>
      <c r="C799" s="3"/>
      <c r="D799" s="3"/>
      <c r="E799" s="3"/>
      <c r="F799" s="3"/>
      <c r="G799" s="3"/>
      <c r="H799" s="3"/>
      <c r="I799" s="3"/>
      <c r="J799" s="3"/>
      <c r="K799" s="20">
        <v>20361</v>
      </c>
      <c r="L799" s="20" t="str">
        <v>2+ Cars</v>
      </c>
      <c r="M799" s="20" t="str">
        <v>61+</v>
      </c>
      <c r="N799" s="20" t="str">
        <v>5-10 Miles</v>
      </c>
      <c r="O799" s="20">
        <v>2</v>
      </c>
      <c r="P799" s="20" t="str">
        <v>Graduate Degree</v>
      </c>
      <c r="Q799" s="20" t="str">
        <v>North America</v>
      </c>
      <c r="R799" s="20" t="str">
        <v>Married</v>
      </c>
      <c r="S799" s="20" t="str">
        <v>$40k-60k</v>
      </c>
      <c r="T799" s="89">
        <v>0.4202742070189221</v>
      </c>
      <c r="U799" s="91">
        <v>29.12505124779511</v>
      </c>
      <c r="V799" s="49">
        <v>890</v>
      </c>
      <c r="W799" s="20">
        <v>9</v>
      </c>
      <c r="X799" s="20" t="str">
        <v>Cold</v>
      </c>
      <c r="Y799" s="20">
        <v>0</v>
      </c>
    </row>
    <row r="800" spans="1:25" ht="15" customHeight="1" x14ac:dyDescent="0.25">
      <c r="A800" s="3"/>
      <c r="B800" s="3"/>
      <c r="C800" s="3"/>
      <c r="D800" s="3"/>
      <c r="E800" s="3"/>
      <c r="F800" s="3"/>
      <c r="G800" s="3"/>
      <c r="H800" s="3"/>
      <c r="I800" s="3"/>
      <c r="J800" s="3"/>
      <c r="K800" s="20">
        <v>21306</v>
      </c>
      <c r="L800" s="20" t="str">
        <v>2+ Cars</v>
      </c>
      <c r="M800" s="20" t="str">
        <v>51-60</v>
      </c>
      <c r="N800" s="20" t="str">
        <v>5-10 Miles</v>
      </c>
      <c r="O800" s="20">
        <v>2</v>
      </c>
      <c r="P800" s="20" t="str">
        <v>High School</v>
      </c>
      <c r="Q800" s="20" t="str">
        <v>North America</v>
      </c>
      <c r="R800" s="20" t="str">
        <v>Single</v>
      </c>
      <c r="S800" s="20" t="str">
        <v>$40k-60k</v>
      </c>
      <c r="T800" s="89">
        <v>0.44239226808977272</v>
      </c>
      <c r="U800" s="91">
        <v>39.849071139964074</v>
      </c>
      <c r="V800" s="49">
        <v>777</v>
      </c>
      <c r="W800" s="20">
        <v>8</v>
      </c>
      <c r="X800" s="20" t="str">
        <v>Cold</v>
      </c>
      <c r="Y800" s="20">
        <v>0</v>
      </c>
    </row>
    <row r="801" spans="1:25" ht="15" customHeight="1" x14ac:dyDescent="0.25">
      <c r="A801" s="3"/>
      <c r="B801" s="3"/>
      <c r="C801" s="3"/>
      <c r="D801" s="3"/>
      <c r="E801" s="3"/>
      <c r="F801" s="3"/>
      <c r="G801" s="3"/>
      <c r="H801" s="3"/>
      <c r="I801" s="3"/>
      <c r="J801" s="3"/>
      <c r="K801" s="20">
        <v>13382</v>
      </c>
      <c r="L801" s="20" t="str">
        <v>2+ Cars</v>
      </c>
      <c r="M801" s="20" t="str">
        <v>51-60</v>
      </c>
      <c r="N801" s="20" t="str">
        <v>1-2 Miles</v>
      </c>
      <c r="O801" s="20">
        <v>5</v>
      </c>
      <c r="P801" s="20" t="str">
        <v>Partial College</v>
      </c>
      <c r="Q801" s="20" t="str">
        <v>North America</v>
      </c>
      <c r="R801" s="20" t="str">
        <v>Married</v>
      </c>
      <c r="S801" s="20" t="str">
        <v>$70k-90k</v>
      </c>
      <c r="T801" s="89">
        <v>0.40569632560609586</v>
      </c>
      <c r="U801" s="91">
        <v>22.056914047339486</v>
      </c>
      <c r="V801" s="49">
        <v>957</v>
      </c>
      <c r="W801" s="20">
        <v>10</v>
      </c>
      <c r="X801" s="20" t="str">
        <v>Cold</v>
      </c>
      <c r="Y801" s="20">
        <v>1</v>
      </c>
    </row>
    <row r="802" spans="1:25" ht="15" customHeight="1" x14ac:dyDescent="0.25">
      <c r="A802" s="3"/>
      <c r="B802" s="3"/>
      <c r="C802" s="3"/>
      <c r="D802" s="3"/>
      <c r="E802" s="3"/>
      <c r="F802" s="3"/>
      <c r="G802" s="3"/>
      <c r="H802" s="3"/>
      <c r="I802" s="3"/>
      <c r="J802" s="3"/>
      <c r="K802" s="20">
        <v>20310</v>
      </c>
      <c r="L802" s="20" t="str">
        <v>0-1 Cars</v>
      </c>
      <c r="M802" s="20" t="str">
        <v>25-30</v>
      </c>
      <c r="N802" s="20" t="str">
        <v>5-10 Miles</v>
      </c>
      <c r="O802" s="20">
        <v>0</v>
      </c>
      <c r="P802" s="20" t="str">
        <v>Partial College</v>
      </c>
      <c r="Q802" s="20" t="str">
        <v>North America</v>
      </c>
      <c r="R802" s="20" t="str">
        <v>Single</v>
      </c>
      <c r="S802" s="20" t="str">
        <v>$40k-60k</v>
      </c>
      <c r="T802" s="89">
        <v>0.4718326759842863</v>
      </c>
      <c r="U802" s="91">
        <v>54.123356706089865</v>
      </c>
      <c r="V802" s="49">
        <v>561</v>
      </c>
      <c r="W802" s="20">
        <v>6</v>
      </c>
      <c r="X802" s="20" t="str">
        <v>Warm</v>
      </c>
      <c r="Y802" s="20">
        <v>1</v>
      </c>
    </row>
    <row r="803" spans="1:25" ht="15" customHeight="1" x14ac:dyDescent="0.25">
      <c r="A803" s="3"/>
      <c r="B803" s="3"/>
      <c r="C803" s="3"/>
      <c r="D803" s="3"/>
      <c r="E803" s="3"/>
      <c r="F803" s="3"/>
      <c r="G803" s="3"/>
      <c r="H803" s="3"/>
      <c r="I803" s="3"/>
      <c r="J803" s="3"/>
      <c r="K803" s="20">
        <v>22971</v>
      </c>
      <c r="L803" s="20" t="str">
        <v>2+ Cars</v>
      </c>
      <c r="M803" s="20" t="str">
        <v>25-30</v>
      </c>
      <c r="N803" s="20" t="str">
        <v>0-1 Miles</v>
      </c>
      <c r="O803" s="20">
        <v>0</v>
      </c>
      <c r="P803" s="20" t="str">
        <v>High School</v>
      </c>
      <c r="Q803" s="20" t="str">
        <v>North America</v>
      </c>
      <c r="R803" s="20" t="str">
        <v>Single</v>
      </c>
      <c r="S803" s="20" t="str">
        <v>$10k-30k</v>
      </c>
      <c r="T803" s="89">
        <v>0.44306863904862359</v>
      </c>
      <c r="U803" s="91">
        <v>40.17701198405377</v>
      </c>
      <c r="V803" s="49">
        <v>775</v>
      </c>
      <c r="W803" s="20">
        <v>8</v>
      </c>
      <c r="X803" s="20" t="str">
        <v>Cold</v>
      </c>
      <c r="Y803" s="20">
        <v>1</v>
      </c>
    </row>
    <row r="804" spans="1:25" ht="15" customHeight="1" x14ac:dyDescent="0.25">
      <c r="A804" s="3"/>
      <c r="B804" s="3"/>
      <c r="C804" s="3"/>
      <c r="D804" s="3"/>
      <c r="E804" s="3"/>
      <c r="F804" s="3"/>
      <c r="G804" s="3"/>
      <c r="H804" s="3"/>
      <c r="I804" s="3"/>
      <c r="J804" s="3"/>
      <c r="K804" s="20">
        <v>15287</v>
      </c>
      <c r="L804" s="20" t="str">
        <v>0-1 Cars</v>
      </c>
      <c r="M804" s="20" t="str">
        <v>31-40</v>
      </c>
      <c r="N804" s="20" t="str">
        <v>1-2 Miles</v>
      </c>
      <c r="O804" s="20">
        <v>1</v>
      </c>
      <c r="P804" s="20" t="str">
        <v>Graduate Degree</v>
      </c>
      <c r="Q804" s="20" t="str">
        <v>North America</v>
      </c>
      <c r="R804" s="20" t="str">
        <v>Single</v>
      </c>
      <c r="S804" s="20" t="str">
        <v>$40k-60k</v>
      </c>
      <c r="T804" s="89">
        <v>0.54215579358207633</v>
      </c>
      <c r="U804" s="91">
        <v>88.219768212608713</v>
      </c>
      <c r="V804" s="49">
        <v>95</v>
      </c>
      <c r="W804" s="20">
        <v>1</v>
      </c>
      <c r="X804" s="20" t="str">
        <v>Hot</v>
      </c>
      <c r="Y804" s="20">
        <v>1</v>
      </c>
    </row>
    <row r="805" spans="1:25" ht="15" customHeight="1" x14ac:dyDescent="0.25">
      <c r="A805" s="3"/>
      <c r="B805" s="3"/>
      <c r="C805" s="3"/>
      <c r="D805" s="3"/>
      <c r="E805" s="3"/>
      <c r="F805" s="3"/>
      <c r="G805" s="3"/>
      <c r="H805" s="3"/>
      <c r="I805" s="3"/>
      <c r="J805" s="3"/>
      <c r="K805" s="20">
        <v>15532</v>
      </c>
      <c r="L805" s="20" t="str">
        <v>2+ Cars</v>
      </c>
      <c r="M805" s="20" t="str">
        <v>41-50</v>
      </c>
      <c r="N805" s="20" t="str">
        <v>2-5 Miles</v>
      </c>
      <c r="O805" s="20">
        <v>4</v>
      </c>
      <c r="P805" s="20" t="str">
        <v>Bachelors</v>
      </c>
      <c r="Q805" s="20" t="str">
        <v>North America</v>
      </c>
      <c r="R805" s="20" t="str">
        <v>Single</v>
      </c>
      <c r="S805" s="20" t="str">
        <v>$40k-60k</v>
      </c>
      <c r="T805" s="89">
        <v>0.48055711510746901</v>
      </c>
      <c r="U805" s="91">
        <v>58.353431774845902</v>
      </c>
      <c r="V805" s="49">
        <v>507</v>
      </c>
      <c r="W805" s="20">
        <v>6</v>
      </c>
      <c r="X805" s="20" t="str">
        <v>Warm</v>
      </c>
      <c r="Y805" s="20">
        <v>1</v>
      </c>
    </row>
    <row r="806" spans="1:25" ht="15" customHeight="1" x14ac:dyDescent="0.25">
      <c r="A806" s="3"/>
      <c r="B806" s="3"/>
      <c r="C806" s="3"/>
      <c r="D806" s="3"/>
      <c r="E806" s="3"/>
      <c r="F806" s="3"/>
      <c r="G806" s="3"/>
      <c r="H806" s="3"/>
      <c r="I806" s="3"/>
      <c r="J806" s="3"/>
      <c r="K806" s="20">
        <v>11255</v>
      </c>
      <c r="L806" s="20" t="str">
        <v>2+ Cars</v>
      </c>
      <c r="M806" s="20" t="str">
        <v>61+</v>
      </c>
      <c r="N806" s="20" t="str">
        <v>5-10 Miles</v>
      </c>
      <c r="O806" s="20">
        <v>4</v>
      </c>
      <c r="P806" s="20" t="str">
        <v>Graduate Degree</v>
      </c>
      <c r="Q806" s="20" t="str">
        <v>North America</v>
      </c>
      <c r="R806" s="20" t="str">
        <v>Married</v>
      </c>
      <c r="S806" s="20" t="str">
        <v>$70k-90k</v>
      </c>
      <c r="T806" s="89">
        <v>0.41236726334973389</v>
      </c>
      <c r="U806" s="91">
        <v>25.291341732163836</v>
      </c>
      <c r="V806" s="49">
        <v>933</v>
      </c>
      <c r="W806" s="20">
        <v>10</v>
      </c>
      <c r="X806" s="20" t="str">
        <v>Cold</v>
      </c>
      <c r="Y806" s="20">
        <v>0</v>
      </c>
    </row>
    <row r="807" spans="1:25" ht="15" customHeight="1" x14ac:dyDescent="0.25">
      <c r="A807" s="3"/>
      <c r="B807" s="3"/>
      <c r="C807" s="3"/>
      <c r="D807" s="3"/>
      <c r="E807" s="3"/>
      <c r="F807" s="3"/>
      <c r="G807" s="3"/>
      <c r="H807" s="3"/>
      <c r="I807" s="3"/>
      <c r="J807" s="3"/>
      <c r="K807" s="20">
        <v>28090</v>
      </c>
      <c r="L807" s="20" t="str">
        <v>0-1 Cars</v>
      </c>
      <c r="M807" s="20" t="str">
        <v>25-30</v>
      </c>
      <c r="N807" s="20" t="str">
        <v>5-10 Miles</v>
      </c>
      <c r="O807" s="20">
        <v>0</v>
      </c>
      <c r="P807" s="20" t="str">
        <v>Partial College</v>
      </c>
      <c r="Q807" s="20" t="str">
        <v>North America</v>
      </c>
      <c r="R807" s="20" t="str">
        <v>Married</v>
      </c>
      <c r="S807" s="20" t="str">
        <v>$40k-60k</v>
      </c>
      <c r="T807" s="89">
        <v>0.46215463327646117</v>
      </c>
      <c r="U807" s="91">
        <v>49.430923577186043</v>
      </c>
      <c r="V807" s="49">
        <v>632</v>
      </c>
      <c r="W807" s="20">
        <v>7</v>
      </c>
      <c r="X807" s="20" t="str">
        <v>Cold</v>
      </c>
      <c r="Y807" s="20">
        <v>0</v>
      </c>
    </row>
    <row r="808" spans="1:25" ht="15" customHeight="1" x14ac:dyDescent="0.25">
      <c r="A808" s="3"/>
      <c r="B808" s="3"/>
      <c r="C808" s="3"/>
      <c r="D808" s="3"/>
      <c r="E808" s="3"/>
      <c r="F808" s="3"/>
      <c r="G808" s="3"/>
      <c r="H808" s="3"/>
      <c r="I808" s="3"/>
      <c r="J808" s="3"/>
      <c r="K808" s="20">
        <v>15255</v>
      </c>
      <c r="L808" s="20" t="str">
        <v>2+ Cars</v>
      </c>
      <c r="M808" s="20" t="str">
        <v>25-30</v>
      </c>
      <c r="N808" s="20" t="str">
        <v>5-10 Miles</v>
      </c>
      <c r="O808" s="20">
        <v>0</v>
      </c>
      <c r="P808" s="20" t="str">
        <v>High School</v>
      </c>
      <c r="Q808" s="20" t="str">
        <v>North America</v>
      </c>
      <c r="R808" s="20" t="str">
        <v>Married</v>
      </c>
      <c r="S808" s="20" t="str">
        <v>$40k-60k</v>
      </c>
      <c r="T808" s="89">
        <v>0.42248750750397268</v>
      </c>
      <c r="U808" s="91">
        <v>30.198177791437342</v>
      </c>
      <c r="V808" s="49">
        <v>868</v>
      </c>
      <c r="W808" s="20">
        <v>9</v>
      </c>
      <c r="X808" s="20" t="str">
        <v>Cold</v>
      </c>
      <c r="Y808" s="20">
        <v>1</v>
      </c>
    </row>
    <row r="809" spans="1:25" ht="15" customHeight="1" x14ac:dyDescent="0.25">
      <c r="A809" s="3"/>
      <c r="B809" s="3"/>
      <c r="C809" s="3"/>
      <c r="D809" s="3"/>
      <c r="E809" s="3"/>
      <c r="F809" s="3"/>
      <c r="G809" s="3"/>
      <c r="H809" s="3"/>
      <c r="I809" s="3"/>
      <c r="J809" s="3"/>
      <c r="K809" s="20">
        <v>13154</v>
      </c>
      <c r="L809" s="20" t="str">
        <v>2+ Cars</v>
      </c>
      <c r="M809" s="20" t="str">
        <v>25-30</v>
      </c>
      <c r="N809" s="20" t="str">
        <v>0-1 Miles</v>
      </c>
      <c r="O809" s="20">
        <v>0</v>
      </c>
      <c r="P809" s="20" t="str">
        <v>High School</v>
      </c>
      <c r="Q809" s="20" t="str">
        <v>North America</v>
      </c>
      <c r="R809" s="20" t="str">
        <v>Married</v>
      </c>
      <c r="S809" s="20" t="str">
        <v>$40k-60k</v>
      </c>
      <c r="T809" s="89">
        <v>0.44421597918005096</v>
      </c>
      <c r="U809" s="91">
        <v>40.733303891969982</v>
      </c>
      <c r="V809" s="49">
        <v>767</v>
      </c>
      <c r="W809" s="20">
        <v>8</v>
      </c>
      <c r="X809" s="20" t="str">
        <v>Cold</v>
      </c>
      <c r="Y809" s="20">
        <v>1</v>
      </c>
    </row>
    <row r="810" spans="1:25" ht="15" customHeight="1" x14ac:dyDescent="0.25">
      <c r="A810" s="3"/>
      <c r="B810" s="3"/>
      <c r="C810" s="3"/>
      <c r="D810" s="3"/>
      <c r="E810" s="3"/>
      <c r="F810" s="3"/>
      <c r="G810" s="3"/>
      <c r="H810" s="3"/>
      <c r="I810" s="3"/>
      <c r="J810" s="3"/>
      <c r="K810" s="20">
        <v>26778</v>
      </c>
      <c r="L810" s="20" t="str">
        <v>2+ Cars</v>
      </c>
      <c r="M810" s="20" t="str">
        <v>31-40</v>
      </c>
      <c r="N810" s="20" t="str">
        <v>5-10 Miles</v>
      </c>
      <c r="O810" s="20">
        <v>0</v>
      </c>
      <c r="P810" s="20" t="str">
        <v>High School</v>
      </c>
      <c r="Q810" s="20" t="str">
        <v>North America</v>
      </c>
      <c r="R810" s="20" t="str">
        <v>Single</v>
      </c>
      <c r="S810" s="20" t="str">
        <v>$40k-60k</v>
      </c>
      <c r="T810" s="89">
        <v>0.4730527780851132</v>
      </c>
      <c r="U810" s="91">
        <v>54.714927511407375</v>
      </c>
      <c r="V810" s="49">
        <v>558</v>
      </c>
      <c r="W810" s="20">
        <v>6</v>
      </c>
      <c r="X810" s="20" t="str">
        <v>Warm</v>
      </c>
      <c r="Y810" s="20">
        <v>0</v>
      </c>
    </row>
    <row r="811" spans="1:25" ht="15" customHeight="1" x14ac:dyDescent="0.25">
      <c r="A811" s="3"/>
      <c r="B811" s="3"/>
      <c r="C811" s="3"/>
      <c r="D811" s="3"/>
      <c r="E811" s="3"/>
      <c r="F811" s="3"/>
      <c r="G811" s="3"/>
      <c r="H811" s="3"/>
      <c r="I811" s="3"/>
      <c r="J811" s="3"/>
      <c r="K811" s="20">
        <v>23248</v>
      </c>
      <c r="L811" s="20" t="str">
        <v>2+ Cars</v>
      </c>
      <c r="M811" s="20" t="str">
        <v>51-60</v>
      </c>
      <c r="N811" s="20" t="str">
        <v>1-2 Miles</v>
      </c>
      <c r="O811" s="20">
        <v>2</v>
      </c>
      <c r="P811" s="20" t="str">
        <v>High School</v>
      </c>
      <c r="Q811" s="20" t="str">
        <v>North America</v>
      </c>
      <c r="R811" s="20" t="str">
        <v>Married</v>
      </c>
      <c r="S811" s="20" t="str">
        <v>$10k-30k</v>
      </c>
      <c r="T811" s="89">
        <v>0.43051416737647485</v>
      </c>
      <c r="U811" s="91">
        <v>34.089932130330538</v>
      </c>
      <c r="V811" s="49">
        <v>838</v>
      </c>
      <c r="W811" s="20">
        <v>9</v>
      </c>
      <c r="X811" s="20" t="str">
        <v>Cold</v>
      </c>
      <c r="Y811" s="20">
        <v>0</v>
      </c>
    </row>
    <row r="812" spans="1:25" ht="15" customHeight="1" x14ac:dyDescent="0.25">
      <c r="A812" s="3"/>
      <c r="B812" s="3"/>
      <c r="C812" s="3"/>
      <c r="D812" s="3"/>
      <c r="E812" s="3"/>
      <c r="F812" s="3"/>
      <c r="G812" s="3"/>
      <c r="H812" s="3"/>
      <c r="I812" s="3"/>
      <c r="J812" s="3"/>
      <c r="K812" s="20">
        <v>21417</v>
      </c>
      <c r="L812" s="20" t="str">
        <v>2+ Cars</v>
      </c>
      <c r="M812" s="20" t="str">
        <v>31-40</v>
      </c>
      <c r="N812" s="20" t="str">
        <v>1-2 Miles</v>
      </c>
      <c r="O812" s="20">
        <v>0</v>
      </c>
      <c r="P812" s="20" t="str">
        <v>Partial College</v>
      </c>
      <c r="Q812" s="20" t="str">
        <v>North America</v>
      </c>
      <c r="R812" s="20" t="str">
        <v>Single</v>
      </c>
      <c r="S812" s="20" t="str">
        <v>$40k-60k</v>
      </c>
      <c r="T812" s="89">
        <v>0.48263177917266925</v>
      </c>
      <c r="U812" s="91">
        <v>59.359339961531262</v>
      </c>
      <c r="V812" s="49">
        <v>493</v>
      </c>
      <c r="W812" s="20">
        <v>5</v>
      </c>
      <c r="X812" s="20" t="str">
        <v>Warm</v>
      </c>
      <c r="Y812" s="20">
        <v>1</v>
      </c>
    </row>
    <row r="813" spans="1:25" ht="15" customHeight="1" x14ac:dyDescent="0.25">
      <c r="A813" s="3"/>
      <c r="B813" s="3"/>
      <c r="C813" s="3"/>
      <c r="D813" s="3"/>
      <c r="E813" s="3"/>
      <c r="F813" s="3"/>
      <c r="G813" s="3"/>
      <c r="H813" s="3"/>
      <c r="I813" s="3"/>
      <c r="J813" s="3"/>
      <c r="K813" s="20">
        <v>17668</v>
      </c>
      <c r="L813" s="20" t="str">
        <v>2+ Cars</v>
      </c>
      <c r="M813" s="20" t="str">
        <v>41-50</v>
      </c>
      <c r="N813" s="20" t="str">
        <v>1-2 Miles</v>
      </c>
      <c r="O813" s="20">
        <v>2</v>
      </c>
      <c r="P813" s="20" t="str">
        <v>High School</v>
      </c>
      <c r="Q813" s="20" t="str">
        <v>North America</v>
      </c>
      <c r="R813" s="20" t="str">
        <v>Single</v>
      </c>
      <c r="S813" s="20" t="str">
        <v>$10k-30k</v>
      </c>
      <c r="T813" s="89">
        <v>0.44209084035810209</v>
      </c>
      <c r="U813" s="91">
        <v>39.702922841515466</v>
      </c>
      <c r="V813" s="49">
        <v>778</v>
      </c>
      <c r="W813" s="20">
        <v>8</v>
      </c>
      <c r="X813" s="20" t="str">
        <v>Cold</v>
      </c>
      <c r="Y813" s="20">
        <v>1</v>
      </c>
    </row>
    <row r="814" spans="1:25" ht="15" customHeight="1" x14ac:dyDescent="0.25">
      <c r="A814" s="3"/>
      <c r="B814" s="3"/>
      <c r="C814" s="3"/>
      <c r="D814" s="3"/>
      <c r="E814" s="3"/>
      <c r="F814" s="3"/>
      <c r="G814" s="3"/>
      <c r="H814" s="3"/>
      <c r="I814" s="3"/>
      <c r="J814" s="3"/>
      <c r="K814" s="20">
        <v>27994</v>
      </c>
      <c r="L814" s="20" t="str">
        <v>2+ Cars</v>
      </c>
      <c r="M814" s="20" t="str">
        <v>61+</v>
      </c>
      <c r="N814" s="20" t="str">
        <v>5-10 Miles</v>
      </c>
      <c r="O814" s="20">
        <v>4</v>
      </c>
      <c r="P814" s="20" t="str">
        <v>High School</v>
      </c>
      <c r="Q814" s="20" t="str">
        <v>North America</v>
      </c>
      <c r="R814" s="20" t="str">
        <v>Married</v>
      </c>
      <c r="S814" s="20" t="str">
        <v>$40k-60k</v>
      </c>
      <c r="T814" s="89">
        <v>0.4031096941449604</v>
      </c>
      <c r="U814" s="91">
        <v>20.802776663684089</v>
      </c>
      <c r="V814" s="49">
        <v>961</v>
      </c>
      <c r="W814" s="20">
        <v>10</v>
      </c>
      <c r="X814" s="20" t="str">
        <v>Cold</v>
      </c>
      <c r="Y814" s="20">
        <v>0</v>
      </c>
    </row>
    <row r="815" spans="1:25" ht="15" customHeight="1" x14ac:dyDescent="0.25">
      <c r="A815" s="3"/>
      <c r="B815" s="3"/>
      <c r="C815" s="3"/>
      <c r="D815" s="3"/>
      <c r="E815" s="3"/>
      <c r="F815" s="3"/>
      <c r="G815" s="3"/>
      <c r="H815" s="3"/>
      <c r="I815" s="3"/>
      <c r="J815" s="3"/>
      <c r="K815" s="20">
        <v>20376</v>
      </c>
      <c r="L815" s="20" t="str">
        <v>2+ Cars</v>
      </c>
      <c r="M815" s="20" t="str">
        <v>51-60</v>
      </c>
      <c r="N815" s="20" t="str">
        <v>5-10 Miles</v>
      </c>
      <c r="O815" s="20">
        <v>3</v>
      </c>
      <c r="P815" s="20" t="str">
        <v>Graduate Degree</v>
      </c>
      <c r="Q815" s="20" t="str">
        <v>North America</v>
      </c>
      <c r="R815" s="20" t="str">
        <v>Single</v>
      </c>
      <c r="S815" s="20" t="str">
        <v>$70k-90k</v>
      </c>
      <c r="T815" s="89">
        <v>0.46286465565217766</v>
      </c>
      <c r="U815" s="91">
        <v>49.775180429388314</v>
      </c>
      <c r="V815" s="49">
        <v>623</v>
      </c>
      <c r="W815" s="20">
        <v>7</v>
      </c>
      <c r="X815" s="20" t="str">
        <v>Cold</v>
      </c>
      <c r="Y815" s="20">
        <v>1</v>
      </c>
    </row>
    <row r="816" spans="1:25" ht="15" customHeight="1" x14ac:dyDescent="0.25">
      <c r="A816" s="3"/>
      <c r="B816" s="3"/>
      <c r="C816" s="3"/>
      <c r="D816" s="3"/>
      <c r="E816" s="3"/>
      <c r="F816" s="3"/>
      <c r="G816" s="3"/>
      <c r="H816" s="3"/>
      <c r="I816" s="3"/>
      <c r="J816" s="3"/>
      <c r="K816" s="20">
        <v>25954</v>
      </c>
      <c r="L816" s="20" t="str">
        <v>2+ Cars</v>
      </c>
      <c r="M816" s="20" t="str">
        <v>31-40</v>
      </c>
      <c r="N816" s="20" t="str">
        <v>1-2 Miles</v>
      </c>
      <c r="O816" s="20">
        <v>0</v>
      </c>
      <c r="P816" s="20" t="str">
        <v>Partial College</v>
      </c>
      <c r="Q816" s="20" t="str">
        <v>North America</v>
      </c>
      <c r="R816" s="20" t="str">
        <v>Married</v>
      </c>
      <c r="S816" s="20" t="str">
        <v>$40k-60k</v>
      </c>
      <c r="T816" s="89">
        <v>0.47295373646484412</v>
      </c>
      <c r="U816" s="91">
        <v>54.66690683262744</v>
      </c>
      <c r="V816" s="49">
        <v>559</v>
      </c>
      <c r="W816" s="20">
        <v>6</v>
      </c>
      <c r="X816" s="20" t="str">
        <v>Warm</v>
      </c>
      <c r="Y816" s="20">
        <v>0</v>
      </c>
    </row>
    <row r="817" spans="1:25" ht="15" customHeight="1" x14ac:dyDescent="0.25">
      <c r="A817" s="3"/>
      <c r="B817" s="3"/>
      <c r="C817" s="3"/>
      <c r="D817" s="3"/>
      <c r="E817" s="3"/>
      <c r="F817" s="3"/>
      <c r="G817" s="3"/>
      <c r="H817" s="3"/>
      <c r="I817" s="3"/>
      <c r="J817" s="3"/>
      <c r="K817" s="20">
        <v>15749</v>
      </c>
      <c r="L817" s="20" t="str">
        <v>2+ Cars</v>
      </c>
      <c r="M817" s="20" t="str">
        <v>61+</v>
      </c>
      <c r="N817" s="20" t="str">
        <v>10+ Miles</v>
      </c>
      <c r="O817" s="20">
        <v>4</v>
      </c>
      <c r="P817" s="20" t="str">
        <v>Bachelors</v>
      </c>
      <c r="Q817" s="20" t="str">
        <v>North America</v>
      </c>
      <c r="R817" s="20" t="str">
        <v>Single</v>
      </c>
      <c r="S817" s="20" t="str">
        <v>$70k-90k</v>
      </c>
      <c r="T817" s="89">
        <v>0.4093203148552827</v>
      </c>
      <c r="U817" s="91">
        <v>23.8140180119589</v>
      </c>
      <c r="V817" s="49">
        <v>949</v>
      </c>
      <c r="W817" s="20">
        <v>10</v>
      </c>
      <c r="X817" s="20" t="str">
        <v>Cold</v>
      </c>
      <c r="Y817" s="20">
        <v>0</v>
      </c>
    </row>
    <row r="818" spans="1:25" ht="15" customHeight="1" x14ac:dyDescent="0.25">
      <c r="A818" s="3"/>
      <c r="B818" s="3"/>
      <c r="C818" s="3"/>
      <c r="D818" s="3"/>
      <c r="E818" s="3"/>
      <c r="F818" s="3"/>
      <c r="G818" s="3"/>
      <c r="H818" s="3"/>
      <c r="I818" s="3"/>
      <c r="J818" s="3"/>
      <c r="K818" s="20">
        <v>25899</v>
      </c>
      <c r="L818" s="20" t="str">
        <v>2+ Cars</v>
      </c>
      <c r="M818" s="20" t="str">
        <v>51-60</v>
      </c>
      <c r="N818" s="20" t="str">
        <v>10+ Miles</v>
      </c>
      <c r="O818" s="20">
        <v>2</v>
      </c>
      <c r="P818" s="20" t="str">
        <v>High School</v>
      </c>
      <c r="Q818" s="20" t="str">
        <v>North America</v>
      </c>
      <c r="R818" s="20" t="str">
        <v>Married</v>
      </c>
      <c r="S818" s="20" t="str">
        <v>$70k-90k</v>
      </c>
      <c r="T818" s="89">
        <v>0.41553376892372712</v>
      </c>
      <c r="U818" s="91">
        <v>26.826633123908838</v>
      </c>
      <c r="V818" s="49">
        <v>918</v>
      </c>
      <c r="W818" s="20">
        <v>10</v>
      </c>
      <c r="X818" s="20" t="str">
        <v>Cold</v>
      </c>
      <c r="Y818" s="20">
        <v>0</v>
      </c>
    </row>
    <row r="819" spans="1:25" ht="15" customHeight="1" x14ac:dyDescent="0.25">
      <c r="A819" s="3"/>
      <c r="B819" s="3"/>
      <c r="C819" s="3"/>
      <c r="D819" s="3"/>
      <c r="E819" s="3"/>
      <c r="F819" s="3"/>
      <c r="G819" s="3"/>
      <c r="H819" s="3"/>
      <c r="I819" s="3"/>
      <c r="J819" s="3"/>
      <c r="K819" s="20">
        <v>13351</v>
      </c>
      <c r="L819" s="20" t="str">
        <v>2+ Cars</v>
      </c>
      <c r="M819" s="20" t="str">
        <v>61+</v>
      </c>
      <c r="N819" s="20" t="str">
        <v>1-2 Miles</v>
      </c>
      <c r="O819" s="20">
        <v>4</v>
      </c>
      <c r="P819" s="20" t="str">
        <v>Bachelors</v>
      </c>
      <c r="Q819" s="20" t="str">
        <v>North America</v>
      </c>
      <c r="R819" s="20" t="str">
        <v>Single</v>
      </c>
      <c r="S819" s="20" t="str">
        <v>$70k-90k</v>
      </c>
      <c r="T819" s="89">
        <v>0.43216096328666842</v>
      </c>
      <c r="U819" s="91">
        <v>34.888386933519996</v>
      </c>
      <c r="V819" s="49">
        <v>828</v>
      </c>
      <c r="W819" s="20">
        <v>9</v>
      </c>
      <c r="X819" s="20" t="str">
        <v>Cold</v>
      </c>
      <c r="Y819" s="20">
        <v>1</v>
      </c>
    </row>
    <row r="820" spans="1:25" ht="15" customHeight="1" x14ac:dyDescent="0.25">
      <c r="A820" s="3"/>
      <c r="B820" s="3"/>
      <c r="C820" s="3"/>
      <c r="D820" s="3"/>
      <c r="E820" s="3"/>
      <c r="F820" s="3"/>
      <c r="G820" s="3"/>
      <c r="H820" s="3"/>
      <c r="I820" s="3"/>
      <c r="J820" s="3"/>
      <c r="K820" s="20">
        <v>23333</v>
      </c>
      <c r="L820" s="20" t="str">
        <v>2+ Cars</v>
      </c>
      <c r="M820" s="20" t="str">
        <v>25-30</v>
      </c>
      <c r="N820" s="20" t="str">
        <v>1-2 Miles</v>
      </c>
      <c r="O820" s="20">
        <v>0</v>
      </c>
      <c r="P820" s="20" t="str">
        <v>Partial College</v>
      </c>
      <c r="Q820" s="20" t="str">
        <v>North America</v>
      </c>
      <c r="R820" s="20" t="str">
        <v>Married</v>
      </c>
      <c r="S820" s="20" t="str">
        <v>$40k-60k</v>
      </c>
      <c r="T820" s="89">
        <v>0.43206650859152879</v>
      </c>
      <c r="U820" s="91">
        <v>34.842590241561261</v>
      </c>
      <c r="V820" s="49">
        <v>830</v>
      </c>
      <c r="W820" s="20">
        <v>9</v>
      </c>
      <c r="X820" s="20" t="str">
        <v>Cold</v>
      </c>
      <c r="Y820" s="20">
        <v>0</v>
      </c>
    </row>
    <row r="821" spans="1:25" ht="15" customHeight="1" x14ac:dyDescent="0.25">
      <c r="A821" s="3"/>
      <c r="B821" s="3"/>
      <c r="C821" s="3"/>
      <c r="D821" s="3"/>
      <c r="E821" s="3"/>
      <c r="F821" s="3"/>
      <c r="G821" s="3"/>
      <c r="H821" s="3"/>
      <c r="I821" s="3"/>
      <c r="J821" s="3"/>
      <c r="K821" s="20">
        <v>21660</v>
      </c>
      <c r="L821" s="20" t="str">
        <v>0-1 Cars</v>
      </c>
      <c r="M821" s="20" t="str">
        <v>41-50</v>
      </c>
      <c r="N821" s="20" t="str">
        <v>2-5 Miles</v>
      </c>
      <c r="O821" s="20">
        <v>3</v>
      </c>
      <c r="P821" s="20" t="str">
        <v>Graduate Degree</v>
      </c>
      <c r="Q821" s="20" t="str">
        <v>North America</v>
      </c>
      <c r="R821" s="20" t="str">
        <v>Married</v>
      </c>
      <c r="S821" s="20" t="str">
        <v>$40k-60k</v>
      </c>
      <c r="T821" s="89">
        <v>0.52425881868923152</v>
      </c>
      <c r="U821" s="91">
        <v>79.542356836190294</v>
      </c>
      <c r="V821" s="49">
        <v>224</v>
      </c>
      <c r="W821" s="20">
        <v>3</v>
      </c>
      <c r="X821" s="20" t="str">
        <v>Hot</v>
      </c>
      <c r="Y821" s="20">
        <v>1</v>
      </c>
    </row>
    <row r="822" spans="1:25" ht="15" customHeight="1" x14ac:dyDescent="0.25">
      <c r="A822" s="3"/>
      <c r="B822" s="3"/>
      <c r="C822" s="3"/>
      <c r="D822" s="3"/>
      <c r="E822" s="3"/>
      <c r="F822" s="3"/>
      <c r="G822" s="3"/>
      <c r="H822" s="3"/>
      <c r="I822" s="3"/>
      <c r="J822" s="3"/>
      <c r="K822" s="20">
        <v>17012</v>
      </c>
      <c r="L822" s="20" t="str">
        <v>0-1 Cars</v>
      </c>
      <c r="M822" s="20" t="str">
        <v>41-50</v>
      </c>
      <c r="N822" s="20" t="str">
        <v>2-5 Miles</v>
      </c>
      <c r="O822" s="20">
        <v>3</v>
      </c>
      <c r="P822" s="20" t="str">
        <v>Graduate Degree</v>
      </c>
      <c r="Q822" s="20" t="str">
        <v>North America</v>
      </c>
      <c r="R822" s="20" t="str">
        <v>Married</v>
      </c>
      <c r="S822" s="20" t="str">
        <v>$40k-60k</v>
      </c>
      <c r="T822" s="89">
        <v>0.52425881868923152</v>
      </c>
      <c r="U822" s="91">
        <v>79.542356836190294</v>
      </c>
      <c r="V822" s="49">
        <v>223</v>
      </c>
      <c r="W822" s="20">
        <v>3</v>
      </c>
      <c r="X822" s="20" t="str">
        <v>Hot</v>
      </c>
      <c r="Y822" s="20">
        <v>1</v>
      </c>
    </row>
    <row r="823" spans="1:25" ht="15" customHeight="1" x14ac:dyDescent="0.25">
      <c r="A823" s="3"/>
      <c r="B823" s="3"/>
      <c r="C823" s="3"/>
      <c r="D823" s="3"/>
      <c r="E823" s="3"/>
      <c r="F823" s="3"/>
      <c r="G823" s="3"/>
      <c r="H823" s="3"/>
      <c r="I823" s="3"/>
      <c r="J823" s="3"/>
      <c r="K823" s="20">
        <v>24514</v>
      </c>
      <c r="L823" s="20" t="str">
        <v>0-1 Cars</v>
      </c>
      <c r="M823" s="20" t="str">
        <v>25-30</v>
      </c>
      <c r="N823" s="20" t="str">
        <v>5-10 Miles</v>
      </c>
      <c r="O823" s="20">
        <v>0</v>
      </c>
      <c r="P823" s="20" t="str">
        <v>Partial College</v>
      </c>
      <c r="Q823" s="20" t="str">
        <v>North America</v>
      </c>
      <c r="R823" s="20" t="str">
        <v>Married</v>
      </c>
      <c r="S823" s="20" t="str">
        <v>$40k-60k</v>
      </c>
      <c r="T823" s="89">
        <v>0.46215463327646117</v>
      </c>
      <c r="U823" s="91">
        <v>49.430923577186043</v>
      </c>
      <c r="V823" s="49">
        <v>630</v>
      </c>
      <c r="W823" s="20">
        <v>7</v>
      </c>
      <c r="X823" s="20" t="str">
        <v>Cold</v>
      </c>
      <c r="Y823" s="20">
        <v>0</v>
      </c>
    </row>
    <row r="824" spans="1:25" ht="15" customHeight="1" x14ac:dyDescent="0.25">
      <c r="A824" s="3"/>
      <c r="B824" s="3"/>
      <c r="C824" s="3"/>
      <c r="D824" s="3"/>
      <c r="E824" s="3"/>
      <c r="F824" s="3"/>
      <c r="G824" s="3"/>
      <c r="H824" s="3"/>
      <c r="I824" s="3"/>
      <c r="J824" s="3"/>
      <c r="K824" s="20">
        <v>27505</v>
      </c>
      <c r="L824" s="20" t="str">
        <v>2+ Cars</v>
      </c>
      <c r="M824" s="20" t="str">
        <v>25-30</v>
      </c>
      <c r="N824" s="20" t="str">
        <v>5-10 Miles</v>
      </c>
      <c r="O824" s="20">
        <v>0</v>
      </c>
      <c r="P824" s="20" t="str">
        <v>High School</v>
      </c>
      <c r="Q824" s="20" t="str">
        <v>North America</v>
      </c>
      <c r="R824" s="20" t="str">
        <v>Single</v>
      </c>
      <c r="S824" s="20" t="str">
        <v>$40k-60k</v>
      </c>
      <c r="T824" s="89">
        <v>0.43216555021179781</v>
      </c>
      <c r="U824" s="91">
        <v>34.890610920341167</v>
      </c>
      <c r="V824" s="49">
        <v>827</v>
      </c>
      <c r="W824" s="20">
        <v>9</v>
      </c>
      <c r="X824" s="20" t="str">
        <v>Cold</v>
      </c>
      <c r="Y824" s="20">
        <v>0</v>
      </c>
    </row>
    <row r="825" spans="1:25" ht="15" customHeight="1" x14ac:dyDescent="0.25">
      <c r="A825" s="3"/>
      <c r="B825" s="3"/>
      <c r="C825" s="3"/>
      <c r="D825" s="3"/>
      <c r="E825" s="3"/>
      <c r="F825" s="3"/>
      <c r="G825" s="3"/>
      <c r="H825" s="3"/>
      <c r="I825" s="3"/>
      <c r="J825" s="3"/>
      <c r="K825" s="20">
        <v>29243</v>
      </c>
      <c r="L825" s="20" t="str">
        <v>0-1 Cars</v>
      </c>
      <c r="M825" s="20" t="str">
        <v>41-50</v>
      </c>
      <c r="N825" s="20" t="str">
        <v>5-10 Miles</v>
      </c>
      <c r="O825" s="20">
        <v>1</v>
      </c>
      <c r="P825" s="20" t="str">
        <v>Bachelors</v>
      </c>
      <c r="Q825" s="20" t="str">
        <v>North America</v>
      </c>
      <c r="R825" s="20" t="str">
        <v>Single</v>
      </c>
      <c r="S825" s="20" t="str">
        <v>$100k+</v>
      </c>
      <c r="T825" s="89">
        <v>0.50817223179179627</v>
      </c>
      <c r="U825" s="91">
        <v>71.742718462257287</v>
      </c>
      <c r="V825" s="49">
        <v>334</v>
      </c>
      <c r="W825" s="20">
        <v>4</v>
      </c>
      <c r="X825" s="20" t="str">
        <v>Warm</v>
      </c>
      <c r="Y825" s="20">
        <v>0</v>
      </c>
    </row>
    <row r="826" spans="1:25" ht="15" customHeight="1" x14ac:dyDescent="0.25">
      <c r="A826" s="3"/>
      <c r="B826" s="3"/>
      <c r="C826" s="3"/>
      <c r="D826" s="3"/>
      <c r="E826" s="3"/>
      <c r="F826" s="3"/>
      <c r="G826" s="3"/>
      <c r="H826" s="3"/>
      <c r="I826" s="3"/>
      <c r="J826" s="3"/>
      <c r="K826" s="20">
        <v>26582</v>
      </c>
      <c r="L826" s="20" t="str">
        <v>2+ Cars</v>
      </c>
      <c r="M826" s="20" t="str">
        <v>31-40</v>
      </c>
      <c r="N826" s="20" t="str">
        <v>5-10 Miles</v>
      </c>
      <c r="O826" s="20">
        <v>0</v>
      </c>
      <c r="P826" s="20" t="str">
        <v>Partial College</v>
      </c>
      <c r="Q826" s="20" t="str">
        <v>North America</v>
      </c>
      <c r="R826" s="20" t="str">
        <v>Married</v>
      </c>
      <c r="S826" s="20" t="str">
        <v>$40k-60k</v>
      </c>
      <c r="T826" s="89">
        <v>0.46432841163106436</v>
      </c>
      <c r="U826" s="91">
        <v>50.484887676537106</v>
      </c>
      <c r="V826" s="49">
        <v>616</v>
      </c>
      <c r="W826" s="20">
        <v>7</v>
      </c>
      <c r="X826" s="20" t="str">
        <v>Cold</v>
      </c>
      <c r="Y826" s="20">
        <v>1</v>
      </c>
    </row>
    <row r="827" spans="1:25" ht="15" customHeight="1" x14ac:dyDescent="0.25">
      <c r="A827" s="3"/>
      <c r="B827" s="3"/>
      <c r="C827" s="3"/>
      <c r="D827" s="3"/>
      <c r="E827" s="3"/>
      <c r="F827" s="3"/>
      <c r="G827" s="3"/>
      <c r="H827" s="3"/>
      <c r="I827" s="3"/>
      <c r="J827" s="3"/>
      <c r="K827" s="20">
        <v>14271</v>
      </c>
      <c r="L827" s="20" t="str">
        <v>2+ Cars</v>
      </c>
      <c r="M827" s="20" t="str">
        <v>31-40</v>
      </c>
      <c r="N827" s="20" t="str">
        <v>5-10 Miles</v>
      </c>
      <c r="O827" s="20">
        <v>0</v>
      </c>
      <c r="P827" s="20" t="str">
        <v>High School</v>
      </c>
      <c r="Q827" s="20" t="str">
        <v>North America</v>
      </c>
      <c r="R827" s="20" t="str">
        <v>Married</v>
      </c>
      <c r="S827" s="20" t="str">
        <v>$10k-30k</v>
      </c>
      <c r="T827" s="89">
        <v>0.45254935253803558</v>
      </c>
      <c r="U827" s="91">
        <v>44.773769345683505</v>
      </c>
      <c r="V827" s="49">
        <v>717</v>
      </c>
      <c r="W827" s="20">
        <v>8</v>
      </c>
      <c r="X827" s="20" t="str">
        <v>Cold</v>
      </c>
      <c r="Y827" s="20">
        <v>0</v>
      </c>
    </row>
    <row r="828" spans="1:25" ht="15" customHeight="1" x14ac:dyDescent="0.25">
      <c r="A828" s="3"/>
      <c r="B828" s="3"/>
      <c r="C828" s="3"/>
      <c r="D828" s="3"/>
      <c r="E828" s="3"/>
      <c r="F828" s="3"/>
      <c r="G828" s="3"/>
      <c r="H828" s="3"/>
      <c r="I828" s="3"/>
      <c r="J828" s="3"/>
      <c r="K828" s="20">
        <v>23041</v>
      </c>
      <c r="L828" s="20" t="str">
        <v>0-1 Cars</v>
      </c>
      <c r="M828" s="20" t="str">
        <v>41-50</v>
      </c>
      <c r="N828" s="20" t="str">
        <v>5-10 Miles</v>
      </c>
      <c r="O828" s="20">
        <v>4</v>
      </c>
      <c r="P828" s="20" t="str">
        <v>High School</v>
      </c>
      <c r="Q828" s="20" t="str">
        <v>North America</v>
      </c>
      <c r="R828" s="20" t="str">
        <v>Single</v>
      </c>
      <c r="S828" s="20" t="str">
        <v>$70k-90k</v>
      </c>
      <c r="T828" s="89">
        <v>0.47509740421309876</v>
      </c>
      <c r="U828" s="91">
        <v>55.706271698329012</v>
      </c>
      <c r="V828" s="49">
        <v>536</v>
      </c>
      <c r="W828" s="20">
        <v>6</v>
      </c>
      <c r="X828" s="20" t="str">
        <v>Warm</v>
      </c>
      <c r="Y828" s="20">
        <v>1</v>
      </c>
    </row>
    <row r="829" spans="1:25" ht="15" customHeight="1" x14ac:dyDescent="0.25">
      <c r="A829" s="3"/>
      <c r="B829" s="3"/>
      <c r="C829" s="3"/>
      <c r="D829" s="3"/>
      <c r="E829" s="3"/>
      <c r="F829" s="3"/>
      <c r="G829" s="3"/>
      <c r="H829" s="3"/>
      <c r="I829" s="3"/>
      <c r="J829" s="3"/>
      <c r="K829" s="20">
        <v>29048</v>
      </c>
      <c r="L829" s="20" t="str">
        <v>2+ Cars</v>
      </c>
      <c r="M829" s="20" t="str">
        <v>31-40</v>
      </c>
      <c r="N829" s="20" t="str">
        <v>0-1 Miles</v>
      </c>
      <c r="O829" s="20">
        <v>2</v>
      </c>
      <c r="P829" s="20" t="str">
        <v>Bachelors</v>
      </c>
      <c r="Q829" s="20" t="str">
        <v>North America</v>
      </c>
      <c r="R829" s="20" t="str">
        <v>Single</v>
      </c>
      <c r="S829" s="20" t="str">
        <v>$100k+</v>
      </c>
      <c r="T829" s="89">
        <v>0.49894456861667935</v>
      </c>
      <c r="U829" s="91">
        <v>67.26865343769667</v>
      </c>
      <c r="V829" s="49">
        <v>381</v>
      </c>
      <c r="W829" s="20">
        <v>4</v>
      </c>
      <c r="X829" s="20" t="str">
        <v>Warm</v>
      </c>
      <c r="Y829" s="20">
        <v>1</v>
      </c>
    </row>
    <row r="830" spans="1:25" ht="15" customHeight="1" x14ac:dyDescent="0.25">
      <c r="A830" s="3"/>
      <c r="B830" s="3"/>
      <c r="C830" s="3"/>
      <c r="D830" s="3"/>
      <c r="E830" s="3"/>
      <c r="F830" s="3"/>
      <c r="G830" s="3"/>
      <c r="H830" s="3"/>
      <c r="I830" s="3"/>
      <c r="J830" s="3"/>
      <c r="K830" s="20">
        <v>24433</v>
      </c>
      <c r="L830" s="20" t="str">
        <v>0-1 Cars</v>
      </c>
      <c r="M830" s="20" t="str">
        <v>51-60</v>
      </c>
      <c r="N830" s="20" t="str">
        <v>1-2 Miles</v>
      </c>
      <c r="O830" s="20">
        <v>3</v>
      </c>
      <c r="P830" s="20" t="str">
        <v>High School</v>
      </c>
      <c r="Q830" s="20" t="str">
        <v>North America</v>
      </c>
      <c r="R830" s="20" t="str">
        <v>Married</v>
      </c>
      <c r="S830" s="20" t="str">
        <v>$70k-90k</v>
      </c>
      <c r="T830" s="89">
        <v>0.48830268523145648</v>
      </c>
      <c r="U830" s="91">
        <v>62.108898758129563</v>
      </c>
      <c r="V830" s="49">
        <v>457</v>
      </c>
      <c r="W830" s="20">
        <v>5</v>
      </c>
      <c r="X830" s="20" t="str">
        <v>Warm</v>
      </c>
      <c r="Y830" s="20">
        <v>1</v>
      </c>
    </row>
    <row r="831" spans="1:25" ht="15" customHeight="1" x14ac:dyDescent="0.25">
      <c r="A831" s="3"/>
      <c r="B831" s="3"/>
      <c r="C831" s="3"/>
      <c r="D831" s="3"/>
      <c r="E831" s="3"/>
      <c r="F831" s="3"/>
      <c r="G831" s="3"/>
      <c r="H831" s="3"/>
      <c r="I831" s="3"/>
      <c r="J831" s="3"/>
      <c r="K831" s="20">
        <v>15501</v>
      </c>
      <c r="L831" s="20" t="str">
        <v>0-1 Cars</v>
      </c>
      <c r="M831" s="20" t="str">
        <v>31-40</v>
      </c>
      <c r="N831" s="20" t="str">
        <v>2-5 Miles</v>
      </c>
      <c r="O831" s="20">
        <v>4</v>
      </c>
      <c r="P831" s="20" t="str">
        <v>Graduate Degree</v>
      </c>
      <c r="Q831" s="20" t="str">
        <v>North America</v>
      </c>
      <c r="R831" s="20" t="str">
        <v>Married</v>
      </c>
      <c r="S831" s="20" t="str">
        <v>$70k-90k</v>
      </c>
      <c r="T831" s="89">
        <v>0.52816742339648126</v>
      </c>
      <c r="U831" s="91">
        <v>81.437457609124351</v>
      </c>
      <c r="V831" s="49">
        <v>207</v>
      </c>
      <c r="W831" s="20">
        <v>3</v>
      </c>
      <c r="X831" s="20" t="str">
        <v>Hot</v>
      </c>
      <c r="Y831" s="20">
        <v>1</v>
      </c>
    </row>
    <row r="832" spans="1:25" ht="15" customHeight="1" x14ac:dyDescent="0.25">
      <c r="A832" s="3"/>
      <c r="B832" s="3"/>
      <c r="C832" s="3"/>
      <c r="D832" s="3"/>
      <c r="E832" s="3"/>
      <c r="F832" s="3"/>
      <c r="G832" s="3"/>
      <c r="H832" s="3"/>
      <c r="I832" s="3"/>
      <c r="J832" s="3"/>
      <c r="K832" s="20">
        <v>13911</v>
      </c>
      <c r="L832" s="20" t="str">
        <v>2+ Cars</v>
      </c>
      <c r="M832" s="20" t="str">
        <v>41-50</v>
      </c>
      <c r="N832" s="20" t="str">
        <v>2-5 Miles</v>
      </c>
      <c r="O832" s="20">
        <v>3</v>
      </c>
      <c r="P832" s="20" t="str">
        <v>Bachelors</v>
      </c>
      <c r="Q832" s="20" t="str">
        <v>North America</v>
      </c>
      <c r="R832" s="20" t="str">
        <v>Single</v>
      </c>
      <c r="S832" s="20" t="str">
        <v>$70k-90k</v>
      </c>
      <c r="T832" s="89">
        <v>0.4937486114130597</v>
      </c>
      <c r="U832" s="91">
        <v>64.74937526806039</v>
      </c>
      <c r="V832" s="49">
        <v>427</v>
      </c>
      <c r="W832" s="20">
        <v>5</v>
      </c>
      <c r="X832" s="20" t="str">
        <v>Warm</v>
      </c>
      <c r="Y832" s="20">
        <v>1</v>
      </c>
    </row>
    <row r="833" spans="1:25" ht="15" customHeight="1" x14ac:dyDescent="0.25">
      <c r="A833" s="3"/>
      <c r="B833" s="3"/>
      <c r="C833" s="3"/>
      <c r="D833" s="3"/>
      <c r="E833" s="3"/>
      <c r="F833" s="3"/>
      <c r="G833" s="3"/>
      <c r="H833" s="3"/>
      <c r="I833" s="3"/>
      <c r="J833" s="3"/>
      <c r="K833" s="20">
        <v>20421</v>
      </c>
      <c r="L833" s="20" t="str">
        <v>2+ Cars</v>
      </c>
      <c r="M833" s="20" t="str">
        <v>25-30</v>
      </c>
      <c r="N833" s="20" t="str">
        <v>5-10 Miles</v>
      </c>
      <c r="O833" s="20">
        <v>0</v>
      </c>
      <c r="P833" s="20" t="str">
        <v>Partial High School</v>
      </c>
      <c r="Q833" s="20" t="str">
        <v>North America</v>
      </c>
      <c r="R833" s="20" t="str">
        <v>Single</v>
      </c>
      <c r="S833" s="20" t="str">
        <v>$40k-60k</v>
      </c>
      <c r="T833" s="89">
        <v>0.41014212921756049</v>
      </c>
      <c r="U833" s="91">
        <v>24.212477602992045</v>
      </c>
      <c r="V833" s="49">
        <v>947</v>
      </c>
      <c r="W833" s="20">
        <v>10</v>
      </c>
      <c r="X833" s="20" t="str">
        <v>Cold</v>
      </c>
      <c r="Y833" s="20">
        <v>0</v>
      </c>
    </row>
    <row r="834" spans="1:25" ht="15" customHeight="1" x14ac:dyDescent="0.25">
      <c r="A834" s="3"/>
      <c r="B834" s="3"/>
      <c r="C834" s="3"/>
      <c r="D834" s="3"/>
      <c r="E834" s="3"/>
      <c r="F834" s="3"/>
      <c r="G834" s="3"/>
      <c r="H834" s="3"/>
      <c r="I834" s="3"/>
      <c r="J834" s="3"/>
      <c r="K834" s="20">
        <v>16009</v>
      </c>
      <c r="L834" s="20" t="str">
        <v>2+ Cars</v>
      </c>
      <c r="M834" s="20" t="str">
        <v>61+</v>
      </c>
      <c r="N834" s="20" t="str">
        <v>0-1 Miles</v>
      </c>
      <c r="O834" s="20">
        <v>1</v>
      </c>
      <c r="P834" s="20" t="str">
        <v>Graduate Degree</v>
      </c>
      <c r="Q834" s="20" t="str">
        <v>North America</v>
      </c>
      <c r="R834" s="20" t="str">
        <v>Single</v>
      </c>
      <c r="S834" s="20" t="str">
        <v>$100k+</v>
      </c>
      <c r="T834" s="89">
        <v>0.46313557085161722</v>
      </c>
      <c r="U834" s="91">
        <v>49.906534619006216</v>
      </c>
      <c r="V834" s="49">
        <v>621</v>
      </c>
      <c r="W834" s="20">
        <v>7</v>
      </c>
      <c r="X834" s="20" t="str">
        <v>Cold</v>
      </c>
      <c r="Y834" s="20">
        <v>0</v>
      </c>
    </row>
    <row r="835" spans="1:25" ht="15" customHeight="1" x14ac:dyDescent="0.25">
      <c r="A835" s="3"/>
      <c r="B835" s="3"/>
      <c r="C835" s="3"/>
      <c r="D835" s="3"/>
      <c r="E835" s="3"/>
      <c r="F835" s="3"/>
      <c r="G835" s="3"/>
      <c r="H835" s="3"/>
      <c r="I835" s="3"/>
      <c r="J835" s="3"/>
      <c r="K835" s="20">
        <v>18411</v>
      </c>
      <c r="L835" s="20" t="str">
        <v>2+ Cars</v>
      </c>
      <c r="M835" s="20" t="str">
        <v>51-60</v>
      </c>
      <c r="N835" s="20" t="str">
        <v>5-10 Miles</v>
      </c>
      <c r="O835" s="20">
        <v>2</v>
      </c>
      <c r="P835" s="20" t="str">
        <v>High School</v>
      </c>
      <c r="Q835" s="20" t="str">
        <v>North America</v>
      </c>
      <c r="R835" s="20" t="str">
        <v>Married</v>
      </c>
      <c r="S835" s="20" t="str">
        <v>$40k-60k</v>
      </c>
      <c r="T835" s="89">
        <v>0.43271422538194759</v>
      </c>
      <c r="U835" s="91">
        <v>35.156638011060252</v>
      </c>
      <c r="V835" s="49">
        <v>819</v>
      </c>
      <c r="W835" s="20">
        <v>9</v>
      </c>
      <c r="X835" s="20" t="str">
        <v>Cold</v>
      </c>
      <c r="Y835" s="20">
        <v>0</v>
      </c>
    </row>
    <row r="836" spans="1:25" ht="15" customHeight="1" x14ac:dyDescent="0.25">
      <c r="A836" s="3"/>
      <c r="B836" s="3"/>
      <c r="C836" s="3"/>
      <c r="D836" s="3"/>
      <c r="E836" s="3"/>
      <c r="F836" s="3"/>
      <c r="G836" s="3"/>
      <c r="H836" s="3"/>
      <c r="I836" s="3"/>
      <c r="J836" s="3"/>
      <c r="K836" s="20">
        <v>19163</v>
      </c>
      <c r="L836" s="20" t="str">
        <v>2+ Cars</v>
      </c>
      <c r="M836" s="20" t="str">
        <v>41-50</v>
      </c>
      <c r="N836" s="20" t="str">
        <v>0-1 Miles</v>
      </c>
      <c r="O836" s="20">
        <v>4</v>
      </c>
      <c r="P836" s="20" t="str">
        <v>Bachelors</v>
      </c>
      <c r="Q836" s="20" t="str">
        <v>North America</v>
      </c>
      <c r="R836" s="20" t="str">
        <v>Married</v>
      </c>
      <c r="S836" s="20" t="str">
        <v>$70k-90k</v>
      </c>
      <c r="T836" s="89">
        <v>0.46214741812335736</v>
      </c>
      <c r="U836" s="91">
        <v>49.427425284765086</v>
      </c>
      <c r="V836" s="49">
        <v>634</v>
      </c>
      <c r="W836" s="20">
        <v>7</v>
      </c>
      <c r="X836" s="20" t="str">
        <v>Cold</v>
      </c>
      <c r="Y836" s="20">
        <v>1</v>
      </c>
    </row>
    <row r="837" spans="1:25" ht="15" customHeight="1" x14ac:dyDescent="0.25">
      <c r="A837" s="3"/>
      <c r="B837" s="3"/>
      <c r="C837" s="3"/>
      <c r="D837" s="3"/>
      <c r="E837" s="3"/>
      <c r="F837" s="3"/>
      <c r="G837" s="3"/>
      <c r="H837" s="3"/>
      <c r="I837" s="3"/>
      <c r="J837" s="3"/>
      <c r="K837" s="20">
        <v>18572</v>
      </c>
      <c r="L837" s="20" t="str">
        <v>0-1 Cars</v>
      </c>
      <c r="M837" s="20" t="str">
        <v>31-40</v>
      </c>
      <c r="N837" s="20" t="str">
        <v>0-1 Miles</v>
      </c>
      <c r="O837" s="20">
        <v>0</v>
      </c>
      <c r="P837" s="20" t="str">
        <v>Graduate Degree</v>
      </c>
      <c r="Q837" s="20" t="str">
        <v>North America</v>
      </c>
      <c r="R837" s="20" t="str">
        <v>Married</v>
      </c>
      <c r="S837" s="20" t="str">
        <v>$40k-60k</v>
      </c>
      <c r="T837" s="89">
        <v>0.53603935863746655</v>
      </c>
      <c r="U837" s="91">
        <v>85.254193164911712</v>
      </c>
      <c r="V837" s="49">
        <v>138</v>
      </c>
      <c r="W837" s="20">
        <v>2</v>
      </c>
      <c r="X837" s="20" t="str">
        <v>Hot</v>
      </c>
      <c r="Y837" s="20">
        <v>0</v>
      </c>
    </row>
    <row r="838" spans="1:25" ht="15" customHeight="1" x14ac:dyDescent="0.25">
      <c r="A838" s="3"/>
      <c r="B838" s="3"/>
      <c r="C838" s="3"/>
      <c r="D838" s="3"/>
      <c r="E838" s="3"/>
      <c r="F838" s="3"/>
      <c r="G838" s="3"/>
      <c r="H838" s="3"/>
      <c r="I838" s="3"/>
      <c r="J838" s="3"/>
      <c r="K838" s="20">
        <v>27540</v>
      </c>
      <c r="L838" s="20" t="str">
        <v>0-1 Cars</v>
      </c>
      <c r="M838" s="20" t="str">
        <v>31-40</v>
      </c>
      <c r="N838" s="20" t="str">
        <v>0-1 Miles</v>
      </c>
      <c r="O838" s="20">
        <v>0</v>
      </c>
      <c r="P838" s="20" t="str">
        <v>Bachelors</v>
      </c>
      <c r="Q838" s="20" t="str">
        <v>North America</v>
      </c>
      <c r="R838" s="20" t="str">
        <v>Single</v>
      </c>
      <c r="S838" s="20" t="str">
        <v>$70k-90k</v>
      </c>
      <c r="T838" s="89">
        <v>0.54424260088000675</v>
      </c>
      <c r="U838" s="91">
        <v>89.231564088496867</v>
      </c>
      <c r="V838" s="49">
        <v>81</v>
      </c>
      <c r="W838" s="20">
        <v>1</v>
      </c>
      <c r="X838" s="20" t="str">
        <v>Hot</v>
      </c>
      <c r="Y838" s="20">
        <v>1</v>
      </c>
    </row>
    <row r="839" spans="1:25" ht="15" customHeight="1" x14ac:dyDescent="0.25">
      <c r="A839" s="3"/>
      <c r="B839" s="3"/>
      <c r="C839" s="3"/>
      <c r="D839" s="3"/>
      <c r="E839" s="3"/>
      <c r="F839" s="3"/>
      <c r="G839" s="3"/>
      <c r="H839" s="3"/>
      <c r="I839" s="3"/>
      <c r="J839" s="3"/>
      <c r="K839" s="20">
        <v>19889</v>
      </c>
      <c r="L839" s="20" t="str">
        <v>2+ Cars</v>
      </c>
      <c r="M839" s="20" t="str">
        <v>51-60</v>
      </c>
      <c r="N839" s="20" t="str">
        <v>2-5 Miles</v>
      </c>
      <c r="O839" s="20">
        <v>2</v>
      </c>
      <c r="P839" s="20" t="str">
        <v>Partial High School</v>
      </c>
      <c r="Q839" s="20" t="str">
        <v>North America</v>
      </c>
      <c r="R839" s="20" t="str">
        <v>Single</v>
      </c>
      <c r="S839" s="20" t="str">
        <v>$70k-90k</v>
      </c>
      <c r="T839" s="89">
        <v>0.44489870732667131</v>
      </c>
      <c r="U839" s="91">
        <v>41.064327040963335</v>
      </c>
      <c r="V839" s="49">
        <v>756</v>
      </c>
      <c r="W839" s="20">
        <v>8</v>
      </c>
      <c r="X839" s="20" t="str">
        <v>Cold</v>
      </c>
      <c r="Y839" s="20">
        <v>1</v>
      </c>
    </row>
    <row r="840" spans="1:25" ht="15" customHeight="1" x14ac:dyDescent="0.25">
      <c r="A840" s="3"/>
      <c r="B840" s="3"/>
      <c r="C840" s="3"/>
      <c r="D840" s="3"/>
      <c r="E840" s="3"/>
      <c r="F840" s="3"/>
      <c r="G840" s="3"/>
      <c r="H840" s="3"/>
      <c r="I840" s="3"/>
      <c r="J840" s="3"/>
      <c r="K840" s="20">
        <v>12922</v>
      </c>
      <c r="L840" s="20" t="str">
        <v>0-1 Cars</v>
      </c>
      <c r="M840" s="20" t="str">
        <v>31-40</v>
      </c>
      <c r="N840" s="20" t="str">
        <v>2-5 Miles</v>
      </c>
      <c r="O840" s="20">
        <v>3</v>
      </c>
      <c r="P840" s="20" t="str">
        <v>Bachelors</v>
      </c>
      <c r="Q840" s="20" t="str">
        <v>North America</v>
      </c>
      <c r="R840" s="20" t="str">
        <v>Single</v>
      </c>
      <c r="S840" s="20" t="str">
        <v>$40k-60k</v>
      </c>
      <c r="T840" s="89">
        <v>0.55845756052645568</v>
      </c>
      <c r="U840" s="91">
        <v>96.123737390965957</v>
      </c>
      <c r="V840" s="49">
        <v>9</v>
      </c>
      <c r="W840" s="20">
        <v>1</v>
      </c>
      <c r="X840" s="20" t="str">
        <v>Hot</v>
      </c>
      <c r="Y840" s="20">
        <v>1</v>
      </c>
    </row>
    <row r="841" spans="1:25" ht="15" customHeight="1" x14ac:dyDescent="0.25">
      <c r="A841" s="3"/>
      <c r="B841" s="3"/>
      <c r="C841" s="3"/>
      <c r="D841" s="3"/>
      <c r="E841" s="3"/>
      <c r="F841" s="3"/>
      <c r="G841" s="3"/>
      <c r="H841" s="3"/>
      <c r="I841" s="3"/>
      <c r="J841" s="3"/>
      <c r="K841" s="20">
        <v>18891</v>
      </c>
      <c r="L841" s="20" t="str">
        <v>2+ Cars</v>
      </c>
      <c r="M841" s="20" t="str">
        <v>25-30</v>
      </c>
      <c r="N841" s="20" t="str">
        <v>5-10 Miles</v>
      </c>
      <c r="O841" s="20">
        <v>0</v>
      </c>
      <c r="P841" s="20" t="str">
        <v>Partial College</v>
      </c>
      <c r="Q841" s="20" t="str">
        <v>North America</v>
      </c>
      <c r="R841" s="20" t="str">
        <v>Married</v>
      </c>
      <c r="S841" s="20" t="str">
        <v>$40k-60k</v>
      </c>
      <c r="T841" s="89">
        <v>0.42344118375774892</v>
      </c>
      <c r="U841" s="91">
        <v>30.660571085470878</v>
      </c>
      <c r="V841" s="49">
        <v>863</v>
      </c>
      <c r="W841" s="20">
        <v>9</v>
      </c>
      <c r="X841" s="20" t="str">
        <v>Cold</v>
      </c>
      <c r="Y841" s="20">
        <v>0</v>
      </c>
    </row>
    <row r="842" spans="1:25" ht="15" customHeight="1" x14ac:dyDescent="0.25">
      <c r="A842" s="3"/>
      <c r="B842" s="3"/>
      <c r="C842" s="3"/>
      <c r="D842" s="3"/>
      <c r="E842" s="3"/>
      <c r="F842" s="3"/>
      <c r="G842" s="3"/>
      <c r="H842" s="3"/>
      <c r="I842" s="3"/>
      <c r="J842" s="3"/>
      <c r="K842" s="20">
        <v>16773</v>
      </c>
      <c r="L842" s="20" t="str">
        <v>0-1 Cars</v>
      </c>
      <c r="M842" s="20" t="str">
        <v>31-40</v>
      </c>
      <c r="N842" s="20" t="str">
        <v>0-1 Miles</v>
      </c>
      <c r="O842" s="20">
        <v>1</v>
      </c>
      <c r="P842" s="20" t="str">
        <v>Graduate Degree</v>
      </c>
      <c r="Q842" s="20" t="str">
        <v>North America</v>
      </c>
      <c r="R842" s="20" t="str">
        <v>Married</v>
      </c>
      <c r="S842" s="20" t="str">
        <v>$40k-60k</v>
      </c>
      <c r="T842" s="89">
        <v>0.54558089771654972</v>
      </c>
      <c r="U842" s="91">
        <v>89.880442028147186</v>
      </c>
      <c r="V842" s="49">
        <v>71</v>
      </c>
      <c r="W842" s="20">
        <v>1</v>
      </c>
      <c r="X842" s="20" t="str">
        <v>Hot</v>
      </c>
      <c r="Y842" s="20">
        <v>0</v>
      </c>
    </row>
    <row r="843" spans="1:25" ht="15" customHeight="1" x14ac:dyDescent="0.25">
      <c r="A843" s="3"/>
      <c r="B843" s="3"/>
      <c r="C843" s="3"/>
      <c r="D843" s="3"/>
      <c r="E843" s="3"/>
      <c r="F843" s="3"/>
      <c r="G843" s="3"/>
      <c r="H843" s="3"/>
      <c r="I843" s="3"/>
      <c r="J843" s="3"/>
      <c r="K843" s="20">
        <v>19143</v>
      </c>
      <c r="L843" s="20" t="str">
        <v>2+ Cars</v>
      </c>
      <c r="M843" s="20" t="str">
        <v>41-50</v>
      </c>
      <c r="N843" s="20" t="str">
        <v>2-5 Miles</v>
      </c>
      <c r="O843" s="20">
        <v>3</v>
      </c>
      <c r="P843" s="20" t="str">
        <v>Bachelors</v>
      </c>
      <c r="Q843" s="20" t="str">
        <v>North America</v>
      </c>
      <c r="R843" s="20" t="str">
        <v>Single</v>
      </c>
      <c r="S843" s="20" t="str">
        <v>$70k-90k</v>
      </c>
      <c r="T843" s="89">
        <v>0.4937486114130597</v>
      </c>
      <c r="U843" s="91">
        <v>64.74937526806039</v>
      </c>
      <c r="V843" s="49">
        <v>428</v>
      </c>
      <c r="W843" s="20">
        <v>5</v>
      </c>
      <c r="X843" s="20" t="str">
        <v>Warm</v>
      </c>
      <c r="Y843" s="20">
        <v>1</v>
      </c>
    </row>
    <row r="844" spans="1:25" ht="15" customHeight="1" x14ac:dyDescent="0.25">
      <c r="A844" s="3"/>
      <c r="B844" s="3"/>
      <c r="C844" s="3"/>
      <c r="D844" s="3"/>
      <c r="E844" s="3"/>
      <c r="F844" s="3"/>
      <c r="G844" s="3"/>
      <c r="H844" s="3"/>
      <c r="I844" s="3"/>
      <c r="J844" s="3"/>
      <c r="K844" s="20">
        <v>23882</v>
      </c>
      <c r="L844" s="20" t="str">
        <v>0-1 Cars</v>
      </c>
      <c r="M844" s="20" t="str">
        <v>31-40</v>
      </c>
      <c r="N844" s="20" t="str">
        <v>0-1 Miles</v>
      </c>
      <c r="O844" s="20">
        <v>3</v>
      </c>
      <c r="P844" s="20" t="str">
        <v>Graduate Degree</v>
      </c>
      <c r="Q844" s="20" t="str">
        <v>North America</v>
      </c>
      <c r="R844" s="20" t="str">
        <v>Single</v>
      </c>
      <c r="S844" s="20" t="str">
        <v>$70k-90k</v>
      </c>
      <c r="T844" s="89">
        <v>0.54823557385483945</v>
      </c>
      <c r="U844" s="91">
        <v>91.167571113426931</v>
      </c>
      <c r="V844" s="49">
        <v>52</v>
      </c>
      <c r="W844" s="20">
        <v>1</v>
      </c>
      <c r="X844" s="20" t="str">
        <v>Hot</v>
      </c>
      <c r="Y844" s="20">
        <v>1</v>
      </c>
    </row>
    <row r="845" spans="1:25" ht="15" customHeight="1" x14ac:dyDescent="0.25">
      <c r="A845" s="3"/>
      <c r="B845" s="3"/>
      <c r="C845" s="3"/>
      <c r="D845" s="3"/>
      <c r="E845" s="3"/>
      <c r="F845" s="3"/>
      <c r="G845" s="3"/>
      <c r="H845" s="3"/>
      <c r="I845" s="3"/>
      <c r="J845" s="3"/>
      <c r="K845" s="20">
        <v>11233</v>
      </c>
      <c r="L845" s="20" t="str">
        <v>2+ Cars</v>
      </c>
      <c r="M845" s="20" t="str">
        <v>51-60</v>
      </c>
      <c r="N845" s="20" t="str">
        <v>10+ Miles</v>
      </c>
      <c r="O845" s="20">
        <v>4</v>
      </c>
      <c r="P845" s="20" t="str">
        <v>Partial College</v>
      </c>
      <c r="Q845" s="20" t="str">
        <v>North America</v>
      </c>
      <c r="R845" s="20" t="str">
        <v>Married</v>
      </c>
      <c r="S845" s="20" t="str">
        <v>$70k-90k</v>
      </c>
      <c r="T845" s="89">
        <v>0.41154563436892971</v>
      </c>
      <c r="U845" s="91">
        <v>24.892972023991774</v>
      </c>
      <c r="V845" s="49">
        <v>941</v>
      </c>
      <c r="W845" s="20">
        <v>10</v>
      </c>
      <c r="X845" s="20" t="str">
        <v>Cold</v>
      </c>
      <c r="Y845" s="20">
        <v>0</v>
      </c>
    </row>
    <row r="846" spans="1:25" ht="15" customHeight="1" x14ac:dyDescent="0.25">
      <c r="A846" s="3"/>
      <c r="B846" s="3"/>
      <c r="C846" s="3"/>
      <c r="D846" s="3"/>
      <c r="E846" s="3"/>
      <c r="F846" s="3"/>
      <c r="G846" s="3"/>
      <c r="H846" s="3"/>
      <c r="I846" s="3"/>
      <c r="J846" s="3"/>
      <c r="K846" s="20">
        <v>12056</v>
      </c>
      <c r="L846" s="20" t="str">
        <v>2+ Cars</v>
      </c>
      <c r="M846" s="20" t="str">
        <v>61+</v>
      </c>
      <c r="N846" s="20" t="str">
        <v>5-10 Miles</v>
      </c>
      <c r="O846" s="20">
        <v>2</v>
      </c>
      <c r="P846" s="20" t="str">
        <v>Graduate Degree</v>
      </c>
      <c r="Q846" s="20" t="str">
        <v>North America</v>
      </c>
      <c r="R846" s="20" t="str">
        <v>Married</v>
      </c>
      <c r="S846" s="20" t="str">
        <v>$100k+</v>
      </c>
      <c r="T846" s="89">
        <v>0.41645600440116143</v>
      </c>
      <c r="U846" s="91">
        <v>27.273782246681794</v>
      </c>
      <c r="V846" s="49">
        <v>913</v>
      </c>
      <c r="W846" s="20">
        <v>10</v>
      </c>
      <c r="X846" s="20" t="str">
        <v>Cold</v>
      </c>
      <c r="Y846" s="20">
        <v>0</v>
      </c>
    </row>
    <row r="847" spans="1:25" ht="15" customHeight="1" x14ac:dyDescent="0.25">
      <c r="A847" s="3"/>
      <c r="B847" s="3"/>
      <c r="C847" s="3"/>
      <c r="D847" s="3"/>
      <c r="E847" s="3"/>
      <c r="F847" s="3"/>
      <c r="G847" s="3"/>
      <c r="H847" s="3"/>
      <c r="I847" s="3"/>
      <c r="J847" s="3"/>
      <c r="K847" s="20">
        <v>15555</v>
      </c>
      <c r="L847" s="20" t="str">
        <v>0-1 Cars</v>
      </c>
      <c r="M847" s="20" t="str">
        <v>41-50</v>
      </c>
      <c r="N847" s="20" t="str">
        <v>2-5 Miles</v>
      </c>
      <c r="O847" s="20">
        <v>1</v>
      </c>
      <c r="P847" s="20" t="str">
        <v>Partial College</v>
      </c>
      <c r="Q847" s="20" t="str">
        <v>North America</v>
      </c>
      <c r="R847" s="20" t="str">
        <v>Married</v>
      </c>
      <c r="S847" s="20" t="str">
        <v>$40k-60k</v>
      </c>
      <c r="T847" s="89">
        <v>0.5170480265865407</v>
      </c>
      <c r="U847" s="91">
        <v>76.046178862006911</v>
      </c>
      <c r="V847" s="49">
        <v>273</v>
      </c>
      <c r="W847" s="20">
        <v>3</v>
      </c>
      <c r="X847" s="20" t="str">
        <v>Hot</v>
      </c>
      <c r="Y847" s="20">
        <v>1</v>
      </c>
    </row>
    <row r="848" spans="1:25" ht="15" customHeight="1" x14ac:dyDescent="0.25">
      <c r="A848" s="3"/>
      <c r="B848" s="3"/>
      <c r="C848" s="3"/>
      <c r="D848" s="3"/>
      <c r="E848" s="3"/>
      <c r="F848" s="3"/>
      <c r="G848" s="3"/>
      <c r="H848" s="3"/>
      <c r="I848" s="3"/>
      <c r="J848" s="3"/>
      <c r="K848" s="20">
        <v>18423</v>
      </c>
      <c r="L848" s="20" t="str">
        <v>2+ Cars</v>
      </c>
      <c r="M848" s="20" t="str">
        <v>51-60</v>
      </c>
      <c r="N848" s="20" t="str">
        <v>1-2 Miles</v>
      </c>
      <c r="O848" s="20">
        <v>2</v>
      </c>
      <c r="P848" s="20" t="str">
        <v>Partial High School</v>
      </c>
      <c r="Q848" s="20" t="str">
        <v>North America</v>
      </c>
      <c r="R848" s="20" t="str">
        <v>Single</v>
      </c>
      <c r="S848" s="20" t="str">
        <v>$70k-90k</v>
      </c>
      <c r="T848" s="89">
        <v>0.42602903906870065</v>
      </c>
      <c r="U848" s="91">
        <v>31.915301857024637</v>
      </c>
      <c r="V848" s="49">
        <v>854</v>
      </c>
      <c r="W848" s="20">
        <v>9</v>
      </c>
      <c r="X848" s="20" t="str">
        <v>Cold</v>
      </c>
      <c r="Y848" s="20">
        <v>0</v>
      </c>
    </row>
    <row r="849" spans="1:25" ht="15" customHeight="1" x14ac:dyDescent="0.25">
      <c r="A849" s="3"/>
      <c r="B849" s="3"/>
      <c r="C849" s="3"/>
      <c r="D849" s="3"/>
      <c r="E849" s="3"/>
      <c r="F849" s="3"/>
      <c r="G849" s="3"/>
      <c r="H849" s="3"/>
      <c r="I849" s="3"/>
      <c r="J849" s="3"/>
      <c r="K849" s="20">
        <v>22743</v>
      </c>
      <c r="L849" s="20" t="str">
        <v>2+ Cars</v>
      </c>
      <c r="M849" s="20" t="str">
        <v>51-60</v>
      </c>
      <c r="N849" s="20" t="str">
        <v>10+ Miles</v>
      </c>
      <c r="O849" s="20">
        <v>5</v>
      </c>
      <c r="P849" s="20" t="str">
        <v>High School</v>
      </c>
      <c r="Q849" s="20" t="str">
        <v>North America</v>
      </c>
      <c r="R849" s="20" t="str">
        <v>Married</v>
      </c>
      <c r="S849" s="20" t="str">
        <v>$40k-60k</v>
      </c>
      <c r="T849" s="89">
        <v>0.38486713378154841</v>
      </c>
      <c r="U849" s="91">
        <v>11.957806953425507</v>
      </c>
      <c r="V849" s="49">
        <v>993</v>
      </c>
      <c r="W849" s="20">
        <v>10</v>
      </c>
      <c r="X849" s="20" t="str">
        <v>Cold</v>
      </c>
      <c r="Y849" s="20">
        <v>0</v>
      </c>
    </row>
    <row r="850" spans="1:25" ht="15" customHeight="1" x14ac:dyDescent="0.25">
      <c r="A850" s="3"/>
      <c r="B850" s="3"/>
      <c r="C850" s="3"/>
      <c r="D850" s="3"/>
      <c r="E850" s="3"/>
      <c r="F850" s="3"/>
      <c r="G850" s="3"/>
      <c r="H850" s="3"/>
      <c r="I850" s="3"/>
      <c r="J850" s="3"/>
      <c r="K850" s="20">
        <v>25343</v>
      </c>
      <c r="L850" s="20" t="str">
        <v>2+ Cars</v>
      </c>
      <c r="M850" s="20" t="str">
        <v>41-50</v>
      </c>
      <c r="N850" s="20" t="str">
        <v>1-2 Miles</v>
      </c>
      <c r="O850" s="20">
        <v>3</v>
      </c>
      <c r="P850" s="20" t="str">
        <v>Partial High School</v>
      </c>
      <c r="Q850" s="20" t="str">
        <v>North America</v>
      </c>
      <c r="R850" s="20" t="str">
        <v>Single</v>
      </c>
      <c r="S850" s="20" t="str">
        <v>$10k-30k</v>
      </c>
      <c r="T850" s="89">
        <v>0.43128223772149626</v>
      </c>
      <c r="U850" s="91">
        <v>34.462333745110868</v>
      </c>
      <c r="V850" s="49">
        <v>831</v>
      </c>
      <c r="W850" s="20">
        <v>9</v>
      </c>
      <c r="X850" s="20" t="str">
        <v>Cold</v>
      </c>
      <c r="Y850" s="20">
        <v>0</v>
      </c>
    </row>
    <row r="851" spans="1:25" ht="15" customHeight="1" x14ac:dyDescent="0.25">
      <c r="A851" s="3"/>
      <c r="B851" s="3"/>
      <c r="C851" s="3"/>
      <c r="D851" s="3"/>
      <c r="E851" s="3"/>
      <c r="F851" s="3"/>
      <c r="G851" s="3"/>
      <c r="H851" s="3"/>
      <c r="I851" s="3"/>
      <c r="J851" s="3"/>
      <c r="K851" s="20">
        <v>13390</v>
      </c>
      <c r="L851" s="20" t="str">
        <v>0-1 Cars</v>
      </c>
      <c r="M851" s="20" t="str">
        <v>51-60</v>
      </c>
      <c r="N851" s="20" t="str">
        <v>1-2 Miles</v>
      </c>
      <c r="O851" s="20">
        <v>4</v>
      </c>
      <c r="P851" s="20" t="str">
        <v>Partial College</v>
      </c>
      <c r="Q851" s="20" t="str">
        <v>North America</v>
      </c>
      <c r="R851" s="20" t="str">
        <v>Married</v>
      </c>
      <c r="S851" s="20" t="str">
        <v>$70k-90k</v>
      </c>
      <c r="T851" s="89">
        <v>0.47309973231902763</v>
      </c>
      <c r="U851" s="91">
        <v>54.737693437268</v>
      </c>
      <c r="V851" s="49">
        <v>554</v>
      </c>
      <c r="W851" s="20">
        <v>6</v>
      </c>
      <c r="X851" s="20" t="str">
        <v>Warm</v>
      </c>
      <c r="Y851" s="20">
        <v>0</v>
      </c>
    </row>
    <row r="852" spans="1:25" ht="15" customHeight="1" x14ac:dyDescent="0.25">
      <c r="A852" s="3"/>
      <c r="B852" s="3"/>
      <c r="C852" s="3"/>
      <c r="D852" s="3"/>
      <c r="E852" s="3"/>
      <c r="F852" s="3"/>
      <c r="G852" s="3"/>
      <c r="H852" s="3"/>
      <c r="I852" s="3"/>
      <c r="J852" s="3"/>
      <c r="K852" s="20">
        <v>17482</v>
      </c>
      <c r="L852" s="20" t="str">
        <v>2+ Cars</v>
      </c>
      <c r="M852" s="20" t="str">
        <v>25-30</v>
      </c>
      <c r="N852" s="20" t="str">
        <v>5-10 Miles</v>
      </c>
      <c r="O852" s="20">
        <v>0</v>
      </c>
      <c r="P852" s="20" t="str">
        <v>Partial High School</v>
      </c>
      <c r="Q852" s="20" t="str">
        <v>North America</v>
      </c>
      <c r="R852" s="20" t="str">
        <v>Single</v>
      </c>
      <c r="S852" s="20" t="str">
        <v>$40k-60k</v>
      </c>
      <c r="T852" s="89">
        <v>0.41014212921756049</v>
      </c>
      <c r="U852" s="91">
        <v>24.212477602992045</v>
      </c>
      <c r="V852" s="49">
        <v>946</v>
      </c>
      <c r="W852" s="20">
        <v>10</v>
      </c>
      <c r="X852" s="20" t="str">
        <v>Cold</v>
      </c>
      <c r="Y852" s="20">
        <v>0</v>
      </c>
    </row>
    <row r="853" spans="1:25" ht="15" customHeight="1" x14ac:dyDescent="0.25">
      <c r="A853" s="3"/>
      <c r="B853" s="3"/>
      <c r="C853" s="3"/>
      <c r="D853" s="3"/>
      <c r="E853" s="3"/>
      <c r="F853" s="3"/>
      <c r="G853" s="3"/>
      <c r="H853" s="3"/>
      <c r="I853" s="3"/>
      <c r="J853" s="3"/>
      <c r="K853" s="20">
        <v>13176</v>
      </c>
      <c r="L853" s="20" t="str">
        <v>2+ Cars</v>
      </c>
      <c r="M853" s="20" t="str">
        <v>31-40</v>
      </c>
      <c r="N853" s="20" t="str">
        <v>0-1 Miles</v>
      </c>
      <c r="O853" s="20">
        <v>0</v>
      </c>
      <c r="P853" s="20" t="str">
        <v>Graduate Degree</v>
      </c>
      <c r="Q853" s="20" t="str">
        <v>North America</v>
      </c>
      <c r="R853" s="20" t="str">
        <v>Single</v>
      </c>
      <c r="S853" s="20" t="str">
        <v>$100k+</v>
      </c>
      <c r="T853" s="89">
        <v>0.50318574920881887</v>
      </c>
      <c r="U853" s="91">
        <v>69.325004800987116</v>
      </c>
      <c r="V853" s="49">
        <v>347</v>
      </c>
      <c r="W853" s="20">
        <v>4</v>
      </c>
      <c r="X853" s="20" t="str">
        <v>Warm</v>
      </c>
      <c r="Y853" s="20">
        <v>1</v>
      </c>
    </row>
    <row r="854" spans="1:25" ht="15" customHeight="1" x14ac:dyDescent="0.25">
      <c r="A854" s="3"/>
      <c r="B854" s="3"/>
      <c r="C854" s="3"/>
      <c r="D854" s="3"/>
      <c r="E854" s="3"/>
      <c r="F854" s="3"/>
      <c r="G854" s="3"/>
      <c r="H854" s="3"/>
      <c r="I854" s="3"/>
      <c r="J854" s="3"/>
      <c r="K854" s="20">
        <v>20504</v>
      </c>
      <c r="L854" s="20" t="str">
        <v>2+ Cars</v>
      </c>
      <c r="M854" s="20" t="str">
        <v>51-60</v>
      </c>
      <c r="N854" s="20" t="str">
        <v>2-5 Miles</v>
      </c>
      <c r="O854" s="20">
        <v>5</v>
      </c>
      <c r="P854" s="20" t="str">
        <v>High School</v>
      </c>
      <c r="Q854" s="20" t="str">
        <v>North America</v>
      </c>
      <c r="R854" s="20" t="str">
        <v>Married</v>
      </c>
      <c r="S854" s="20" t="str">
        <v>$40k-60k</v>
      </c>
      <c r="T854" s="89">
        <v>0.42657745047090467</v>
      </c>
      <c r="U854" s="91">
        <v>32.181201058925247</v>
      </c>
      <c r="V854" s="49">
        <v>852</v>
      </c>
      <c r="W854" s="20">
        <v>9</v>
      </c>
      <c r="X854" s="20" t="str">
        <v>Cold</v>
      </c>
      <c r="Y854" s="20">
        <v>0</v>
      </c>
    </row>
    <row r="855" spans="1:25" ht="15" customHeight="1" x14ac:dyDescent="0.25">
      <c r="A855" s="3"/>
      <c r="B855" s="3"/>
      <c r="C855" s="3"/>
      <c r="D855" s="3"/>
      <c r="E855" s="3"/>
      <c r="F855" s="3"/>
      <c r="G855" s="3"/>
      <c r="H855" s="3"/>
      <c r="I855" s="3"/>
      <c r="J855" s="3"/>
      <c r="K855" s="20">
        <v>12205</v>
      </c>
      <c r="L855" s="20" t="str">
        <v>2+ Cars</v>
      </c>
      <c r="M855" s="20" t="str">
        <v>61+</v>
      </c>
      <c r="N855" s="20" t="str">
        <v>0-1 Miles</v>
      </c>
      <c r="O855" s="20">
        <v>2</v>
      </c>
      <c r="P855" s="20" t="str">
        <v>Bachelors</v>
      </c>
      <c r="Q855" s="20" t="str">
        <v>North America</v>
      </c>
      <c r="R855" s="20" t="str">
        <v>Single</v>
      </c>
      <c r="S855" s="20" t="str">
        <v>$100k+</v>
      </c>
      <c r="T855" s="89">
        <v>0.44935285118039447</v>
      </c>
      <c r="U855" s="91">
        <v>43.22393439248026</v>
      </c>
      <c r="V855" s="49">
        <v>729</v>
      </c>
      <c r="W855" s="20">
        <v>8</v>
      </c>
      <c r="X855" s="20" t="str">
        <v>Cold</v>
      </c>
      <c r="Y855" s="20">
        <v>0</v>
      </c>
    </row>
    <row r="856" spans="1:25" ht="15" customHeight="1" x14ac:dyDescent="0.25">
      <c r="A856" s="3"/>
      <c r="B856" s="3"/>
      <c r="C856" s="3"/>
      <c r="D856" s="3"/>
      <c r="E856" s="3"/>
      <c r="F856" s="3"/>
      <c r="G856" s="3"/>
      <c r="H856" s="3"/>
      <c r="I856" s="3"/>
      <c r="J856" s="3"/>
      <c r="K856" s="20">
        <v>16751</v>
      </c>
      <c r="L856" s="20" t="str">
        <v>0-1 Cars</v>
      </c>
      <c r="M856" s="20" t="str">
        <v>31-40</v>
      </c>
      <c r="N856" s="20" t="str">
        <v>5-10 Miles</v>
      </c>
      <c r="O856" s="20">
        <v>0</v>
      </c>
      <c r="P856" s="20" t="str">
        <v>Partial College</v>
      </c>
      <c r="Q856" s="20" t="str">
        <v>North America</v>
      </c>
      <c r="R856" s="20" t="str">
        <v>Married</v>
      </c>
      <c r="S856" s="20" t="str">
        <v>$40k-60k</v>
      </c>
      <c r="T856" s="89">
        <v>0.50304186114977645</v>
      </c>
      <c r="U856" s="91">
        <v>69.2552401682522</v>
      </c>
      <c r="V856" s="49">
        <v>349</v>
      </c>
      <c r="W856" s="20">
        <v>4</v>
      </c>
      <c r="X856" s="20" t="str">
        <v>Warm</v>
      </c>
      <c r="Y856" s="20">
        <v>1</v>
      </c>
    </row>
    <row r="857" spans="1:25" ht="15" customHeight="1" x14ac:dyDescent="0.25">
      <c r="A857" s="3"/>
      <c r="B857" s="3"/>
      <c r="C857" s="3"/>
      <c r="D857" s="3"/>
      <c r="E857" s="3"/>
      <c r="F857" s="3"/>
      <c r="G857" s="3"/>
      <c r="H857" s="3"/>
      <c r="I857" s="3"/>
      <c r="J857" s="3"/>
      <c r="K857" s="20">
        <v>21613</v>
      </c>
      <c r="L857" s="20" t="str">
        <v>0-1 Cars</v>
      </c>
      <c r="M857" s="20" t="str">
        <v>31-40</v>
      </c>
      <c r="N857" s="20" t="str">
        <v>0-1 Miles</v>
      </c>
      <c r="O857" s="20">
        <v>2</v>
      </c>
      <c r="P857" s="20" t="str">
        <v>Bachelors</v>
      </c>
      <c r="Q857" s="20" t="str">
        <v>North America</v>
      </c>
      <c r="R857" s="20" t="str">
        <v>Single</v>
      </c>
      <c r="S857" s="20" t="str">
        <v>$40k-60k</v>
      </c>
      <c r="T857" s="89">
        <v>0.54147622075315216</v>
      </c>
      <c r="U857" s="91">
        <v>87.890274930525095</v>
      </c>
      <c r="V857" s="49">
        <v>107</v>
      </c>
      <c r="W857" s="20">
        <v>2</v>
      </c>
      <c r="X857" s="20" t="str">
        <v>Hot</v>
      </c>
      <c r="Y857" s="20">
        <v>1</v>
      </c>
    </row>
    <row r="858" spans="1:25" ht="15" customHeight="1" x14ac:dyDescent="0.25">
      <c r="A858" s="3"/>
      <c r="B858" s="3"/>
      <c r="C858" s="3"/>
      <c r="D858" s="3"/>
      <c r="E858" s="3"/>
      <c r="F858" s="3"/>
      <c r="G858" s="3"/>
      <c r="H858" s="3"/>
      <c r="I858" s="3"/>
      <c r="J858" s="3"/>
      <c r="K858" s="20">
        <v>24801</v>
      </c>
      <c r="L858" s="20" t="str">
        <v>0-1 Cars</v>
      </c>
      <c r="M858" s="20" t="str">
        <v>31-40</v>
      </c>
      <c r="N858" s="20" t="str">
        <v>2-5 Miles</v>
      </c>
      <c r="O858" s="20">
        <v>1</v>
      </c>
      <c r="P858" s="20" t="str">
        <v>Graduate Degree</v>
      </c>
      <c r="Q858" s="20" t="str">
        <v>North America</v>
      </c>
      <c r="R858" s="20" t="str">
        <v>Single</v>
      </c>
      <c r="S858" s="20" t="str">
        <v>$40k-60k</v>
      </c>
      <c r="T858" s="89">
        <v>0.56102546184004687</v>
      </c>
      <c r="U858" s="91">
        <v>97.368793396547346</v>
      </c>
      <c r="V858" s="49">
        <v>8</v>
      </c>
      <c r="W858" s="20">
        <v>1</v>
      </c>
      <c r="X858" s="20" t="str">
        <v>Hot</v>
      </c>
      <c r="Y858" s="20">
        <v>1</v>
      </c>
    </row>
    <row r="859" spans="1:25" ht="15" customHeight="1" x14ac:dyDescent="0.25">
      <c r="A859" s="3"/>
      <c r="B859" s="3"/>
      <c r="C859" s="3"/>
      <c r="D859" s="3"/>
      <c r="E859" s="3"/>
      <c r="F859" s="3"/>
      <c r="G859" s="3"/>
      <c r="H859" s="3"/>
      <c r="I859" s="3"/>
      <c r="J859" s="3"/>
      <c r="K859" s="20">
        <v>17519</v>
      </c>
      <c r="L859" s="20" t="str">
        <v>2+ Cars</v>
      </c>
      <c r="M859" s="20" t="str">
        <v>31-40</v>
      </c>
      <c r="N859" s="20" t="str">
        <v>5-10 Miles</v>
      </c>
      <c r="O859" s="20">
        <v>0</v>
      </c>
      <c r="P859" s="20" t="str">
        <v>Partial College</v>
      </c>
      <c r="Q859" s="20" t="str">
        <v>North America</v>
      </c>
      <c r="R859" s="20" t="str">
        <v>Married</v>
      </c>
      <c r="S859" s="20" t="str">
        <v>$40k-60k</v>
      </c>
      <c r="T859" s="89">
        <v>0.46432841163106436</v>
      </c>
      <c r="U859" s="91">
        <v>50.484887676537106</v>
      </c>
      <c r="V859" s="49">
        <v>613</v>
      </c>
      <c r="W859" s="20">
        <v>7</v>
      </c>
      <c r="X859" s="20" t="str">
        <v>Cold</v>
      </c>
      <c r="Y859" s="20">
        <v>0</v>
      </c>
    </row>
    <row r="860" spans="1:25" ht="15" customHeight="1" x14ac:dyDescent="0.25">
      <c r="A860" s="3"/>
      <c r="B860" s="3"/>
      <c r="C860" s="3"/>
      <c r="D860" s="3"/>
      <c r="E860" s="3"/>
      <c r="F860" s="3"/>
      <c r="G860" s="3"/>
      <c r="H860" s="3"/>
      <c r="I860" s="3"/>
      <c r="J860" s="3"/>
      <c r="K860" s="20">
        <v>18347</v>
      </c>
      <c r="L860" s="20" t="str">
        <v>0-1 Cars</v>
      </c>
      <c r="M860" s="20" t="str">
        <v>31-40</v>
      </c>
      <c r="N860" s="20" t="str">
        <v>1-2 Miles</v>
      </c>
      <c r="O860" s="20">
        <v>0</v>
      </c>
      <c r="P860" s="20" t="str">
        <v>Partial College</v>
      </c>
      <c r="Q860" s="20" t="str">
        <v>North America</v>
      </c>
      <c r="R860" s="20" t="str">
        <v>Single</v>
      </c>
      <c r="S860" s="20" t="str">
        <v>$10k-30k</v>
      </c>
      <c r="T860" s="89">
        <v>0.51051984585212906</v>
      </c>
      <c r="U860" s="91">
        <v>72.880967416426415</v>
      </c>
      <c r="V860" s="49">
        <v>318</v>
      </c>
      <c r="W860" s="20">
        <v>4</v>
      </c>
      <c r="X860" s="20" t="str">
        <v>Warm</v>
      </c>
      <c r="Y860" s="20">
        <v>0</v>
      </c>
    </row>
    <row r="861" spans="1:25" ht="15" customHeight="1" x14ac:dyDescent="0.25">
      <c r="A861" s="3"/>
      <c r="B861" s="3"/>
      <c r="C861" s="3"/>
      <c r="D861" s="3"/>
      <c r="E861" s="3"/>
      <c r="F861" s="3"/>
      <c r="G861" s="3"/>
      <c r="H861" s="3"/>
      <c r="I861" s="3"/>
      <c r="J861" s="3"/>
      <c r="K861" s="20">
        <v>29052</v>
      </c>
      <c r="L861" s="20" t="str">
        <v>0-1 Cars</v>
      </c>
      <c r="M861" s="20" t="str">
        <v>25-30</v>
      </c>
      <c r="N861" s="20" t="str">
        <v>5-10 Miles</v>
      </c>
      <c r="O861" s="20">
        <v>0</v>
      </c>
      <c r="P861" s="20" t="str">
        <v>Partial College</v>
      </c>
      <c r="Q861" s="20" t="str">
        <v>North America</v>
      </c>
      <c r="R861" s="20" t="str">
        <v>Single</v>
      </c>
      <c r="S861" s="20" t="str">
        <v>$40k-60k</v>
      </c>
      <c r="T861" s="89">
        <v>0.4718326759842863</v>
      </c>
      <c r="U861" s="91">
        <v>54.123356706089865</v>
      </c>
      <c r="V861" s="49">
        <v>562</v>
      </c>
      <c r="W861" s="20">
        <v>6</v>
      </c>
      <c r="X861" s="20" t="str">
        <v>Warm</v>
      </c>
      <c r="Y861" s="20">
        <v>0</v>
      </c>
    </row>
    <row r="862" spans="1:25" ht="15" customHeight="1" x14ac:dyDescent="0.25">
      <c r="A862" s="3"/>
      <c r="B862" s="3"/>
      <c r="C862" s="3"/>
      <c r="D862" s="3"/>
      <c r="E862" s="3"/>
      <c r="F862" s="3"/>
      <c r="G862" s="3"/>
      <c r="H862" s="3"/>
      <c r="I862" s="3"/>
      <c r="J862" s="3"/>
      <c r="K862" s="20">
        <v>11745</v>
      </c>
      <c r="L862" s="20" t="str">
        <v>0-1 Cars</v>
      </c>
      <c r="M862" s="20" t="str">
        <v>41-50</v>
      </c>
      <c r="N862" s="20" t="str">
        <v>0-1 Miles</v>
      </c>
      <c r="O862" s="20">
        <v>1</v>
      </c>
      <c r="P862" s="20" t="str">
        <v>Bachelors</v>
      </c>
      <c r="Q862" s="20" t="str">
        <v>North America</v>
      </c>
      <c r="R862" s="20" t="str">
        <v>Married</v>
      </c>
      <c r="S862" s="20" t="str">
        <v>$40k-60k</v>
      </c>
      <c r="T862" s="89">
        <v>0.52404086337780997</v>
      </c>
      <c r="U862" s="91">
        <v>79.436680434999374</v>
      </c>
      <c r="V862" s="49">
        <v>225</v>
      </c>
      <c r="W862" s="20">
        <v>3</v>
      </c>
      <c r="X862" s="20" t="str">
        <v>Hot</v>
      </c>
      <c r="Y862" s="20">
        <v>1</v>
      </c>
    </row>
    <row r="863" spans="1:25" ht="15" customHeight="1" x14ac:dyDescent="0.25">
      <c r="A863" s="3"/>
      <c r="B863" s="3"/>
      <c r="C863" s="3"/>
      <c r="D863" s="3"/>
      <c r="E863" s="3"/>
      <c r="F863" s="3"/>
      <c r="G863" s="3"/>
      <c r="H863" s="3"/>
      <c r="I863" s="3"/>
      <c r="J863" s="3"/>
      <c r="K863" s="20">
        <v>19147</v>
      </c>
      <c r="L863" s="20" t="str">
        <v>0-1 Cars</v>
      </c>
      <c r="M863" s="20" t="str">
        <v>41-50</v>
      </c>
      <c r="N863" s="20" t="str">
        <v>0-1 Miles</v>
      </c>
      <c r="O863" s="20">
        <v>0</v>
      </c>
      <c r="P863" s="20" t="str">
        <v>Bachelors</v>
      </c>
      <c r="Q863" s="20" t="str">
        <v>North America</v>
      </c>
      <c r="R863" s="20" t="str">
        <v>Married</v>
      </c>
      <c r="S863" s="20" t="str">
        <v>$40k-60k</v>
      </c>
      <c r="T863" s="89">
        <v>0.5144993242987268</v>
      </c>
      <c r="U863" s="91">
        <v>74.8104315717639</v>
      </c>
      <c r="V863" s="49">
        <v>285</v>
      </c>
      <c r="W863" s="20">
        <v>3</v>
      </c>
      <c r="X863" s="20" t="str">
        <v>Hot</v>
      </c>
      <c r="Y863" s="20">
        <v>0</v>
      </c>
    </row>
    <row r="864" spans="1:25" ht="15" customHeight="1" x14ac:dyDescent="0.25">
      <c r="A864" s="3"/>
      <c r="B864" s="3"/>
      <c r="C864" s="3"/>
      <c r="D864" s="3"/>
      <c r="E864" s="3"/>
      <c r="F864" s="3"/>
      <c r="G864" s="3"/>
      <c r="H864" s="3"/>
      <c r="I864" s="3"/>
      <c r="J864" s="3"/>
      <c r="K864" s="20">
        <v>19217</v>
      </c>
      <c r="L864" s="20" t="str">
        <v>2+ Cars</v>
      </c>
      <c r="M864" s="20" t="str">
        <v>41-50</v>
      </c>
      <c r="N864" s="20" t="str">
        <v>1-2 Miles</v>
      </c>
      <c r="O864" s="20">
        <v>2</v>
      </c>
      <c r="P864" s="20" t="str">
        <v>High School</v>
      </c>
      <c r="Q864" s="20" t="str">
        <v>North America</v>
      </c>
      <c r="R864" s="20" t="str">
        <v>Married</v>
      </c>
      <c r="S864" s="20" t="str">
        <v>$10k-30k</v>
      </c>
      <c r="T864" s="89">
        <v>0.43241279765027696</v>
      </c>
      <c r="U864" s="91">
        <v>35.010489712611644</v>
      </c>
      <c r="V864" s="49">
        <v>820</v>
      </c>
      <c r="W864" s="20">
        <v>9</v>
      </c>
      <c r="X864" s="20" t="str">
        <v>Cold</v>
      </c>
      <c r="Y864" s="20">
        <v>0</v>
      </c>
    </row>
    <row r="865" spans="1:25" ht="15" customHeight="1" x14ac:dyDescent="0.25">
      <c r="A865" s="3"/>
      <c r="B865" s="3"/>
      <c r="C865" s="3"/>
      <c r="D865" s="3"/>
      <c r="E865" s="3"/>
      <c r="F865" s="3"/>
      <c r="G865" s="3"/>
      <c r="H865" s="3"/>
      <c r="I865" s="3"/>
      <c r="J865" s="3"/>
      <c r="K865" s="20">
        <v>15839</v>
      </c>
      <c r="L865" s="20" t="str">
        <v>0-1 Cars</v>
      </c>
      <c r="M865" s="20" t="str">
        <v>31-40</v>
      </c>
      <c r="N865" s="20" t="str">
        <v>5-10 Miles</v>
      </c>
      <c r="O865" s="20">
        <v>0</v>
      </c>
      <c r="P865" s="20" t="str">
        <v>Partial College</v>
      </c>
      <c r="Q865" s="20" t="str">
        <v>North America</v>
      </c>
      <c r="R865" s="20" t="str">
        <v>Single</v>
      </c>
      <c r="S865" s="20" t="str">
        <v>$10k-30k</v>
      </c>
      <c r="T865" s="89">
        <v>0.50189452101834919</v>
      </c>
      <c r="U865" s="91">
        <v>68.698948260336039</v>
      </c>
      <c r="V865" s="49">
        <v>357</v>
      </c>
      <c r="W865" s="20">
        <v>4</v>
      </c>
      <c r="X865" s="20" t="str">
        <v>Warm</v>
      </c>
      <c r="Y865" s="20">
        <v>0</v>
      </c>
    </row>
    <row r="866" spans="1:25" ht="15" customHeight="1" x14ac:dyDescent="0.25">
      <c r="A866" s="3"/>
      <c r="B866" s="3"/>
      <c r="C866" s="3"/>
      <c r="D866" s="3"/>
      <c r="E866" s="3"/>
      <c r="F866" s="3"/>
      <c r="G866" s="3"/>
      <c r="H866" s="3"/>
      <c r="I866" s="3"/>
      <c r="J866" s="3"/>
      <c r="K866" s="20">
        <v>13714</v>
      </c>
      <c r="L866" s="20" t="str">
        <v>2+ Cars</v>
      </c>
      <c r="M866" s="20" t="str">
        <v>51-60</v>
      </c>
      <c r="N866" s="20" t="str">
        <v>1-2 Miles</v>
      </c>
      <c r="O866" s="20">
        <v>2</v>
      </c>
      <c r="P866" s="20" t="str">
        <v>High School</v>
      </c>
      <c r="Q866" s="20" t="str">
        <v>North America</v>
      </c>
      <c r="R866" s="20" t="str">
        <v>Married</v>
      </c>
      <c r="S866" s="20" t="str">
        <v>$10k-30k</v>
      </c>
      <c r="T866" s="89">
        <v>0.43051416737647485</v>
      </c>
      <c r="U866" s="91">
        <v>34.089932130330538</v>
      </c>
      <c r="V866" s="49">
        <v>836</v>
      </c>
      <c r="W866" s="20">
        <v>9</v>
      </c>
      <c r="X866" s="20" t="str">
        <v>Cold</v>
      </c>
      <c r="Y866" s="20">
        <v>1</v>
      </c>
    </row>
    <row r="867" spans="1:25" ht="15" customHeight="1" x14ac:dyDescent="0.25">
      <c r="A867" s="3"/>
      <c r="B867" s="3"/>
      <c r="C867" s="3"/>
      <c r="D867" s="3"/>
      <c r="E867" s="3"/>
      <c r="F867" s="3"/>
      <c r="G867" s="3"/>
      <c r="H867" s="3"/>
      <c r="I867" s="3"/>
      <c r="J867" s="3"/>
      <c r="K867" s="20">
        <v>22330</v>
      </c>
      <c r="L867" s="20" t="str">
        <v>0-1 Cars</v>
      </c>
      <c r="M867" s="20" t="str">
        <v>31-40</v>
      </c>
      <c r="N867" s="20" t="str">
        <v>1-2 Miles</v>
      </c>
      <c r="O867" s="20">
        <v>0</v>
      </c>
      <c r="P867" s="20" t="str">
        <v>Graduate Degree</v>
      </c>
      <c r="Q867" s="20" t="str">
        <v>North America</v>
      </c>
      <c r="R867" s="20" t="str">
        <v>Married</v>
      </c>
      <c r="S867" s="20" t="str">
        <v>$40k-60k</v>
      </c>
      <c r="T867" s="89">
        <v>0.52293621179516803</v>
      </c>
      <c r="U867" s="91">
        <v>78.901086220469409</v>
      </c>
      <c r="V867" s="49">
        <v>228</v>
      </c>
      <c r="W867" s="20">
        <v>3</v>
      </c>
      <c r="X867" s="20" t="str">
        <v>Hot</v>
      </c>
      <c r="Y867" s="20">
        <v>1</v>
      </c>
    </row>
    <row r="868" spans="1:25" ht="15" customHeight="1" x14ac:dyDescent="0.25">
      <c r="A868" s="3"/>
      <c r="B868" s="3"/>
      <c r="C868" s="3"/>
      <c r="D868" s="3"/>
      <c r="E868" s="3"/>
      <c r="F868" s="3"/>
      <c r="G868" s="3"/>
      <c r="H868" s="3"/>
      <c r="I868" s="3"/>
      <c r="J868" s="3"/>
      <c r="K868" s="20">
        <v>18783</v>
      </c>
      <c r="L868" s="20" t="str">
        <v>0-1 Cars</v>
      </c>
      <c r="M868" s="20" t="str">
        <v>31-40</v>
      </c>
      <c r="N868" s="20" t="str">
        <v>0-1 Miles</v>
      </c>
      <c r="O868" s="20">
        <v>0</v>
      </c>
      <c r="P868" s="20" t="str">
        <v>Bachelors</v>
      </c>
      <c r="Q868" s="20" t="str">
        <v>North America</v>
      </c>
      <c r="R868" s="20" t="str">
        <v>Single</v>
      </c>
      <c r="S868" s="20" t="str">
        <v>$70k-90k</v>
      </c>
      <c r="T868" s="89">
        <v>0.54424260088000675</v>
      </c>
      <c r="U868" s="91">
        <v>89.231564088496867</v>
      </c>
      <c r="V868" s="49">
        <v>79</v>
      </c>
      <c r="W868" s="20">
        <v>1</v>
      </c>
      <c r="X868" s="20" t="str">
        <v>Hot</v>
      </c>
      <c r="Y868" s="20">
        <v>1</v>
      </c>
    </row>
    <row r="869" spans="1:25" ht="15" customHeight="1" x14ac:dyDescent="0.25">
      <c r="A869" s="3"/>
      <c r="B869" s="3"/>
      <c r="C869" s="3"/>
      <c r="D869" s="3"/>
      <c r="E869" s="3"/>
      <c r="F869" s="3"/>
      <c r="G869" s="3"/>
      <c r="H869" s="3"/>
      <c r="I869" s="3"/>
      <c r="J869" s="3"/>
      <c r="K869" s="20">
        <v>25041</v>
      </c>
      <c r="L869" s="20" t="str">
        <v>2+ Cars</v>
      </c>
      <c r="M869" s="20" t="str">
        <v>31-40</v>
      </c>
      <c r="N869" s="20" t="str">
        <v>5-10 Miles</v>
      </c>
      <c r="O869" s="20">
        <v>0</v>
      </c>
      <c r="P869" s="20" t="str">
        <v>High School</v>
      </c>
      <c r="Q869" s="20" t="str">
        <v>North America</v>
      </c>
      <c r="R869" s="20" t="str">
        <v>Single</v>
      </c>
      <c r="S869" s="20" t="str">
        <v>$40k-60k</v>
      </c>
      <c r="T869" s="89">
        <v>0.4730527780851132</v>
      </c>
      <c r="U869" s="91">
        <v>54.714927511407375</v>
      </c>
      <c r="V869" s="49">
        <v>557</v>
      </c>
      <c r="W869" s="20">
        <v>6</v>
      </c>
      <c r="X869" s="20" t="str">
        <v>Warm</v>
      </c>
      <c r="Y869" s="20">
        <v>0</v>
      </c>
    </row>
    <row r="870" spans="1:25" ht="15" customHeight="1" x14ac:dyDescent="0.25">
      <c r="A870" s="3"/>
      <c r="B870" s="3"/>
      <c r="C870" s="3"/>
      <c r="D870" s="3"/>
      <c r="E870" s="3"/>
      <c r="F870" s="3"/>
      <c r="G870" s="3"/>
      <c r="H870" s="3"/>
      <c r="I870" s="3"/>
      <c r="J870" s="3"/>
      <c r="K870" s="20">
        <v>22046</v>
      </c>
      <c r="L870" s="20" t="str">
        <v>0-1 Cars</v>
      </c>
      <c r="M870" s="20" t="str">
        <v>31-40</v>
      </c>
      <c r="N870" s="20" t="str">
        <v>0-1 Miles</v>
      </c>
      <c r="O870" s="20">
        <v>0</v>
      </c>
      <c r="P870" s="20" t="str">
        <v>Bachelors</v>
      </c>
      <c r="Q870" s="20" t="str">
        <v>North America</v>
      </c>
      <c r="R870" s="20" t="str">
        <v>Single</v>
      </c>
      <c r="S870" s="20" t="str">
        <v>$70k-90k</v>
      </c>
      <c r="T870" s="89">
        <v>0.54424260088000675</v>
      </c>
      <c r="U870" s="91">
        <v>89.231564088496867</v>
      </c>
      <c r="V870" s="49">
        <v>80</v>
      </c>
      <c r="W870" s="20">
        <v>1</v>
      </c>
      <c r="X870" s="20" t="str">
        <v>Hot</v>
      </c>
      <c r="Y870" s="20">
        <v>1</v>
      </c>
    </row>
    <row r="871" spans="1:25" ht="15" customHeight="1" x14ac:dyDescent="0.25">
      <c r="A871" s="3"/>
      <c r="B871" s="3"/>
      <c r="C871" s="3"/>
      <c r="D871" s="3"/>
      <c r="E871" s="3"/>
      <c r="F871" s="3"/>
      <c r="G871" s="3"/>
      <c r="H871" s="3"/>
      <c r="I871" s="3"/>
      <c r="J871" s="3"/>
      <c r="K871" s="20">
        <v>28052</v>
      </c>
      <c r="L871" s="20" t="str">
        <v>2+ Cars</v>
      </c>
      <c r="M871" s="20" t="str">
        <v>51-60</v>
      </c>
      <c r="N871" s="20" t="str">
        <v>10+ Miles</v>
      </c>
      <c r="O871" s="20">
        <v>2</v>
      </c>
      <c r="P871" s="20" t="str">
        <v>High School</v>
      </c>
      <c r="Q871" s="20" t="str">
        <v>North America</v>
      </c>
      <c r="R871" s="20" t="str">
        <v>Married</v>
      </c>
      <c r="S871" s="20" t="str">
        <v>$40k-60k</v>
      </c>
      <c r="T871" s="89">
        <v>0.41849890178434163</v>
      </c>
      <c r="U871" s="91">
        <v>28.264288245589491</v>
      </c>
      <c r="V871" s="49">
        <v>902</v>
      </c>
      <c r="W871" s="20">
        <v>10</v>
      </c>
      <c r="X871" s="20" t="str">
        <v>Cold</v>
      </c>
      <c r="Y871" s="20">
        <v>0</v>
      </c>
    </row>
    <row r="872" spans="1:25" ht="15" customHeight="1" x14ac:dyDescent="0.25">
      <c r="A872" s="3"/>
      <c r="B872" s="3"/>
      <c r="C872" s="3"/>
      <c r="D872" s="3"/>
      <c r="E872" s="3"/>
      <c r="F872" s="3"/>
      <c r="G872" s="3"/>
      <c r="H872" s="3"/>
      <c r="I872" s="3"/>
      <c r="J872" s="3"/>
      <c r="K872" s="20">
        <v>26693</v>
      </c>
      <c r="L872" s="20" t="str">
        <v>0-1 Cars</v>
      </c>
      <c r="M872" s="20" t="str">
        <v>41-50</v>
      </c>
      <c r="N872" s="20" t="str">
        <v>5-10 Miles</v>
      </c>
      <c r="O872" s="20">
        <v>3</v>
      </c>
      <c r="P872" s="20" t="str">
        <v>Partial College</v>
      </c>
      <c r="Q872" s="20" t="str">
        <v>North America</v>
      </c>
      <c r="R872" s="20" t="str">
        <v>Married</v>
      </c>
      <c r="S872" s="20" t="str">
        <v>$70k-90k</v>
      </c>
      <c r="T872" s="89">
        <v>0.48252966692525506</v>
      </c>
      <c r="U872" s="91">
        <v>59.309830478353874</v>
      </c>
      <c r="V872" s="49">
        <v>494</v>
      </c>
      <c r="W872" s="20">
        <v>5</v>
      </c>
      <c r="X872" s="20" t="str">
        <v>Warm</v>
      </c>
      <c r="Y872" s="20">
        <v>0</v>
      </c>
    </row>
    <row r="873" spans="1:25" ht="15" customHeight="1" x14ac:dyDescent="0.25">
      <c r="A873" s="3"/>
      <c r="B873" s="3"/>
      <c r="C873" s="3"/>
      <c r="D873" s="3"/>
      <c r="E873" s="3"/>
      <c r="F873" s="3"/>
      <c r="G873" s="3"/>
      <c r="H873" s="3"/>
      <c r="I873" s="3"/>
      <c r="J873" s="3"/>
      <c r="K873" s="20">
        <v>24955</v>
      </c>
      <c r="L873" s="20" t="str">
        <v>2+ Cars</v>
      </c>
      <c r="M873" s="20" t="str">
        <v>51-60</v>
      </c>
      <c r="N873" s="20" t="str">
        <v>10+ Miles</v>
      </c>
      <c r="O873" s="20">
        <v>5</v>
      </c>
      <c r="P873" s="20" t="str">
        <v>Partial High School</v>
      </c>
      <c r="Q873" s="20" t="str">
        <v>North America</v>
      </c>
      <c r="R873" s="20" t="str">
        <v>Single</v>
      </c>
      <c r="S873" s="20" t="str">
        <v>$10k-30k</v>
      </c>
      <c r="T873" s="89">
        <v>0.36169637265588372</v>
      </c>
      <c r="U873" s="91">
        <v>0.72338172816017499</v>
      </c>
      <c r="V873" s="49">
        <v>999</v>
      </c>
      <c r="W873" s="20">
        <v>10</v>
      </c>
      <c r="X873" s="20" t="str">
        <v>Cold</v>
      </c>
      <c r="Y873" s="20">
        <v>1</v>
      </c>
    </row>
    <row r="874" spans="1:25" ht="15" customHeight="1" x14ac:dyDescent="0.25">
      <c r="A874" s="3"/>
      <c r="B874" s="3"/>
      <c r="C874" s="3"/>
      <c r="D874" s="3"/>
      <c r="E874" s="3"/>
      <c r="F874" s="3"/>
      <c r="G874" s="3"/>
      <c r="H874" s="3"/>
      <c r="I874" s="3"/>
      <c r="J874" s="3"/>
      <c r="K874" s="20">
        <v>26065</v>
      </c>
      <c r="L874" s="20" t="str">
        <v>2+ Cars</v>
      </c>
      <c r="M874" s="20" t="str">
        <v>41-50</v>
      </c>
      <c r="N874" s="20" t="str">
        <v>1-2 Miles</v>
      </c>
      <c r="O874" s="20">
        <v>3</v>
      </c>
      <c r="P874" s="20" t="str">
        <v>Bachelors</v>
      </c>
      <c r="Q874" s="20" t="str">
        <v>North America</v>
      </c>
      <c r="R874" s="20" t="str">
        <v>Single</v>
      </c>
      <c r="S874" s="20" t="str">
        <v>$100k+</v>
      </c>
      <c r="T874" s="89">
        <v>0.474025873397943</v>
      </c>
      <c r="U874" s="91">
        <v>55.186736204689083</v>
      </c>
      <c r="V874" s="49">
        <v>548</v>
      </c>
      <c r="W874" s="20">
        <v>6</v>
      </c>
      <c r="X874" s="20" t="str">
        <v>Warm</v>
      </c>
      <c r="Y874" s="20">
        <v>0</v>
      </c>
    </row>
    <row r="875" spans="1:25" ht="15" customHeight="1" x14ac:dyDescent="0.25">
      <c r="A875" s="3"/>
      <c r="B875" s="3"/>
      <c r="C875" s="3"/>
      <c r="D875" s="3"/>
      <c r="E875" s="3"/>
      <c r="F875" s="3"/>
      <c r="G875" s="3"/>
      <c r="H875" s="3"/>
      <c r="I875" s="3"/>
      <c r="J875" s="3"/>
      <c r="K875" s="20">
        <v>13942</v>
      </c>
      <c r="L875" s="20" t="str">
        <v>0-1 Cars</v>
      </c>
      <c r="M875" s="20" t="str">
        <v>41-50</v>
      </c>
      <c r="N875" s="20" t="str">
        <v>0-1 Miles</v>
      </c>
      <c r="O875" s="20">
        <v>1</v>
      </c>
      <c r="P875" s="20" t="str">
        <v>Partial College</v>
      </c>
      <c r="Q875" s="20" t="str">
        <v>North America</v>
      </c>
      <c r="R875" s="20" t="str">
        <v>Married</v>
      </c>
      <c r="S875" s="20" t="str">
        <v>$40k-60k</v>
      </c>
      <c r="T875" s="89">
        <v>0.51128150517086868</v>
      </c>
      <c r="U875" s="91">
        <v>73.250260622510567</v>
      </c>
      <c r="V875" s="49">
        <v>313</v>
      </c>
      <c r="W875" s="20">
        <v>4</v>
      </c>
      <c r="X875" s="20" t="str">
        <v>Warm</v>
      </c>
      <c r="Y875" s="20">
        <v>0</v>
      </c>
    </row>
    <row r="876" spans="1:25" ht="15" customHeight="1" x14ac:dyDescent="0.25">
      <c r="A876" s="3"/>
      <c r="B876" s="3"/>
      <c r="C876" s="3"/>
      <c r="D876" s="3"/>
      <c r="E876" s="3"/>
      <c r="F876" s="3"/>
      <c r="G876" s="3"/>
      <c r="H876" s="3"/>
      <c r="I876" s="3"/>
      <c r="J876" s="3"/>
      <c r="K876" s="20">
        <v>11219</v>
      </c>
      <c r="L876" s="20" t="str">
        <v>2+ Cars</v>
      </c>
      <c r="M876" s="20" t="str">
        <v>51-60</v>
      </c>
      <c r="N876" s="20" t="str">
        <v>10+ Miles</v>
      </c>
      <c r="O876" s="20">
        <v>2</v>
      </c>
      <c r="P876" s="20" t="str">
        <v>High School</v>
      </c>
      <c r="Q876" s="20" t="str">
        <v>North America</v>
      </c>
      <c r="R876" s="20" t="str">
        <v>Married</v>
      </c>
      <c r="S876" s="20" t="str">
        <v>$40k-60k</v>
      </c>
      <c r="T876" s="89">
        <v>0.41849890178434163</v>
      </c>
      <c r="U876" s="91">
        <v>28.264288245589491</v>
      </c>
      <c r="V876" s="49">
        <v>901</v>
      </c>
      <c r="W876" s="20">
        <v>10</v>
      </c>
      <c r="X876" s="20" t="str">
        <v>Cold</v>
      </c>
      <c r="Y876" s="20">
        <v>0</v>
      </c>
    </row>
    <row r="877" spans="1:25" ht="15" customHeight="1" x14ac:dyDescent="0.25">
      <c r="A877" s="3"/>
      <c r="B877" s="3"/>
      <c r="C877" s="3"/>
      <c r="D877" s="3"/>
      <c r="E877" s="3"/>
      <c r="F877" s="3"/>
      <c r="G877" s="3"/>
      <c r="H877" s="3"/>
      <c r="I877" s="3"/>
      <c r="J877" s="3"/>
      <c r="K877" s="20">
        <v>22118</v>
      </c>
      <c r="L877" s="20" t="str">
        <v>2+ Cars</v>
      </c>
      <c r="M877" s="20" t="str">
        <v>51-60</v>
      </c>
      <c r="N877" s="20" t="str">
        <v>5-10 Miles</v>
      </c>
      <c r="O877" s="20">
        <v>3</v>
      </c>
      <c r="P877" s="20" t="str">
        <v>Graduate Degree</v>
      </c>
      <c r="Q877" s="20" t="str">
        <v>North America</v>
      </c>
      <c r="R877" s="20" t="str">
        <v>Single</v>
      </c>
      <c r="S877" s="20" t="str">
        <v>$70k-90k</v>
      </c>
      <c r="T877" s="89">
        <v>0.46286465565217766</v>
      </c>
      <c r="U877" s="91">
        <v>49.775180429388314</v>
      </c>
      <c r="V877" s="49">
        <v>624</v>
      </c>
      <c r="W877" s="20">
        <v>7</v>
      </c>
      <c r="X877" s="20" t="str">
        <v>Cold</v>
      </c>
      <c r="Y877" s="20">
        <v>1</v>
      </c>
    </row>
    <row r="878" spans="1:25" ht="15" customHeight="1" x14ac:dyDescent="0.25">
      <c r="A878" s="3"/>
      <c r="B878" s="3"/>
      <c r="C878" s="3"/>
      <c r="D878" s="3"/>
      <c r="E878" s="3"/>
      <c r="F878" s="3"/>
      <c r="G878" s="3"/>
      <c r="H878" s="3"/>
      <c r="I878" s="3"/>
      <c r="J878" s="3"/>
      <c r="K878" s="20">
        <v>23197</v>
      </c>
      <c r="L878" s="20" t="str">
        <v>2+ Cars</v>
      </c>
      <c r="M878" s="20" t="str">
        <v>31-40</v>
      </c>
      <c r="N878" s="20" t="str">
        <v>2-5 Miles</v>
      </c>
      <c r="O878" s="20">
        <v>3</v>
      </c>
      <c r="P878" s="20" t="str">
        <v>Bachelors</v>
      </c>
      <c r="Q878" s="20" t="str">
        <v>North America</v>
      </c>
      <c r="R878" s="20" t="str">
        <v>Married</v>
      </c>
      <c r="S878" s="20" t="str">
        <v>$40k-60k</v>
      </c>
      <c r="T878" s="89">
        <v>0.51006606829991841</v>
      </c>
      <c r="U878" s="91">
        <v>72.660951770347012</v>
      </c>
      <c r="V878" s="49">
        <v>319</v>
      </c>
      <c r="W878" s="20">
        <v>4</v>
      </c>
      <c r="X878" s="20" t="str">
        <v>Warm</v>
      </c>
      <c r="Y878" s="20">
        <v>0</v>
      </c>
    </row>
    <row r="879" spans="1:25" ht="15" customHeight="1" x14ac:dyDescent="0.25">
      <c r="A879" s="3"/>
      <c r="B879" s="3"/>
      <c r="C879" s="3"/>
      <c r="D879" s="3"/>
      <c r="E879" s="3"/>
      <c r="F879" s="3"/>
      <c r="G879" s="3"/>
      <c r="H879" s="3"/>
      <c r="I879" s="3"/>
      <c r="J879" s="3"/>
      <c r="K879" s="20">
        <v>14883</v>
      </c>
      <c r="L879" s="20" t="str">
        <v>0-1 Cars</v>
      </c>
      <c r="M879" s="20" t="str">
        <v>51-60</v>
      </c>
      <c r="N879" s="20" t="str">
        <v>5-10 Miles</v>
      </c>
      <c r="O879" s="20">
        <v>1</v>
      </c>
      <c r="P879" s="20" t="str">
        <v>Bachelors</v>
      </c>
      <c r="Q879" s="20" t="str">
        <v>North America</v>
      </c>
      <c r="R879" s="20" t="str">
        <v>Married</v>
      </c>
      <c r="S879" s="20" t="str">
        <v>$10k-30k</v>
      </c>
      <c r="T879" s="89">
        <v>0.48958837858867715</v>
      </c>
      <c r="U879" s="91">
        <v>62.732271715365627</v>
      </c>
      <c r="V879" s="49">
        <v>454</v>
      </c>
      <c r="W879" s="20">
        <v>5</v>
      </c>
      <c r="X879" s="20" t="str">
        <v>Warm</v>
      </c>
      <c r="Y879" s="20">
        <v>1</v>
      </c>
    </row>
    <row r="880" spans="1:25" ht="15" customHeight="1" x14ac:dyDescent="0.25">
      <c r="A880" s="3"/>
      <c r="B880" s="3"/>
      <c r="C880" s="3"/>
      <c r="D880" s="3"/>
      <c r="E880" s="3"/>
      <c r="F880" s="3"/>
      <c r="G880" s="3"/>
      <c r="H880" s="3"/>
      <c r="I880" s="3"/>
      <c r="J880" s="3"/>
      <c r="K880" s="20">
        <v>27279</v>
      </c>
      <c r="L880" s="20" t="str">
        <v>0-1 Cars</v>
      </c>
      <c r="M880" s="20" t="str">
        <v>31-40</v>
      </c>
      <c r="N880" s="20" t="str">
        <v>2-5 Miles</v>
      </c>
      <c r="O880" s="20">
        <v>2</v>
      </c>
      <c r="P880" s="20" t="str">
        <v>Bachelors</v>
      </c>
      <c r="Q880" s="20" t="str">
        <v>North America</v>
      </c>
      <c r="R880" s="20" t="str">
        <v>Single</v>
      </c>
      <c r="S880" s="20" t="str">
        <v>$70k-90k</v>
      </c>
      <c r="T880" s="89">
        <v>0.54427760930820968</v>
      </c>
      <c r="U880" s="91">
        <v>89.248538048340777</v>
      </c>
      <c r="V880" s="49">
        <v>78</v>
      </c>
      <c r="W880" s="20">
        <v>1</v>
      </c>
      <c r="X880" s="20" t="str">
        <v>Hot</v>
      </c>
      <c r="Y880" s="20">
        <v>1</v>
      </c>
    </row>
    <row r="881" spans="1:25" ht="15" customHeight="1" x14ac:dyDescent="0.25">
      <c r="A881" s="3"/>
      <c r="B881" s="3"/>
      <c r="C881" s="3"/>
      <c r="D881" s="3"/>
      <c r="E881" s="3"/>
      <c r="F881" s="3"/>
      <c r="G881" s="3"/>
      <c r="H881" s="3"/>
      <c r="I881" s="3"/>
      <c r="J881" s="3"/>
      <c r="K881" s="20">
        <v>18322</v>
      </c>
      <c r="L881" s="20" t="str">
        <v>2+ Cars</v>
      </c>
      <c r="M881" s="20" t="str">
        <v>25-30</v>
      </c>
      <c r="N881" s="20" t="str">
        <v>0-1 Miles</v>
      </c>
      <c r="O881" s="20">
        <v>0</v>
      </c>
      <c r="P881" s="20" t="str">
        <v>Partial High School</v>
      </c>
      <c r="Q881" s="20" t="str">
        <v>North America</v>
      </c>
      <c r="R881" s="20" t="str">
        <v>Single</v>
      </c>
      <c r="S881" s="20" t="str">
        <v>$10k-30k</v>
      </c>
      <c r="T881" s="89">
        <v>0.42104521805438627</v>
      </c>
      <c r="U881" s="91">
        <v>29.498878666704648</v>
      </c>
      <c r="V881" s="49">
        <v>885</v>
      </c>
      <c r="W881" s="20">
        <v>9</v>
      </c>
      <c r="X881" s="20" t="str">
        <v>Cold</v>
      </c>
      <c r="Y881" s="20">
        <v>0</v>
      </c>
    </row>
    <row r="882" spans="1:25" ht="15" customHeight="1" x14ac:dyDescent="0.25">
      <c r="A882" s="3"/>
      <c r="B882" s="3"/>
      <c r="C882" s="3"/>
      <c r="D882" s="3"/>
      <c r="E882" s="3"/>
      <c r="F882" s="3"/>
      <c r="G882" s="3"/>
      <c r="H882" s="3"/>
      <c r="I882" s="3"/>
      <c r="J882" s="3"/>
      <c r="K882" s="20">
        <v>15879</v>
      </c>
      <c r="L882" s="20" t="str">
        <v>2+ Cars</v>
      </c>
      <c r="M882" s="20" t="str">
        <v>61+</v>
      </c>
      <c r="N882" s="20" t="str">
        <v>2-5 Miles</v>
      </c>
      <c r="O882" s="20">
        <v>5</v>
      </c>
      <c r="P882" s="20" t="str">
        <v>Bachelors</v>
      </c>
      <c r="Q882" s="20" t="str">
        <v>North America</v>
      </c>
      <c r="R882" s="20" t="str">
        <v>Married</v>
      </c>
      <c r="S882" s="20" t="str">
        <v>$70k-90k</v>
      </c>
      <c r="T882" s="89">
        <v>0.41266263164259431</v>
      </c>
      <c r="U882" s="91">
        <v>25.434552090341462</v>
      </c>
      <c r="V882" s="49">
        <v>932</v>
      </c>
      <c r="W882" s="20">
        <v>10</v>
      </c>
      <c r="X882" s="20" t="str">
        <v>Cold</v>
      </c>
      <c r="Y882" s="20">
        <v>0</v>
      </c>
    </row>
    <row r="883" spans="1:25" ht="15" customHeight="1" x14ac:dyDescent="0.25">
      <c r="A883" s="3"/>
      <c r="B883" s="3"/>
      <c r="C883" s="3"/>
      <c r="D883" s="3"/>
      <c r="E883" s="3"/>
      <c r="F883" s="3"/>
      <c r="G883" s="3"/>
      <c r="H883" s="3"/>
      <c r="I883" s="3"/>
      <c r="J883" s="3"/>
      <c r="K883" s="20">
        <v>28278</v>
      </c>
      <c r="L883" s="20" t="str">
        <v>2+ Cars</v>
      </c>
      <c r="M883" s="20" t="str">
        <v>61+</v>
      </c>
      <c r="N883" s="20" t="str">
        <v>5-10 Miles</v>
      </c>
      <c r="O883" s="20">
        <v>2</v>
      </c>
      <c r="P883" s="20" t="str">
        <v>Graduate Degree</v>
      </c>
      <c r="Q883" s="20" t="str">
        <v>North America</v>
      </c>
      <c r="R883" s="20" t="str">
        <v>Married</v>
      </c>
      <c r="S883" s="20" t="str">
        <v>$40k-60k</v>
      </c>
      <c r="T883" s="89">
        <v>0.4202742070189221</v>
      </c>
      <c r="U883" s="91">
        <v>29.12505124779511</v>
      </c>
      <c r="V883" s="49">
        <v>891</v>
      </c>
      <c r="W883" s="20">
        <v>9</v>
      </c>
      <c r="X883" s="20" t="str">
        <v>Cold</v>
      </c>
      <c r="Y883" s="20">
        <v>0</v>
      </c>
    </row>
    <row r="884" spans="1:25" ht="15" customHeight="1" x14ac:dyDescent="0.25">
      <c r="A884" s="3"/>
      <c r="B884" s="3"/>
      <c r="C884" s="3"/>
      <c r="D884" s="3"/>
      <c r="E884" s="3"/>
      <c r="F884" s="3"/>
      <c r="G884" s="3"/>
      <c r="H884" s="3"/>
      <c r="I884" s="3"/>
      <c r="J884" s="3"/>
      <c r="K884" s="20">
        <v>24416</v>
      </c>
      <c r="L884" s="20" t="str">
        <v>2+ Cars</v>
      </c>
      <c r="M884" s="20" t="str">
        <v>41-50</v>
      </c>
      <c r="N884" s="20" t="str">
        <v>1-2 Miles</v>
      </c>
      <c r="O884" s="20">
        <v>4</v>
      </c>
      <c r="P884" s="20" t="str">
        <v>High School</v>
      </c>
      <c r="Q884" s="20" t="str">
        <v>North America</v>
      </c>
      <c r="R884" s="20" t="str">
        <v>Married</v>
      </c>
      <c r="S884" s="20" t="str">
        <v>$70k-90k</v>
      </c>
      <c r="T884" s="89">
        <v>0.43533123682034125</v>
      </c>
      <c r="U884" s="91">
        <v>36.425505233800401</v>
      </c>
      <c r="V884" s="49">
        <v>802</v>
      </c>
      <c r="W884" s="20">
        <v>9</v>
      </c>
      <c r="X884" s="20" t="str">
        <v>Cold</v>
      </c>
      <c r="Y884" s="20">
        <v>0</v>
      </c>
    </row>
    <row r="885" spans="1:25" ht="15" customHeight="1" x14ac:dyDescent="0.25">
      <c r="A885" s="3"/>
      <c r="B885" s="3"/>
      <c r="C885" s="3"/>
      <c r="D885" s="3"/>
      <c r="E885" s="3"/>
      <c r="F885" s="3"/>
      <c r="G885" s="3"/>
      <c r="H885" s="3"/>
      <c r="I885" s="3"/>
      <c r="J885" s="3"/>
      <c r="K885" s="20">
        <v>28066</v>
      </c>
      <c r="L885" s="20" t="str">
        <v>0-1 Cars</v>
      </c>
      <c r="M885" s="20" t="str">
        <v>31-40</v>
      </c>
      <c r="N885" s="20" t="str">
        <v>0-1 Miles</v>
      </c>
      <c r="O885" s="20">
        <v>2</v>
      </c>
      <c r="P885" s="20" t="str">
        <v>Graduate Degree</v>
      </c>
      <c r="Q885" s="20" t="str">
        <v>North America</v>
      </c>
      <c r="R885" s="20" t="str">
        <v>Married</v>
      </c>
      <c r="S885" s="20" t="str">
        <v>$70k-90k</v>
      </c>
      <c r="T885" s="89">
        <v>0.52734271278938294</v>
      </c>
      <c r="U885" s="91">
        <v>81.037593763578641</v>
      </c>
      <c r="V885" s="49">
        <v>210</v>
      </c>
      <c r="W885" s="20">
        <v>3</v>
      </c>
      <c r="X885" s="20" t="str">
        <v>Hot</v>
      </c>
      <c r="Y885" s="20">
        <v>1</v>
      </c>
    </row>
    <row r="886" spans="1:25" ht="15" customHeight="1" x14ac:dyDescent="0.25">
      <c r="A886" s="3"/>
      <c r="B886" s="3"/>
      <c r="C886" s="3"/>
      <c r="D886" s="3"/>
      <c r="E886" s="3"/>
      <c r="F886" s="3"/>
      <c r="G886" s="3"/>
      <c r="H886" s="3"/>
      <c r="I886" s="3"/>
      <c r="J886" s="3"/>
      <c r="K886" s="20">
        <v>11275</v>
      </c>
      <c r="L886" s="20" t="str">
        <v>2+ Cars</v>
      </c>
      <c r="M886" s="20" t="str">
        <v>61+</v>
      </c>
      <c r="N886" s="20" t="str">
        <v>0-1 Miles</v>
      </c>
      <c r="O886" s="20">
        <v>4</v>
      </c>
      <c r="P886" s="20" t="str">
        <v>Graduate Degree</v>
      </c>
      <c r="Q886" s="20" t="str">
        <v>North America</v>
      </c>
      <c r="R886" s="20" t="str">
        <v>Married</v>
      </c>
      <c r="S886" s="20" t="str">
        <v>$70k-90k</v>
      </c>
      <c r="T886" s="89">
        <v>0.43409573502581217</v>
      </c>
      <c r="U886" s="91">
        <v>35.826467832696473</v>
      </c>
      <c r="V886" s="49">
        <v>809</v>
      </c>
      <c r="W886" s="20">
        <v>9</v>
      </c>
      <c r="X886" s="20" t="str">
        <v>Cold</v>
      </c>
      <c r="Y886" s="20">
        <v>1</v>
      </c>
    </row>
    <row r="887" spans="1:25" ht="15" customHeight="1" x14ac:dyDescent="0.25">
      <c r="A887" s="3"/>
      <c r="B887" s="3"/>
      <c r="C887" s="3"/>
      <c r="D887" s="3"/>
      <c r="E887" s="3"/>
      <c r="F887" s="3"/>
      <c r="G887" s="3"/>
      <c r="H887" s="3"/>
      <c r="I887" s="3"/>
      <c r="J887" s="3"/>
      <c r="K887" s="20">
        <v>14872</v>
      </c>
      <c r="L887" s="20" t="str">
        <v>0-1 Cars</v>
      </c>
      <c r="M887" s="20" t="str">
        <v>31-40</v>
      </c>
      <c r="N887" s="20" t="str">
        <v>0-1 Miles</v>
      </c>
      <c r="O887" s="20">
        <v>0</v>
      </c>
      <c r="P887" s="20" t="str">
        <v>Graduate Degree</v>
      </c>
      <c r="Q887" s="20" t="str">
        <v>North America</v>
      </c>
      <c r="R887" s="20" t="str">
        <v>Married</v>
      </c>
      <c r="S887" s="20" t="str">
        <v>$10k-30k</v>
      </c>
      <c r="T887" s="89">
        <v>0.52521397579821416</v>
      </c>
      <c r="U887" s="91">
        <v>80.005468128091735</v>
      </c>
      <c r="V887" s="49">
        <v>218</v>
      </c>
      <c r="W887" s="20">
        <v>3</v>
      </c>
      <c r="X887" s="20" t="str">
        <v>Hot</v>
      </c>
      <c r="Y887" s="20">
        <v>0</v>
      </c>
    </row>
    <row r="888" spans="1:25" ht="15" customHeight="1" x14ac:dyDescent="0.25">
      <c r="A888" s="3"/>
      <c r="B888" s="3"/>
      <c r="C888" s="3"/>
      <c r="D888" s="3"/>
      <c r="E888" s="3"/>
      <c r="F888" s="3"/>
      <c r="G888" s="3"/>
      <c r="H888" s="3"/>
      <c r="I888" s="3"/>
      <c r="J888" s="3"/>
      <c r="K888" s="20">
        <v>16151</v>
      </c>
      <c r="L888" s="20" t="str">
        <v>0-1 Cars</v>
      </c>
      <c r="M888" s="20" t="str">
        <v>41-50</v>
      </c>
      <c r="N888" s="20" t="str">
        <v>2-5 Miles</v>
      </c>
      <c r="O888" s="20">
        <v>1</v>
      </c>
      <c r="P888" s="20" t="str">
        <v>Bachelors</v>
      </c>
      <c r="Q888" s="20" t="str">
        <v>North America</v>
      </c>
      <c r="R888" s="20" t="str">
        <v>Married</v>
      </c>
      <c r="S888" s="20" t="str">
        <v>$40k-60k</v>
      </c>
      <c r="T888" s="89">
        <v>0.52980738479348211</v>
      </c>
      <c r="U888" s="91">
        <v>82.232598674495776</v>
      </c>
      <c r="V888" s="49">
        <v>188</v>
      </c>
      <c r="W888" s="20">
        <v>2</v>
      </c>
      <c r="X888" s="20" t="str">
        <v>Hot</v>
      </c>
      <c r="Y888" s="20">
        <v>1</v>
      </c>
    </row>
    <row r="889" spans="1:25" ht="15" customHeight="1" x14ac:dyDescent="0.25">
      <c r="A889" s="3"/>
      <c r="B889" s="3"/>
      <c r="C889" s="3"/>
      <c r="D889" s="3"/>
      <c r="E889" s="3"/>
      <c r="F889" s="3"/>
      <c r="G889" s="3"/>
      <c r="H889" s="3"/>
      <c r="I889" s="3"/>
      <c r="J889" s="3"/>
      <c r="K889" s="20">
        <v>19731</v>
      </c>
      <c r="L889" s="20" t="str">
        <v>2+ Cars</v>
      </c>
      <c r="M889" s="20" t="str">
        <v>61+</v>
      </c>
      <c r="N889" s="20" t="str">
        <v>5-10 Miles</v>
      </c>
      <c r="O889" s="20">
        <v>4</v>
      </c>
      <c r="P889" s="20" t="str">
        <v>Graduate Degree</v>
      </c>
      <c r="Q889" s="20" t="str">
        <v>North America</v>
      </c>
      <c r="R889" s="20" t="str">
        <v>Married</v>
      </c>
      <c r="S889" s="20" t="str">
        <v>$70k-90k</v>
      </c>
      <c r="T889" s="89">
        <v>0.41236726334973389</v>
      </c>
      <c r="U889" s="91">
        <v>25.291341732163836</v>
      </c>
      <c r="V889" s="49">
        <v>934</v>
      </c>
      <c r="W889" s="20">
        <v>10</v>
      </c>
      <c r="X889" s="20" t="str">
        <v>Cold</v>
      </c>
      <c r="Y889" s="20">
        <v>0</v>
      </c>
    </row>
    <row r="890" spans="1:25" ht="15" customHeight="1" x14ac:dyDescent="0.25">
      <c r="A890" s="3"/>
      <c r="B890" s="3"/>
      <c r="C890" s="3"/>
      <c r="D890" s="3"/>
      <c r="E890" s="3"/>
      <c r="F890" s="3"/>
      <c r="G890" s="3"/>
      <c r="H890" s="3"/>
      <c r="I890" s="3"/>
      <c r="J890" s="3"/>
      <c r="K890" s="20">
        <v>23801</v>
      </c>
      <c r="L890" s="20" t="str">
        <v>2+ Cars</v>
      </c>
      <c r="M890" s="20" t="str">
        <v>41-50</v>
      </c>
      <c r="N890" s="20" t="str">
        <v>0-1 Miles</v>
      </c>
      <c r="O890" s="20">
        <v>2</v>
      </c>
      <c r="P890" s="20" t="str">
        <v>Partial High School</v>
      </c>
      <c r="Q890" s="20" t="str">
        <v>North America</v>
      </c>
      <c r="R890" s="20" t="str">
        <v>Married</v>
      </c>
      <c r="S890" s="20" t="str">
        <v>$10k-30k</v>
      </c>
      <c r="T890" s="89">
        <v>0.42349252349833816</v>
      </c>
      <c r="U890" s="91">
        <v>30.685463339704832</v>
      </c>
      <c r="V890" s="49">
        <v>861</v>
      </c>
      <c r="W890" s="20">
        <v>9</v>
      </c>
      <c r="X890" s="20" t="str">
        <v>Cold</v>
      </c>
      <c r="Y890" s="20">
        <v>0</v>
      </c>
    </row>
    <row r="891" spans="1:25" ht="15" customHeight="1" x14ac:dyDescent="0.25">
      <c r="A891" s="3"/>
      <c r="B891" s="3"/>
      <c r="C891" s="3"/>
      <c r="D891" s="3"/>
      <c r="E891" s="3"/>
      <c r="F891" s="3"/>
      <c r="G891" s="3"/>
      <c r="H891" s="3"/>
      <c r="I891" s="3"/>
      <c r="J891" s="3"/>
      <c r="K891" s="20">
        <v>11807</v>
      </c>
      <c r="L891" s="20" t="str">
        <v>0-1 Cars</v>
      </c>
      <c r="M891" s="20" t="str">
        <v>31-40</v>
      </c>
      <c r="N891" s="20" t="str">
        <v>2-5 Miles</v>
      </c>
      <c r="O891" s="20">
        <v>3</v>
      </c>
      <c r="P891" s="20" t="str">
        <v>Graduate Degree</v>
      </c>
      <c r="Q891" s="20" t="str">
        <v>North America</v>
      </c>
      <c r="R891" s="20" t="str">
        <v>Married</v>
      </c>
      <c r="S891" s="20" t="str">
        <v>$70k-90k</v>
      </c>
      <c r="T891" s="89">
        <v>0.54432405256268634</v>
      </c>
      <c r="U891" s="91">
        <v>89.271056224019446</v>
      </c>
      <c r="V891" s="49">
        <v>75</v>
      </c>
      <c r="W891" s="20">
        <v>1</v>
      </c>
      <c r="X891" s="20" t="str">
        <v>Hot</v>
      </c>
      <c r="Y891" s="20">
        <v>0</v>
      </c>
    </row>
    <row r="892" spans="1:25" ht="15" customHeight="1" x14ac:dyDescent="0.25">
      <c r="A892" s="3"/>
      <c r="B892" s="3"/>
      <c r="C892" s="3"/>
      <c r="D892" s="3"/>
      <c r="E892" s="3"/>
      <c r="F892" s="3"/>
      <c r="G892" s="3"/>
      <c r="H892" s="3"/>
      <c r="I892" s="3"/>
      <c r="J892" s="3"/>
      <c r="K892" s="20">
        <v>11622</v>
      </c>
      <c r="L892" s="20" t="str">
        <v>0-1 Cars</v>
      </c>
      <c r="M892" s="20" t="str">
        <v>31-40</v>
      </c>
      <c r="N892" s="20" t="str">
        <v>0-1 Miles</v>
      </c>
      <c r="O892" s="20">
        <v>0</v>
      </c>
      <c r="P892" s="20" t="str">
        <v>Graduate Degree</v>
      </c>
      <c r="Q892" s="20" t="str">
        <v>North America</v>
      </c>
      <c r="R892" s="20" t="str">
        <v>Married</v>
      </c>
      <c r="S892" s="20" t="str">
        <v>$40k-60k</v>
      </c>
      <c r="T892" s="89">
        <v>0.53603935863746655</v>
      </c>
      <c r="U892" s="91">
        <v>85.254193164911712</v>
      </c>
      <c r="V892" s="49">
        <v>136</v>
      </c>
      <c r="W892" s="20">
        <v>2</v>
      </c>
      <c r="X892" s="20" t="str">
        <v>Hot</v>
      </c>
      <c r="Y892" s="20">
        <v>0</v>
      </c>
    </row>
    <row r="893" spans="1:25" ht="15" customHeight="1" x14ac:dyDescent="0.25">
      <c r="A893" s="3"/>
      <c r="B893" s="3"/>
      <c r="C893" s="3"/>
      <c r="D893" s="3"/>
      <c r="E893" s="3"/>
      <c r="F893" s="3"/>
      <c r="G893" s="3"/>
      <c r="H893" s="3"/>
      <c r="I893" s="3"/>
      <c r="J893" s="3"/>
      <c r="K893" s="20">
        <v>26597</v>
      </c>
      <c r="L893" s="20" t="str">
        <v>2+ Cars</v>
      </c>
      <c r="M893" s="20" t="str">
        <v>41-50</v>
      </c>
      <c r="N893" s="20" t="str">
        <v>0-1 Miles</v>
      </c>
      <c r="O893" s="20">
        <v>4</v>
      </c>
      <c r="P893" s="20" t="str">
        <v>Bachelors</v>
      </c>
      <c r="Q893" s="20" t="str">
        <v>North America</v>
      </c>
      <c r="R893" s="20" t="str">
        <v>Single</v>
      </c>
      <c r="S893" s="20" t="str">
        <v>$40k-60k</v>
      </c>
      <c r="T893" s="89">
        <v>0.47479059369179699</v>
      </c>
      <c r="U893" s="91">
        <v>55.557513535349571</v>
      </c>
      <c r="V893" s="49">
        <v>542</v>
      </c>
      <c r="W893" s="20">
        <v>6</v>
      </c>
      <c r="X893" s="20" t="str">
        <v>Warm</v>
      </c>
      <c r="Y893" s="20">
        <v>0</v>
      </c>
    </row>
    <row r="894" spans="1:25" ht="15" customHeight="1" x14ac:dyDescent="0.25">
      <c r="A894" s="3"/>
      <c r="B894" s="3"/>
      <c r="C894" s="3"/>
      <c r="D894" s="3"/>
      <c r="E894" s="3"/>
      <c r="F894" s="3"/>
      <c r="G894" s="3"/>
      <c r="H894" s="3"/>
      <c r="I894" s="3"/>
      <c r="J894" s="3"/>
      <c r="K894" s="20">
        <v>27074</v>
      </c>
      <c r="L894" s="20" t="str">
        <v>0-1 Cars</v>
      </c>
      <c r="M894" s="20" t="str">
        <v>31-40</v>
      </c>
      <c r="N894" s="20" t="str">
        <v>0-1 Miles</v>
      </c>
      <c r="O894" s="20">
        <v>1</v>
      </c>
      <c r="P894" s="20" t="str">
        <v>Graduate Degree</v>
      </c>
      <c r="Q894" s="20" t="str">
        <v>North America</v>
      </c>
      <c r="R894" s="20" t="str">
        <v>Married</v>
      </c>
      <c r="S894" s="20" t="str">
        <v>$70k-90k</v>
      </c>
      <c r="T894" s="89">
        <v>0.54261576485593521</v>
      </c>
      <c r="U894" s="91">
        <v>88.442786906466537</v>
      </c>
      <c r="V894" s="49">
        <v>94</v>
      </c>
      <c r="W894" s="20">
        <v>1</v>
      </c>
      <c r="X894" s="20" t="str">
        <v>Hot</v>
      </c>
      <c r="Y894" s="20">
        <v>1</v>
      </c>
    </row>
    <row r="895" spans="1:25" ht="15" customHeight="1" x14ac:dyDescent="0.25">
      <c r="A895" s="3"/>
      <c r="B895" s="3"/>
      <c r="C895" s="3"/>
      <c r="D895" s="3"/>
      <c r="E895" s="3"/>
      <c r="F895" s="3"/>
      <c r="G895" s="3"/>
      <c r="H895" s="3"/>
      <c r="I895" s="3"/>
      <c r="J895" s="3"/>
      <c r="K895" s="20">
        <v>19228</v>
      </c>
      <c r="L895" s="20" t="str">
        <v>0-1 Cars</v>
      </c>
      <c r="M895" s="20" t="str">
        <v>41-50</v>
      </c>
      <c r="N895" s="20" t="str">
        <v>0-1 Miles</v>
      </c>
      <c r="O895" s="20">
        <v>2</v>
      </c>
      <c r="P895" s="20" t="str">
        <v>Partial College</v>
      </c>
      <c r="Q895" s="20" t="str">
        <v>North America</v>
      </c>
      <c r="R895" s="20" t="str">
        <v>Married</v>
      </c>
      <c r="S895" s="20" t="str">
        <v>$40k-60k</v>
      </c>
      <c r="T895" s="89">
        <v>0.49600845310431635</v>
      </c>
      <c r="U895" s="91">
        <v>65.845067479622642</v>
      </c>
      <c r="V895" s="49">
        <v>409</v>
      </c>
      <c r="W895" s="20">
        <v>5</v>
      </c>
      <c r="X895" s="20" t="str">
        <v>Warm</v>
      </c>
      <c r="Y895" s="20">
        <v>0</v>
      </c>
    </row>
    <row r="896" spans="1:25" ht="15" customHeight="1" x14ac:dyDescent="0.25">
      <c r="A896" s="3"/>
      <c r="B896" s="3"/>
      <c r="C896" s="3"/>
      <c r="D896" s="3"/>
      <c r="E896" s="3"/>
      <c r="F896" s="3"/>
      <c r="G896" s="3"/>
      <c r="H896" s="3"/>
      <c r="I896" s="3"/>
      <c r="J896" s="3"/>
      <c r="K896" s="20">
        <v>13415</v>
      </c>
      <c r="L896" s="20" t="str">
        <v>2+ Cars</v>
      </c>
      <c r="M896" s="20" t="str">
        <v>61+</v>
      </c>
      <c r="N896" s="20" t="str">
        <v>2-5 Miles</v>
      </c>
      <c r="O896" s="20">
        <v>1</v>
      </c>
      <c r="P896" s="20" t="str">
        <v>Graduate Degree</v>
      </c>
      <c r="Q896" s="20" t="str">
        <v>North America</v>
      </c>
      <c r="R896" s="20" t="str">
        <v>Single</v>
      </c>
      <c r="S896" s="20" t="str">
        <v>$100k+</v>
      </c>
      <c r="T896" s="89">
        <v>0.46890209226728924</v>
      </c>
      <c r="U896" s="91">
        <v>52.702452858502546</v>
      </c>
      <c r="V896" s="49">
        <v>587</v>
      </c>
      <c r="W896" s="20">
        <v>6</v>
      </c>
      <c r="X896" s="20" t="str">
        <v>Warm</v>
      </c>
      <c r="Y896" s="20">
        <v>1</v>
      </c>
    </row>
    <row r="897" spans="1:25" ht="15" customHeight="1" x14ac:dyDescent="0.25">
      <c r="A897" s="3"/>
      <c r="B897" s="3"/>
      <c r="C897" s="3"/>
      <c r="D897" s="3"/>
      <c r="E897" s="3"/>
      <c r="F897" s="3"/>
      <c r="G897" s="3"/>
      <c r="H897" s="3"/>
      <c r="I897" s="3"/>
      <c r="J897" s="3"/>
      <c r="K897" s="20">
        <v>17000</v>
      </c>
      <c r="L897" s="20" t="str">
        <v>2+ Cars</v>
      </c>
      <c r="M897" s="20" t="str">
        <v>41-50</v>
      </c>
      <c r="N897" s="20" t="str">
        <v>2-5 Miles</v>
      </c>
      <c r="O897" s="20">
        <v>4</v>
      </c>
      <c r="P897" s="20" t="str">
        <v>Bachelors</v>
      </c>
      <c r="Q897" s="20" t="str">
        <v>North America</v>
      </c>
      <c r="R897" s="20" t="str">
        <v>Single</v>
      </c>
      <c r="S897" s="20" t="str">
        <v>$70k-90k</v>
      </c>
      <c r="T897" s="89">
        <v>0.47759198224685451</v>
      </c>
      <c r="U897" s="91">
        <v>56.915776653165253</v>
      </c>
      <c r="V897" s="49">
        <v>525</v>
      </c>
      <c r="W897" s="20">
        <v>6</v>
      </c>
      <c r="X897" s="20" t="str">
        <v>Warm</v>
      </c>
      <c r="Y897" s="20">
        <v>1</v>
      </c>
    </row>
    <row r="898" spans="1:25" ht="15" customHeight="1" x14ac:dyDescent="0.25">
      <c r="A898" s="3"/>
      <c r="B898" s="3"/>
      <c r="C898" s="3"/>
      <c r="D898" s="3"/>
      <c r="E898" s="3"/>
      <c r="F898" s="3"/>
      <c r="G898" s="3"/>
      <c r="H898" s="3"/>
      <c r="I898" s="3"/>
      <c r="J898" s="3"/>
      <c r="K898" s="20">
        <v>14569</v>
      </c>
      <c r="L898" s="20" t="str">
        <v>0-1 Cars</v>
      </c>
      <c r="M898" s="20" t="str">
        <v>31-40</v>
      </c>
      <c r="N898" s="20" t="str">
        <v>0-1 Miles</v>
      </c>
      <c r="O898" s="20">
        <v>1</v>
      </c>
      <c r="P898" s="20" t="str">
        <v>Graduate Degree</v>
      </c>
      <c r="Q898" s="20" t="str">
        <v>North America</v>
      </c>
      <c r="R898" s="20" t="str">
        <v>Married</v>
      </c>
      <c r="S898" s="20" t="str">
        <v>$40k-60k</v>
      </c>
      <c r="T898" s="89">
        <v>0.54558089771654972</v>
      </c>
      <c r="U898" s="91">
        <v>89.880442028147186</v>
      </c>
      <c r="V898" s="49">
        <v>70</v>
      </c>
      <c r="W898" s="20">
        <v>1</v>
      </c>
      <c r="X898" s="20" t="str">
        <v>Hot</v>
      </c>
      <c r="Y898" s="20">
        <v>0</v>
      </c>
    </row>
    <row r="899" spans="1:25" ht="15" customHeight="1" x14ac:dyDescent="0.25">
      <c r="A899" s="3"/>
      <c r="B899" s="3"/>
      <c r="C899" s="3"/>
      <c r="D899" s="3"/>
      <c r="E899" s="3"/>
      <c r="F899" s="3"/>
      <c r="G899" s="3"/>
      <c r="H899" s="3"/>
      <c r="I899" s="3"/>
      <c r="J899" s="3"/>
      <c r="K899" s="20">
        <v>13873</v>
      </c>
      <c r="L899" s="20" t="str">
        <v>0-1 Cars</v>
      </c>
      <c r="M899" s="20" t="str">
        <v>31-40</v>
      </c>
      <c r="N899" s="20" t="str">
        <v>0-1 Miles</v>
      </c>
      <c r="O899" s="20">
        <v>3</v>
      </c>
      <c r="P899" s="20" t="str">
        <v>Graduate Degree</v>
      </c>
      <c r="Q899" s="20" t="str">
        <v>North America</v>
      </c>
      <c r="R899" s="20" t="str">
        <v>Married</v>
      </c>
      <c r="S899" s="20" t="str">
        <v>$70k-90k</v>
      </c>
      <c r="T899" s="89">
        <v>0.53855753114701432</v>
      </c>
      <c r="U899" s="91">
        <v>86.475137984523116</v>
      </c>
      <c r="V899" s="49">
        <v>120</v>
      </c>
      <c r="W899" s="20">
        <v>2</v>
      </c>
      <c r="X899" s="20" t="str">
        <v>Hot</v>
      </c>
      <c r="Y899" s="20">
        <v>1</v>
      </c>
    </row>
    <row r="900" spans="1:25" ht="15" customHeight="1" x14ac:dyDescent="0.25">
      <c r="A900" s="3"/>
      <c r="B900" s="3"/>
      <c r="C900" s="3"/>
      <c r="D900" s="3"/>
      <c r="E900" s="3"/>
      <c r="F900" s="3"/>
      <c r="G900" s="3"/>
      <c r="H900" s="3"/>
      <c r="I900" s="3"/>
      <c r="J900" s="3"/>
      <c r="K900" s="20">
        <v>20401</v>
      </c>
      <c r="L900" s="20" t="str">
        <v>2+ Cars</v>
      </c>
      <c r="M900" s="20" t="str">
        <v>61+</v>
      </c>
      <c r="N900" s="20" t="str">
        <v>1-2 Miles</v>
      </c>
      <c r="O900" s="20">
        <v>4</v>
      </c>
      <c r="P900" s="20" t="str">
        <v>Bachelors</v>
      </c>
      <c r="Q900" s="20" t="str">
        <v>North America</v>
      </c>
      <c r="R900" s="20" t="str">
        <v>Married</v>
      </c>
      <c r="S900" s="20" t="str">
        <v>$40k-60k</v>
      </c>
      <c r="T900" s="89">
        <v>0.4254480534394578</v>
      </c>
      <c r="U900" s="91">
        <v>31.633608926296819</v>
      </c>
      <c r="V900" s="49">
        <v>856</v>
      </c>
      <c r="W900" s="20">
        <v>9</v>
      </c>
      <c r="X900" s="20" t="str">
        <v>Cold</v>
      </c>
      <c r="Y900" s="20">
        <v>1</v>
      </c>
    </row>
    <row r="901" spans="1:25" ht="15" customHeight="1" x14ac:dyDescent="0.25">
      <c r="A901" s="3"/>
      <c r="B901" s="3"/>
      <c r="C901" s="3"/>
      <c r="D901" s="3"/>
      <c r="E901" s="3"/>
      <c r="F901" s="3"/>
      <c r="G901" s="3"/>
      <c r="H901" s="3"/>
      <c r="I901" s="3"/>
      <c r="J901" s="3"/>
      <c r="K901" s="20">
        <v>21583</v>
      </c>
      <c r="L901" s="20" t="str">
        <v>0-1 Cars</v>
      </c>
      <c r="M901" s="20" t="str">
        <v>31-40</v>
      </c>
      <c r="N901" s="20" t="str">
        <v>0-1 Miles</v>
      </c>
      <c r="O901" s="20">
        <v>1</v>
      </c>
      <c r="P901" s="20" t="str">
        <v>Bachelors</v>
      </c>
      <c r="Q901" s="20" t="str">
        <v>North America</v>
      </c>
      <c r="R901" s="20" t="str">
        <v>Married</v>
      </c>
      <c r="S901" s="20" t="str">
        <v>$40k-60k</v>
      </c>
      <c r="T901" s="89">
        <v>0.5470712301118793</v>
      </c>
      <c r="U901" s="91">
        <v>90.603034944509176</v>
      </c>
      <c r="V901" s="49">
        <v>62</v>
      </c>
      <c r="W901" s="20">
        <v>1</v>
      </c>
      <c r="X901" s="20" t="str">
        <v>Hot</v>
      </c>
      <c r="Y901" s="20">
        <v>1</v>
      </c>
    </row>
    <row r="902" spans="1:25" ht="15" customHeight="1" x14ac:dyDescent="0.25">
      <c r="A902" s="3"/>
      <c r="B902" s="3"/>
      <c r="C902" s="3"/>
      <c r="D902" s="3"/>
      <c r="E902" s="3"/>
      <c r="F902" s="3"/>
      <c r="G902" s="3"/>
      <c r="H902" s="3"/>
      <c r="I902" s="3"/>
      <c r="J902" s="3"/>
      <c r="K902" s="20">
        <v>12029</v>
      </c>
      <c r="L902" s="20" t="str">
        <v>2+ Cars</v>
      </c>
      <c r="M902" s="20" t="str">
        <v>25-30</v>
      </c>
      <c r="N902" s="20" t="str">
        <v>0-1 Miles</v>
      </c>
      <c r="O902" s="20">
        <v>0</v>
      </c>
      <c r="P902" s="20" t="str">
        <v>Partial High School</v>
      </c>
      <c r="Q902" s="20" t="str">
        <v>North America</v>
      </c>
      <c r="R902" s="20" t="str">
        <v>Married</v>
      </c>
      <c r="S902" s="20" t="str">
        <v>$10k-30k</v>
      </c>
      <c r="T902" s="89">
        <v>0.41136717534656114</v>
      </c>
      <c r="U902" s="91">
        <v>24.806445537800823</v>
      </c>
      <c r="V902" s="49">
        <v>942</v>
      </c>
      <c r="W902" s="20">
        <v>10</v>
      </c>
      <c r="X902" s="20" t="str">
        <v>Cold</v>
      </c>
      <c r="Y902" s="20">
        <v>0</v>
      </c>
    </row>
    <row r="903" spans="1:25" ht="15" customHeight="1" x14ac:dyDescent="0.25">
      <c r="A903" s="3"/>
      <c r="B903" s="3"/>
      <c r="C903" s="3"/>
      <c r="D903" s="3"/>
      <c r="E903" s="3"/>
      <c r="F903" s="3"/>
      <c r="G903" s="3"/>
      <c r="H903" s="3"/>
      <c r="I903" s="3"/>
      <c r="J903" s="3"/>
      <c r="K903" s="20">
        <v>18066</v>
      </c>
      <c r="L903" s="20" t="str">
        <v>2+ Cars</v>
      </c>
      <c r="M903" s="20" t="str">
        <v>51-60</v>
      </c>
      <c r="N903" s="20" t="str">
        <v>10+ Miles</v>
      </c>
      <c r="O903" s="20">
        <v>5</v>
      </c>
      <c r="P903" s="20" t="str">
        <v>Bachelors</v>
      </c>
      <c r="Q903" s="20" t="str">
        <v>North America</v>
      </c>
      <c r="R903" s="20" t="str">
        <v>Single</v>
      </c>
      <c r="S903" s="20" t="str">
        <v>$70k-90k</v>
      </c>
      <c r="T903" s="89">
        <v>0.40529307808947662</v>
      </c>
      <c r="U903" s="91">
        <v>21.861398067171056</v>
      </c>
      <c r="V903" s="49">
        <v>958</v>
      </c>
      <c r="W903" s="20">
        <v>10</v>
      </c>
      <c r="X903" s="20" t="str">
        <v>Cold</v>
      </c>
      <c r="Y903" s="20">
        <v>1</v>
      </c>
    </row>
    <row r="904" spans="1:25" ht="15" customHeight="1" x14ac:dyDescent="0.25">
      <c r="A904" s="3"/>
      <c r="B904" s="3"/>
      <c r="C904" s="3"/>
      <c r="D904" s="3"/>
      <c r="E904" s="3"/>
      <c r="F904" s="3"/>
      <c r="G904" s="3"/>
      <c r="H904" s="3"/>
      <c r="I904" s="3"/>
      <c r="J904" s="3"/>
      <c r="K904" s="20">
        <v>28192</v>
      </c>
      <c r="L904" s="20" t="str">
        <v>2+ Cars</v>
      </c>
      <c r="M904" s="20" t="str">
        <v>41-50</v>
      </c>
      <c r="N904" s="20" t="str">
        <v>10+ Miles</v>
      </c>
      <c r="O904" s="20">
        <v>5</v>
      </c>
      <c r="P904" s="20" t="str">
        <v>Graduate Degree</v>
      </c>
      <c r="Q904" s="20" t="str">
        <v>North America</v>
      </c>
      <c r="R904" s="20" t="str">
        <v>Married</v>
      </c>
      <c r="S904" s="20" t="str">
        <v>$70k-90k</v>
      </c>
      <c r="T904" s="89">
        <v>0.39602333326012396</v>
      </c>
      <c r="U904" s="91">
        <v>17.366929604186325</v>
      </c>
      <c r="V904" s="49">
        <v>978</v>
      </c>
      <c r="W904" s="20">
        <v>10</v>
      </c>
      <c r="X904" s="20" t="str">
        <v>Cold</v>
      </c>
      <c r="Y904" s="20">
        <v>0</v>
      </c>
    </row>
    <row r="905" spans="1:25" ht="15" customHeight="1" x14ac:dyDescent="0.25">
      <c r="A905" s="3"/>
      <c r="B905" s="3"/>
      <c r="C905" s="3"/>
      <c r="D905" s="3"/>
      <c r="E905" s="3"/>
      <c r="F905" s="3"/>
      <c r="G905" s="3"/>
      <c r="H905" s="3"/>
      <c r="I905" s="3"/>
      <c r="J905" s="3"/>
      <c r="K905" s="20">
        <v>16122</v>
      </c>
      <c r="L905" s="20" t="str">
        <v>2+ Cars</v>
      </c>
      <c r="M905" s="20" t="str">
        <v>41-50</v>
      </c>
      <c r="N905" s="20" t="str">
        <v>0-1 Miles</v>
      </c>
      <c r="O905" s="20">
        <v>4</v>
      </c>
      <c r="P905" s="20" t="str">
        <v>High School</v>
      </c>
      <c r="Q905" s="20" t="str">
        <v>North America</v>
      </c>
      <c r="R905" s="20" t="str">
        <v>Married</v>
      </c>
      <c r="S905" s="20" t="str">
        <v>$40k-60k</v>
      </c>
      <c r="T905" s="89">
        <v>0.45139951652325427</v>
      </c>
      <c r="U905" s="91">
        <v>44.216267299923366</v>
      </c>
      <c r="V905" s="49">
        <v>722</v>
      </c>
      <c r="W905" s="20">
        <v>8</v>
      </c>
      <c r="X905" s="20" t="str">
        <v>Cold</v>
      </c>
      <c r="Y905" s="20">
        <v>1</v>
      </c>
    </row>
    <row r="906" spans="1:25" ht="15" customHeight="1" x14ac:dyDescent="0.25">
      <c r="A906" s="3"/>
      <c r="B906" s="3"/>
      <c r="C906" s="3"/>
      <c r="D906" s="3"/>
      <c r="E906" s="3"/>
      <c r="F906" s="3"/>
      <c r="G906" s="3"/>
      <c r="H906" s="3"/>
      <c r="I906" s="3"/>
      <c r="J906" s="3"/>
      <c r="K906" s="20">
        <v>18607</v>
      </c>
      <c r="L906" s="20" t="str">
        <v>2+ Cars</v>
      </c>
      <c r="M906" s="20" t="str">
        <v>41-50</v>
      </c>
      <c r="N906" s="20" t="str">
        <v>2-5 Miles</v>
      </c>
      <c r="O906" s="20">
        <v>4</v>
      </c>
      <c r="P906" s="20" t="str">
        <v>Bachelors</v>
      </c>
      <c r="Q906" s="20" t="str">
        <v>North America</v>
      </c>
      <c r="R906" s="20" t="str">
        <v>Single</v>
      </c>
      <c r="S906" s="20" t="str">
        <v>$40k-60k</v>
      </c>
      <c r="T906" s="89">
        <v>0.48055711510746901</v>
      </c>
      <c r="U906" s="91">
        <v>58.353431774845902</v>
      </c>
      <c r="V906" s="49">
        <v>508</v>
      </c>
      <c r="W906" s="20">
        <v>6</v>
      </c>
      <c r="X906" s="20" t="str">
        <v>Warm</v>
      </c>
      <c r="Y906" s="20">
        <v>1</v>
      </c>
    </row>
    <row r="907" spans="1:25" ht="15" customHeight="1" x14ac:dyDescent="0.25">
      <c r="A907" s="3"/>
      <c r="B907" s="3"/>
      <c r="C907" s="3"/>
      <c r="D907" s="3"/>
      <c r="E907" s="3"/>
      <c r="F907" s="3"/>
      <c r="G907" s="3"/>
      <c r="H907" s="3"/>
      <c r="I907" s="3"/>
      <c r="J907" s="3"/>
      <c r="K907" s="20">
        <v>28858</v>
      </c>
      <c r="L907" s="20" t="str">
        <v>0-1 Cars</v>
      </c>
      <c r="M907" s="20" t="str">
        <v>31-40</v>
      </c>
      <c r="N907" s="20" t="str">
        <v>2-5 Miles</v>
      </c>
      <c r="O907" s="20">
        <v>3</v>
      </c>
      <c r="P907" s="20" t="str">
        <v>Bachelors</v>
      </c>
      <c r="Q907" s="20" t="str">
        <v>North America</v>
      </c>
      <c r="R907" s="20" t="str">
        <v>Single</v>
      </c>
      <c r="S907" s="20" t="str">
        <v>$70k-90k</v>
      </c>
      <c r="T907" s="89">
        <v>0.55549242766584117</v>
      </c>
      <c r="U907" s="91">
        <v>94.686082269285293</v>
      </c>
      <c r="V907" s="49">
        <v>17</v>
      </c>
      <c r="W907" s="20">
        <v>1</v>
      </c>
      <c r="X907" s="20" t="str">
        <v>Hot</v>
      </c>
      <c r="Y907" s="20">
        <v>0</v>
      </c>
    </row>
    <row r="908" spans="1:25" ht="15" customHeight="1" x14ac:dyDescent="0.25">
      <c r="A908" s="3"/>
      <c r="B908" s="3"/>
      <c r="C908" s="3"/>
      <c r="D908" s="3"/>
      <c r="E908" s="3"/>
      <c r="F908" s="3"/>
      <c r="G908" s="3"/>
      <c r="H908" s="3"/>
      <c r="I908" s="3"/>
      <c r="J908" s="3"/>
      <c r="K908" s="20">
        <v>14432</v>
      </c>
      <c r="L908" s="20" t="str">
        <v>0-1 Cars</v>
      </c>
      <c r="M908" s="20" t="str">
        <v>61+</v>
      </c>
      <c r="N908" s="20" t="str">
        <v>5-10 Miles</v>
      </c>
      <c r="O908" s="20">
        <v>4</v>
      </c>
      <c r="P908" s="20" t="str">
        <v>Graduate Degree</v>
      </c>
      <c r="Q908" s="20" t="str">
        <v>North America</v>
      </c>
      <c r="R908" s="20" t="str">
        <v>Single</v>
      </c>
      <c r="S908" s="20" t="str">
        <v>$70k-90k</v>
      </c>
      <c r="T908" s="89">
        <v>0.46075875557627116</v>
      </c>
      <c r="U908" s="91">
        <v>48.754127352782767</v>
      </c>
      <c r="V908" s="49">
        <v>645</v>
      </c>
      <c r="W908" s="20">
        <v>7</v>
      </c>
      <c r="X908" s="20" t="str">
        <v>Cold</v>
      </c>
      <c r="Y908" s="20">
        <v>0</v>
      </c>
    </row>
    <row r="909" spans="1:25" ht="15" customHeight="1" x14ac:dyDescent="0.25">
      <c r="A909" s="3"/>
      <c r="B909" s="3"/>
      <c r="C909" s="3"/>
      <c r="D909" s="3"/>
      <c r="E909" s="3"/>
      <c r="F909" s="3"/>
      <c r="G909" s="3"/>
      <c r="H909" s="3"/>
      <c r="I909" s="3"/>
      <c r="J909" s="3"/>
      <c r="K909" s="20">
        <v>26305</v>
      </c>
      <c r="L909" s="20" t="str">
        <v>0-1 Cars</v>
      </c>
      <c r="M909" s="20" t="str">
        <v>31-40</v>
      </c>
      <c r="N909" s="20" t="str">
        <v>0-1 Miles</v>
      </c>
      <c r="O909" s="20">
        <v>2</v>
      </c>
      <c r="P909" s="20" t="str">
        <v>Bachelors</v>
      </c>
      <c r="Q909" s="20" t="str">
        <v>North America</v>
      </c>
      <c r="R909" s="20" t="str">
        <v>Single</v>
      </c>
      <c r="S909" s="20" t="str">
        <v>$40k-60k</v>
      </c>
      <c r="T909" s="89">
        <v>0.54147622075315216</v>
      </c>
      <c r="U909" s="91">
        <v>87.890274930525095</v>
      </c>
      <c r="V909" s="49">
        <v>109</v>
      </c>
      <c r="W909" s="20">
        <v>2</v>
      </c>
      <c r="X909" s="20" t="str">
        <v>Hot</v>
      </c>
      <c r="Y909" s="20">
        <v>1</v>
      </c>
    </row>
    <row r="910" spans="1:25" ht="15" customHeight="1" x14ac:dyDescent="0.25">
      <c r="A910" s="3"/>
      <c r="B910" s="3"/>
      <c r="C910" s="3"/>
      <c r="D910" s="3"/>
      <c r="E910" s="3"/>
      <c r="F910" s="3"/>
      <c r="G910" s="3"/>
      <c r="H910" s="3"/>
      <c r="I910" s="3"/>
      <c r="J910" s="3"/>
      <c r="K910" s="20">
        <v>22050</v>
      </c>
      <c r="L910" s="20" t="str">
        <v>0-1 Cars</v>
      </c>
      <c r="M910" s="20" t="str">
        <v>31-40</v>
      </c>
      <c r="N910" s="20" t="str">
        <v>1-2 Miles</v>
      </c>
      <c r="O910" s="20">
        <v>4</v>
      </c>
      <c r="P910" s="20" t="str">
        <v>Bachelors</v>
      </c>
      <c r="Q910" s="20" t="str">
        <v>North America</v>
      </c>
      <c r="R910" s="20" t="str">
        <v>Single</v>
      </c>
      <c r="S910" s="20" t="str">
        <v>$70k-90k</v>
      </c>
      <c r="T910" s="89">
        <v>0.52046613024166544</v>
      </c>
      <c r="U910" s="91">
        <v>77.703458470451508</v>
      </c>
      <c r="V910" s="49">
        <v>253</v>
      </c>
      <c r="W910" s="20">
        <v>3</v>
      </c>
      <c r="X910" s="20" t="str">
        <v>Hot</v>
      </c>
      <c r="Y910" s="20">
        <v>1</v>
      </c>
    </row>
    <row r="911" spans="1:25" ht="15" customHeight="1" x14ac:dyDescent="0.25">
      <c r="A911" s="3"/>
      <c r="B911" s="3"/>
      <c r="C911" s="3"/>
      <c r="D911" s="3"/>
      <c r="E911" s="3"/>
      <c r="F911" s="3"/>
      <c r="G911" s="3"/>
      <c r="H911" s="3"/>
      <c r="I911" s="3"/>
      <c r="J911" s="3"/>
      <c r="K911" s="20">
        <v>25394</v>
      </c>
      <c r="L911" s="20" t="str">
        <v>0-1 Cars</v>
      </c>
      <c r="M911" s="20" t="str">
        <v>31-40</v>
      </c>
      <c r="N911" s="20" t="str">
        <v>2-5 Miles</v>
      </c>
      <c r="O911" s="20">
        <v>1</v>
      </c>
      <c r="P911" s="20" t="str">
        <v>Graduate Degree</v>
      </c>
      <c r="Q911" s="20" t="str">
        <v>North America</v>
      </c>
      <c r="R911" s="20" t="str">
        <v>Married</v>
      </c>
      <c r="S911" s="20" t="str">
        <v>$40k-60k</v>
      </c>
      <c r="T911" s="89">
        <v>0.55134741913222174</v>
      </c>
      <c r="U911" s="91">
        <v>92.676360267643531</v>
      </c>
      <c r="V911" s="49">
        <v>37</v>
      </c>
      <c r="W911" s="20">
        <v>1</v>
      </c>
      <c r="X911" s="20" t="str">
        <v>Hot</v>
      </c>
      <c r="Y911" s="20">
        <v>1</v>
      </c>
    </row>
    <row r="912" spans="1:25" ht="15" customHeight="1" x14ac:dyDescent="0.25">
      <c r="A912" s="3"/>
      <c r="B912" s="3"/>
      <c r="C912" s="3"/>
      <c r="D912" s="3"/>
      <c r="E912" s="3"/>
      <c r="F912" s="3"/>
      <c r="G912" s="3"/>
      <c r="H912" s="3"/>
      <c r="I912" s="3"/>
      <c r="J912" s="3"/>
      <c r="K912" s="20">
        <v>19747</v>
      </c>
      <c r="L912" s="20" t="str">
        <v>2+ Cars</v>
      </c>
      <c r="M912" s="20" t="str">
        <v>61+</v>
      </c>
      <c r="N912" s="20" t="str">
        <v>10+ Miles</v>
      </c>
      <c r="O912" s="20">
        <v>4</v>
      </c>
      <c r="P912" s="20" t="str">
        <v>Bachelors</v>
      </c>
      <c r="Q912" s="20" t="str">
        <v>North America</v>
      </c>
      <c r="R912" s="20" t="str">
        <v>Married</v>
      </c>
      <c r="S912" s="20" t="str">
        <v>$40k-60k</v>
      </c>
      <c r="T912" s="89">
        <v>0.40260740500807207</v>
      </c>
      <c r="U912" s="91">
        <v>20.559240004735731</v>
      </c>
      <c r="V912" s="49">
        <v>962</v>
      </c>
      <c r="W912" s="20">
        <v>10</v>
      </c>
      <c r="X912" s="20" t="str">
        <v>Cold</v>
      </c>
      <c r="Y912" s="20">
        <v>0</v>
      </c>
    </row>
    <row r="913" spans="1:25" ht="15" customHeight="1" x14ac:dyDescent="0.25">
      <c r="A913" s="3"/>
      <c r="B913" s="3"/>
      <c r="C913" s="3"/>
      <c r="D913" s="3"/>
      <c r="E913" s="3"/>
      <c r="F913" s="3"/>
      <c r="G913" s="3"/>
      <c r="H913" s="3"/>
      <c r="I913" s="3"/>
      <c r="J913" s="3"/>
      <c r="K913" s="20">
        <v>23195</v>
      </c>
      <c r="L913" s="20" t="str">
        <v>2+ Cars</v>
      </c>
      <c r="M913" s="20" t="str">
        <v>41-50</v>
      </c>
      <c r="N913" s="20" t="str">
        <v>2-5 Miles</v>
      </c>
      <c r="O913" s="20">
        <v>3</v>
      </c>
      <c r="P913" s="20" t="str">
        <v>Bachelors</v>
      </c>
      <c r="Q913" s="20" t="str">
        <v>North America</v>
      </c>
      <c r="R913" s="20" t="str">
        <v>Single</v>
      </c>
      <c r="S913" s="20" t="str">
        <v>$40k-60k</v>
      </c>
      <c r="T913" s="89">
        <v>0.49671374427367421</v>
      </c>
      <c r="U913" s="91">
        <v>66.187030389741054</v>
      </c>
      <c r="V913" s="49">
        <v>405</v>
      </c>
      <c r="W913" s="20">
        <v>5</v>
      </c>
      <c r="X913" s="20" t="str">
        <v>Warm</v>
      </c>
      <c r="Y913" s="20">
        <v>1</v>
      </c>
    </row>
    <row r="914" spans="1:25" ht="15" customHeight="1" x14ac:dyDescent="0.25">
      <c r="A914" s="3"/>
      <c r="B914" s="3"/>
      <c r="C914" s="3"/>
      <c r="D914" s="3"/>
      <c r="E914" s="3"/>
      <c r="F914" s="3"/>
      <c r="G914" s="3"/>
      <c r="H914" s="3"/>
      <c r="I914" s="3"/>
      <c r="J914" s="3"/>
      <c r="K914" s="20">
        <v>21695</v>
      </c>
      <c r="L914" s="20" t="str">
        <v>0-1 Cars</v>
      </c>
      <c r="M914" s="20" t="str">
        <v>31-40</v>
      </c>
      <c r="N914" s="20" t="str">
        <v>1-2 Miles</v>
      </c>
      <c r="O914" s="20">
        <v>0</v>
      </c>
      <c r="P914" s="20" t="str">
        <v>Graduate Degree</v>
      </c>
      <c r="Q914" s="20" t="str">
        <v>North America</v>
      </c>
      <c r="R914" s="20" t="str">
        <v>Married</v>
      </c>
      <c r="S914" s="20" t="str">
        <v>$40k-60k</v>
      </c>
      <c r="T914" s="89">
        <v>0.52293621179516803</v>
      </c>
      <c r="U914" s="91">
        <v>78.901086220469409</v>
      </c>
      <c r="V914" s="49">
        <v>227</v>
      </c>
      <c r="W914" s="20">
        <v>3</v>
      </c>
      <c r="X914" s="20" t="str">
        <v>Hot</v>
      </c>
      <c r="Y914" s="20">
        <v>1</v>
      </c>
    </row>
    <row r="915" spans="1:25" ht="15" customHeight="1" x14ac:dyDescent="0.25">
      <c r="A915" s="3"/>
      <c r="B915" s="3"/>
      <c r="C915" s="3"/>
      <c r="D915" s="3"/>
      <c r="E915" s="3"/>
      <c r="F915" s="3"/>
      <c r="G915" s="3"/>
      <c r="H915" s="3"/>
      <c r="I915" s="3"/>
      <c r="J915" s="3"/>
      <c r="K915" s="20">
        <v>13934</v>
      </c>
      <c r="L915" s="20" t="str">
        <v>2+ Cars</v>
      </c>
      <c r="M915" s="20" t="str">
        <v>41-50</v>
      </c>
      <c r="N915" s="20" t="str">
        <v>2-5 Miles</v>
      </c>
      <c r="O915" s="20">
        <v>4</v>
      </c>
      <c r="P915" s="20" t="str">
        <v>High School</v>
      </c>
      <c r="Q915" s="20" t="str">
        <v>North America</v>
      </c>
      <c r="R915" s="20" t="str">
        <v>Married</v>
      </c>
      <c r="S915" s="20" t="str">
        <v>$40k-60k</v>
      </c>
      <c r="T915" s="89">
        <v>0.4571660379389263</v>
      </c>
      <c r="U915" s="91">
        <v>47.012185539419697</v>
      </c>
      <c r="V915" s="49">
        <v>674</v>
      </c>
      <c r="W915" s="20">
        <v>7</v>
      </c>
      <c r="X915" s="20" t="str">
        <v>Cold</v>
      </c>
      <c r="Y915" s="20">
        <v>0</v>
      </c>
    </row>
    <row r="916" spans="1:25" ht="15" customHeight="1" x14ac:dyDescent="0.25">
      <c r="A916" s="3"/>
      <c r="B916" s="3"/>
      <c r="C916" s="3"/>
      <c r="D916" s="3"/>
      <c r="E916" s="3"/>
      <c r="F916" s="3"/>
      <c r="G916" s="3"/>
      <c r="H916" s="3"/>
      <c r="I916" s="3"/>
      <c r="J916" s="3"/>
      <c r="K916" s="20">
        <v>13337</v>
      </c>
      <c r="L916" s="20" t="str">
        <v>2+ Cars</v>
      </c>
      <c r="M916" s="20" t="str">
        <v>61+</v>
      </c>
      <c r="N916" s="20" t="str">
        <v>5-10 Miles</v>
      </c>
      <c r="O916" s="20">
        <v>5</v>
      </c>
      <c r="P916" s="20" t="str">
        <v>Bachelors</v>
      </c>
      <c r="Q916" s="20" t="str">
        <v>North America</v>
      </c>
      <c r="R916" s="20" t="str">
        <v>Married</v>
      </c>
      <c r="S916" s="20" t="str">
        <v>$70k-90k</v>
      </c>
      <c r="T916" s="89">
        <v>0.38516763855084396</v>
      </c>
      <c r="U916" s="91">
        <v>12.103507750312458</v>
      </c>
      <c r="V916" s="49">
        <v>992</v>
      </c>
      <c r="W916" s="20">
        <v>10</v>
      </c>
      <c r="X916" s="20" t="str">
        <v>Cold</v>
      </c>
      <c r="Y916" s="20">
        <v>0</v>
      </c>
    </row>
    <row r="917" spans="1:25" ht="15" customHeight="1" x14ac:dyDescent="0.25">
      <c r="A917" s="3"/>
      <c r="B917" s="3"/>
      <c r="C917" s="3"/>
      <c r="D917" s="3"/>
      <c r="E917" s="3"/>
      <c r="F917" s="3"/>
      <c r="G917" s="3"/>
      <c r="H917" s="3"/>
      <c r="I917" s="3"/>
      <c r="J917" s="3"/>
      <c r="K917" s="20">
        <v>27190</v>
      </c>
      <c r="L917" s="20" t="str">
        <v>0-1 Cars</v>
      </c>
      <c r="M917" s="20" t="str">
        <v>31-40</v>
      </c>
      <c r="N917" s="20" t="str">
        <v>1-2 Miles</v>
      </c>
      <c r="O917" s="20">
        <v>3</v>
      </c>
      <c r="P917" s="20" t="str">
        <v>Partial College</v>
      </c>
      <c r="Q917" s="20" t="str">
        <v>North America</v>
      </c>
      <c r="R917" s="20" t="str">
        <v>Married</v>
      </c>
      <c r="S917" s="20" t="str">
        <v>$40k-60k</v>
      </c>
      <c r="T917" s="89">
        <v>0.5171504913537186</v>
      </c>
      <c r="U917" s="91">
        <v>76.095859265634616</v>
      </c>
      <c r="V917" s="49">
        <v>271</v>
      </c>
      <c r="W917" s="20">
        <v>3</v>
      </c>
      <c r="X917" s="20" t="str">
        <v>Hot</v>
      </c>
      <c r="Y917" s="20">
        <v>0</v>
      </c>
    </row>
    <row r="918" spans="1:25" ht="15" customHeight="1" x14ac:dyDescent="0.25">
      <c r="A918" s="3"/>
      <c r="B918" s="3"/>
      <c r="C918" s="3"/>
      <c r="D918" s="3"/>
      <c r="E918" s="3"/>
      <c r="F918" s="3"/>
      <c r="G918" s="3"/>
      <c r="H918" s="3"/>
      <c r="I918" s="3"/>
      <c r="J918" s="3"/>
      <c r="K918" s="20">
        <v>28657</v>
      </c>
      <c r="L918" s="20" t="str">
        <v>0-1 Cars</v>
      </c>
      <c r="M918" s="20" t="str">
        <v>31-40</v>
      </c>
      <c r="N918" s="20" t="str">
        <v>2-5 Miles</v>
      </c>
      <c r="O918" s="20">
        <v>2</v>
      </c>
      <c r="P918" s="20" t="str">
        <v>Bachelors</v>
      </c>
      <c r="Q918" s="20" t="str">
        <v>North America</v>
      </c>
      <c r="R918" s="20" t="str">
        <v>Single</v>
      </c>
      <c r="S918" s="20" t="str">
        <v>$40k-60k</v>
      </c>
      <c r="T918" s="89">
        <v>0.54724274216882418</v>
      </c>
      <c r="U918" s="91">
        <v>90.68619317002144</v>
      </c>
      <c r="V918" s="49">
        <v>59</v>
      </c>
      <c r="W918" s="20">
        <v>1</v>
      </c>
      <c r="X918" s="20" t="str">
        <v>Hot</v>
      </c>
      <c r="Y918" s="20">
        <v>1</v>
      </c>
    </row>
    <row r="919" spans="1:25" ht="15" customHeight="1" x14ac:dyDescent="0.25">
      <c r="A919" s="3"/>
      <c r="B919" s="3"/>
      <c r="C919" s="3"/>
      <c r="D919" s="3"/>
      <c r="E919" s="3"/>
      <c r="F919" s="3"/>
      <c r="G919" s="3"/>
      <c r="H919" s="3"/>
      <c r="I919" s="3"/>
      <c r="J919" s="3"/>
      <c r="K919" s="20">
        <v>21713</v>
      </c>
      <c r="L919" s="20" t="str">
        <v>0-1 Cars</v>
      </c>
      <c r="M919" s="20" t="str">
        <v>41-50</v>
      </c>
      <c r="N919" s="20" t="str">
        <v>0-1 Miles</v>
      </c>
      <c r="O919" s="20">
        <v>5</v>
      </c>
      <c r="P919" s="20" t="str">
        <v>Graduate Degree</v>
      </c>
      <c r="Q919" s="20" t="str">
        <v>North America</v>
      </c>
      <c r="R919" s="20" t="str">
        <v>Single</v>
      </c>
      <c r="S919" s="20" t="str">
        <v>$70k-90k</v>
      </c>
      <c r="T919" s="89">
        <v>0.48035862076034547</v>
      </c>
      <c r="U919" s="91">
        <v>58.257191090808668</v>
      </c>
      <c r="V919" s="49">
        <v>512</v>
      </c>
      <c r="W919" s="20">
        <v>6</v>
      </c>
      <c r="X919" s="20" t="str">
        <v>Warm</v>
      </c>
      <c r="Y919" s="20">
        <v>0</v>
      </c>
    </row>
    <row r="920" spans="1:25" ht="15" customHeight="1" x14ac:dyDescent="0.25">
      <c r="A920" s="3"/>
      <c r="B920" s="3"/>
      <c r="C920" s="3"/>
      <c r="D920" s="3"/>
      <c r="E920" s="3"/>
      <c r="F920" s="3"/>
      <c r="G920" s="3"/>
      <c r="H920" s="3"/>
      <c r="I920" s="3"/>
      <c r="J920" s="3"/>
      <c r="K920" s="20">
        <v>21752</v>
      </c>
      <c r="L920" s="20" t="str">
        <v>2+ Cars</v>
      </c>
      <c r="M920" s="20" t="str">
        <v>61+</v>
      </c>
      <c r="N920" s="20" t="str">
        <v>10+ Miles</v>
      </c>
      <c r="O920" s="20">
        <v>3</v>
      </c>
      <c r="P920" s="20" t="str">
        <v>Graduate Degree</v>
      </c>
      <c r="Q920" s="20" t="str">
        <v>North America</v>
      </c>
      <c r="R920" s="20" t="str">
        <v>Married</v>
      </c>
      <c r="S920" s="20" t="str">
        <v>$40k-60k</v>
      </c>
      <c r="T920" s="89">
        <v>0.41727370177894763</v>
      </c>
      <c r="U920" s="91">
        <v>27.670245703268868</v>
      </c>
      <c r="V920" s="49">
        <v>909</v>
      </c>
      <c r="W920" s="20">
        <v>10</v>
      </c>
      <c r="X920" s="20" t="str">
        <v>Cold</v>
      </c>
      <c r="Y920" s="20">
        <v>0</v>
      </c>
    </row>
    <row r="921" spans="1:25" ht="15" customHeight="1" x14ac:dyDescent="0.25">
      <c r="A921" s="3"/>
      <c r="B921" s="3"/>
      <c r="C921" s="3"/>
      <c r="D921" s="3"/>
      <c r="E921" s="3"/>
      <c r="F921" s="3"/>
      <c r="G921" s="3"/>
      <c r="H921" s="3"/>
      <c r="I921" s="3"/>
      <c r="J921" s="3"/>
      <c r="K921" s="20">
        <v>27273</v>
      </c>
      <c r="L921" s="20" t="str">
        <v>0-1 Cars</v>
      </c>
      <c r="M921" s="20" t="str">
        <v>31-40</v>
      </c>
      <c r="N921" s="20" t="str">
        <v>0-1 Miles</v>
      </c>
      <c r="O921" s="20">
        <v>3</v>
      </c>
      <c r="P921" s="20" t="str">
        <v>Graduate Degree</v>
      </c>
      <c r="Q921" s="20" t="str">
        <v>North America</v>
      </c>
      <c r="R921" s="20" t="str">
        <v>Single</v>
      </c>
      <c r="S921" s="20" t="str">
        <v>$70k-90k</v>
      </c>
      <c r="T921" s="89">
        <v>0.54823557385483945</v>
      </c>
      <c r="U921" s="91">
        <v>91.167571113426931</v>
      </c>
      <c r="V921" s="49">
        <v>53</v>
      </c>
      <c r="W921" s="20">
        <v>1</v>
      </c>
      <c r="X921" s="20" t="str">
        <v>Hot</v>
      </c>
      <c r="Y921" s="20">
        <v>1</v>
      </c>
    </row>
    <row r="922" spans="1:25" ht="15" customHeight="1" x14ac:dyDescent="0.25">
      <c r="A922" s="3"/>
      <c r="B922" s="3"/>
      <c r="C922" s="3"/>
      <c r="D922" s="3"/>
      <c r="E922" s="3"/>
      <c r="F922" s="3"/>
      <c r="G922" s="3"/>
      <c r="H922" s="3"/>
      <c r="I922" s="3"/>
      <c r="J922" s="3"/>
      <c r="K922" s="20">
        <v>22719</v>
      </c>
      <c r="L922" s="20" t="str">
        <v>2+ Cars</v>
      </c>
      <c r="M922" s="20" t="str">
        <v>31-40</v>
      </c>
      <c r="N922" s="20" t="str">
        <v>2-5 Miles</v>
      </c>
      <c r="O922" s="20">
        <v>3</v>
      </c>
      <c r="P922" s="20" t="str">
        <v>Bachelors</v>
      </c>
      <c r="Q922" s="20" t="str">
        <v>North America</v>
      </c>
      <c r="R922" s="20" t="str">
        <v>Single</v>
      </c>
      <c r="S922" s="20" t="str">
        <v>$100k+</v>
      </c>
      <c r="T922" s="89">
        <v>0.51592590838998287</v>
      </c>
      <c r="U922" s="91">
        <v>75.502115898137518</v>
      </c>
      <c r="V922" s="49">
        <v>278</v>
      </c>
      <c r="W922" s="20">
        <v>3</v>
      </c>
      <c r="X922" s="20" t="str">
        <v>Hot</v>
      </c>
      <c r="Y922" s="20">
        <v>1</v>
      </c>
    </row>
    <row r="923" spans="1:25" ht="15" customHeight="1" x14ac:dyDescent="0.25">
      <c r="A923" s="3"/>
      <c r="B923" s="3"/>
      <c r="C923" s="3"/>
      <c r="D923" s="3"/>
      <c r="E923" s="3"/>
      <c r="F923" s="3"/>
      <c r="G923" s="3"/>
      <c r="H923" s="3"/>
      <c r="I923" s="3"/>
      <c r="J923" s="3"/>
      <c r="K923" s="20">
        <v>22042</v>
      </c>
      <c r="L923" s="20" t="str">
        <v>2+ Cars</v>
      </c>
      <c r="M923" s="20" t="str">
        <v>31-40</v>
      </c>
      <c r="N923" s="20" t="str">
        <v>5-10 Miles</v>
      </c>
      <c r="O923" s="20">
        <v>0</v>
      </c>
      <c r="P923" s="20" t="str">
        <v>Partial College</v>
      </c>
      <c r="Q923" s="20" t="str">
        <v>North America</v>
      </c>
      <c r="R923" s="20" t="str">
        <v>Married</v>
      </c>
      <c r="S923" s="20" t="str">
        <v>$70k-90k</v>
      </c>
      <c r="T923" s="89">
        <v>0.46136327877044986</v>
      </c>
      <c r="U923" s="91">
        <v>49.047232554856457</v>
      </c>
      <c r="V923" s="49">
        <v>638</v>
      </c>
      <c r="W923" s="20">
        <v>7</v>
      </c>
      <c r="X923" s="20" t="str">
        <v>Cold</v>
      </c>
      <c r="Y923" s="20">
        <v>1</v>
      </c>
    </row>
    <row r="924" spans="1:25" ht="15" customHeight="1" x14ac:dyDescent="0.25">
      <c r="A924" s="3"/>
      <c r="B924" s="3"/>
      <c r="C924" s="3"/>
      <c r="D924" s="3"/>
      <c r="E924" s="3"/>
      <c r="F924" s="3"/>
      <c r="G924" s="3"/>
      <c r="H924" s="3"/>
      <c r="I924" s="3"/>
      <c r="J924" s="3"/>
      <c r="K924" s="20">
        <v>21451</v>
      </c>
      <c r="L924" s="20" t="str">
        <v>2+ Cars</v>
      </c>
      <c r="M924" s="20" t="str">
        <v>61+</v>
      </c>
      <c r="N924" s="20" t="str">
        <v>10+ Miles</v>
      </c>
      <c r="O924" s="20">
        <v>4</v>
      </c>
      <c r="P924" s="20" t="str">
        <v>High School</v>
      </c>
      <c r="Q924" s="20" t="str">
        <v>North America</v>
      </c>
      <c r="R924" s="20" t="str">
        <v>Married</v>
      </c>
      <c r="S924" s="20" t="str">
        <v>$40k-60k</v>
      </c>
      <c r="T924" s="89">
        <v>0.38889437054735448</v>
      </c>
      <c r="U924" s="91">
        <v>13.910426898213354</v>
      </c>
      <c r="V924" s="49">
        <v>988</v>
      </c>
      <c r="W924" s="20">
        <v>10</v>
      </c>
      <c r="X924" s="20" t="str">
        <v>Cold</v>
      </c>
      <c r="Y924" s="20">
        <v>0</v>
      </c>
    </row>
    <row r="925" spans="1:25" ht="15" customHeight="1" x14ac:dyDescent="0.25">
      <c r="A925" s="3"/>
      <c r="B925" s="3"/>
      <c r="C925" s="3"/>
      <c r="D925" s="3"/>
      <c r="E925" s="3"/>
      <c r="F925" s="3"/>
      <c r="G925" s="3"/>
      <c r="H925" s="3"/>
      <c r="I925" s="3"/>
      <c r="J925" s="3"/>
      <c r="K925" s="20">
        <v>20754</v>
      </c>
      <c r="L925" s="20" t="str">
        <v>2+ Cars</v>
      </c>
      <c r="M925" s="20" t="str">
        <v>51-60</v>
      </c>
      <c r="N925" s="20" t="str">
        <v>1-2 Miles</v>
      </c>
      <c r="O925" s="20">
        <v>2</v>
      </c>
      <c r="P925" s="20" t="str">
        <v>High School</v>
      </c>
      <c r="Q925" s="20" t="str">
        <v>North America</v>
      </c>
      <c r="R925" s="20" t="str">
        <v>Married</v>
      </c>
      <c r="S925" s="20" t="str">
        <v>$10k-30k</v>
      </c>
      <c r="T925" s="89">
        <v>0.43051416737647485</v>
      </c>
      <c r="U925" s="91">
        <v>34.089932130330538</v>
      </c>
      <c r="V925" s="49">
        <v>837</v>
      </c>
      <c r="W925" s="20">
        <v>9</v>
      </c>
      <c r="X925" s="20" t="str">
        <v>Cold</v>
      </c>
      <c r="Y925" s="20">
        <v>0</v>
      </c>
    </row>
    <row r="926" spans="1:25" ht="15" customHeight="1" x14ac:dyDescent="0.25">
      <c r="A926" s="3"/>
      <c r="B926" s="3"/>
      <c r="C926" s="3"/>
      <c r="D926" s="3"/>
      <c r="E926" s="3"/>
      <c r="F926" s="3"/>
      <c r="G926" s="3"/>
      <c r="H926" s="3"/>
      <c r="I926" s="3"/>
      <c r="J926" s="3"/>
      <c r="K926" s="20">
        <v>12153</v>
      </c>
      <c r="L926" s="20" t="str">
        <v>0-1 Cars</v>
      </c>
      <c r="M926" s="20" t="str">
        <v>41-50</v>
      </c>
      <c r="N926" s="20" t="str">
        <v>5-10 Miles</v>
      </c>
      <c r="O926" s="20">
        <v>3</v>
      </c>
      <c r="P926" s="20" t="str">
        <v>Partial College</v>
      </c>
      <c r="Q926" s="20" t="str">
        <v>North America</v>
      </c>
      <c r="R926" s="20" t="str">
        <v>Single</v>
      </c>
      <c r="S926" s="20" t="str">
        <v>$70k-90k</v>
      </c>
      <c r="T926" s="89">
        <v>0.49220770963308019</v>
      </c>
      <c r="U926" s="91">
        <v>64.002263607257689</v>
      </c>
      <c r="V926" s="49">
        <v>440</v>
      </c>
      <c r="W926" s="20">
        <v>5</v>
      </c>
      <c r="X926" s="20" t="str">
        <v>Warm</v>
      </c>
      <c r="Y926" s="20">
        <v>1</v>
      </c>
    </row>
    <row r="927" spans="1:25" ht="15" customHeight="1" x14ac:dyDescent="0.25">
      <c r="A927" s="3"/>
      <c r="B927" s="3"/>
      <c r="C927" s="3"/>
      <c r="D927" s="3"/>
      <c r="E927" s="3"/>
      <c r="F927" s="3"/>
      <c r="G927" s="3"/>
      <c r="H927" s="3"/>
      <c r="I927" s="3"/>
      <c r="J927" s="3"/>
      <c r="K927" s="20">
        <v>16895</v>
      </c>
      <c r="L927" s="20" t="str">
        <v>2+ Cars</v>
      </c>
      <c r="M927" s="20" t="str">
        <v>51-60</v>
      </c>
      <c r="N927" s="20" t="str">
        <v>1-2 Miles</v>
      </c>
      <c r="O927" s="20">
        <v>3</v>
      </c>
      <c r="P927" s="20" t="str">
        <v>Partial College</v>
      </c>
      <c r="Q927" s="20" t="str">
        <v>North America</v>
      </c>
      <c r="R927" s="20" t="str">
        <v>Married</v>
      </c>
      <c r="S927" s="20" t="str">
        <v>$40k-60k</v>
      </c>
      <c r="T927" s="89">
        <v>0.45350804482713508</v>
      </c>
      <c r="U927" s="91">
        <v>45.238594682128642</v>
      </c>
      <c r="V927" s="49">
        <v>714</v>
      </c>
      <c r="W927" s="20">
        <v>8</v>
      </c>
      <c r="X927" s="20" t="str">
        <v>Cold</v>
      </c>
      <c r="Y927" s="20">
        <v>1</v>
      </c>
    </row>
    <row r="928" spans="1:25" ht="15" customHeight="1" x14ac:dyDescent="0.25">
      <c r="A928" s="3"/>
      <c r="B928" s="3"/>
      <c r="C928" s="3"/>
      <c r="D928" s="3"/>
      <c r="E928" s="3"/>
      <c r="F928" s="3"/>
      <c r="G928" s="3"/>
      <c r="H928" s="3"/>
      <c r="I928" s="3"/>
      <c r="J928" s="3"/>
      <c r="K928" s="20">
        <v>26728</v>
      </c>
      <c r="L928" s="20" t="str">
        <v>2+ Cars</v>
      </c>
      <c r="M928" s="20" t="str">
        <v>51-60</v>
      </c>
      <c r="N928" s="20" t="str">
        <v>1-2 Miles</v>
      </c>
      <c r="O928" s="20">
        <v>3</v>
      </c>
      <c r="P928" s="20" t="str">
        <v>Graduate Degree</v>
      </c>
      <c r="Q928" s="20" t="str">
        <v>North America</v>
      </c>
      <c r="R928" s="20" t="str">
        <v>Single</v>
      </c>
      <c r="S928" s="20" t="str">
        <v>$70k-90k</v>
      </c>
      <c r="T928" s="89">
        <v>0.47148998048595742</v>
      </c>
      <c r="U928" s="91">
        <v>53.957199585478641</v>
      </c>
      <c r="V928" s="49">
        <v>566</v>
      </c>
      <c r="W928" s="20">
        <v>6</v>
      </c>
      <c r="X928" s="20" t="str">
        <v>Warm</v>
      </c>
      <c r="Y928" s="20">
        <v>1</v>
      </c>
    </row>
    <row r="929" spans="1:25" ht="15" customHeight="1" x14ac:dyDescent="0.25">
      <c r="A929" s="3"/>
      <c r="B929" s="3"/>
      <c r="C929" s="3"/>
      <c r="D929" s="3"/>
      <c r="E929" s="3"/>
      <c r="F929" s="3"/>
      <c r="G929" s="3"/>
      <c r="H929" s="3"/>
      <c r="I929" s="3"/>
      <c r="J929" s="3"/>
      <c r="K929" s="20">
        <v>11090</v>
      </c>
      <c r="L929" s="20" t="str">
        <v>0-1 Cars</v>
      </c>
      <c r="M929" s="20" t="str">
        <v>41-50</v>
      </c>
      <c r="N929" s="20" t="str">
        <v>2-5 Miles</v>
      </c>
      <c r="O929" s="20">
        <v>2</v>
      </c>
      <c r="P929" s="20" t="str">
        <v>Partial College</v>
      </c>
      <c r="Q929" s="20" t="str">
        <v>North America</v>
      </c>
      <c r="R929" s="20" t="str">
        <v>Single</v>
      </c>
      <c r="S929" s="20" t="str">
        <v>$70k-90k</v>
      </c>
      <c r="T929" s="89">
        <v>0.50848788436719905</v>
      </c>
      <c r="U929" s="91">
        <v>71.895763726342182</v>
      </c>
      <c r="V929" s="49">
        <v>330</v>
      </c>
      <c r="W929" s="20">
        <v>4</v>
      </c>
      <c r="X929" s="20" t="str">
        <v>Warm</v>
      </c>
      <c r="Y929" s="20">
        <v>1</v>
      </c>
    </row>
    <row r="930" spans="1:25" ht="15" customHeight="1" x14ac:dyDescent="0.25">
      <c r="A930" s="3"/>
      <c r="B930" s="3"/>
      <c r="C930" s="3"/>
      <c r="D930" s="3"/>
      <c r="E930" s="3"/>
      <c r="F930" s="3"/>
      <c r="G930" s="3"/>
      <c r="H930" s="3"/>
      <c r="I930" s="3"/>
      <c r="J930" s="3"/>
      <c r="K930" s="20">
        <v>15862</v>
      </c>
      <c r="L930" s="20" t="str">
        <v>0-1 Cars</v>
      </c>
      <c r="M930" s="20" t="str">
        <v>31-40</v>
      </c>
      <c r="N930" s="20" t="str">
        <v>1-2 Miles</v>
      </c>
      <c r="O930" s="20">
        <v>0</v>
      </c>
      <c r="P930" s="20" t="str">
        <v>Graduate Degree</v>
      </c>
      <c r="Q930" s="20" t="str">
        <v>North America</v>
      </c>
      <c r="R930" s="20" t="str">
        <v>Single</v>
      </c>
      <c r="S930" s="20" t="str">
        <v>$40k-60k</v>
      </c>
      <c r="T930" s="89">
        <v>0.53261425450299316</v>
      </c>
      <c r="U930" s="91">
        <v>83.593519349373238</v>
      </c>
      <c r="V930" s="49">
        <v>173</v>
      </c>
      <c r="W930" s="20">
        <v>2</v>
      </c>
      <c r="X930" s="20" t="str">
        <v>Hot</v>
      </c>
      <c r="Y930" s="20">
        <v>1</v>
      </c>
    </row>
    <row r="931" spans="1:25" ht="15" customHeight="1" x14ac:dyDescent="0.25">
      <c r="A931" s="3"/>
      <c r="B931" s="3"/>
      <c r="C931" s="3"/>
      <c r="D931" s="3"/>
      <c r="E931" s="3"/>
      <c r="F931" s="3"/>
      <c r="G931" s="3"/>
      <c r="H931" s="3"/>
      <c r="I931" s="3"/>
      <c r="J931" s="3"/>
      <c r="K931" s="20">
        <v>26495</v>
      </c>
      <c r="L931" s="20" t="str">
        <v>2+ Cars</v>
      </c>
      <c r="M931" s="20" t="str">
        <v>51-60</v>
      </c>
      <c r="N931" s="20" t="str">
        <v>10+ Miles</v>
      </c>
      <c r="O931" s="20">
        <v>2</v>
      </c>
      <c r="P931" s="20" t="str">
        <v>High School</v>
      </c>
      <c r="Q931" s="20" t="str">
        <v>North America</v>
      </c>
      <c r="R931" s="20" t="str">
        <v>Single</v>
      </c>
      <c r="S931" s="20" t="str">
        <v>$40k-60k</v>
      </c>
      <c r="T931" s="89">
        <v>0.42817694449216676</v>
      </c>
      <c r="U931" s="91">
        <v>32.956721374493313</v>
      </c>
      <c r="V931" s="49">
        <v>845</v>
      </c>
      <c r="W931" s="20">
        <v>9</v>
      </c>
      <c r="X931" s="20" t="str">
        <v>Cold</v>
      </c>
      <c r="Y931" s="20">
        <v>0</v>
      </c>
    </row>
    <row r="932" spans="1:25" ht="15" customHeight="1" x14ac:dyDescent="0.25">
      <c r="A932" s="3"/>
      <c r="B932" s="3"/>
      <c r="C932" s="3"/>
      <c r="D932" s="3"/>
      <c r="E932" s="3"/>
      <c r="F932" s="3"/>
      <c r="G932" s="3"/>
      <c r="H932" s="3"/>
      <c r="I932" s="3"/>
      <c r="J932" s="3"/>
      <c r="K932" s="20">
        <v>11823</v>
      </c>
      <c r="L932" s="20" t="str">
        <v>0-1 Cars</v>
      </c>
      <c r="M932" s="20" t="str">
        <v>31-40</v>
      </c>
      <c r="N932" s="20" t="str">
        <v>2-5 Miles</v>
      </c>
      <c r="O932" s="20">
        <v>0</v>
      </c>
      <c r="P932" s="20" t="str">
        <v>Graduate Degree</v>
      </c>
      <c r="Q932" s="20" t="str">
        <v>North America</v>
      </c>
      <c r="R932" s="20" t="str">
        <v>Married</v>
      </c>
      <c r="S932" s="20" t="str">
        <v>$70k-90k</v>
      </c>
      <c r="T932" s="89">
        <v>0.53884074719252406</v>
      </c>
      <c r="U932" s="91">
        <v>86.612456282727408</v>
      </c>
      <c r="V932" s="49">
        <v>117</v>
      </c>
      <c r="W932" s="20">
        <v>2</v>
      </c>
      <c r="X932" s="20" t="str">
        <v>Hot</v>
      </c>
      <c r="Y932" s="20">
        <v>0</v>
      </c>
    </row>
    <row r="933" spans="1:25" ht="15" customHeight="1" x14ac:dyDescent="0.25">
      <c r="A933" s="3"/>
      <c r="B933" s="3"/>
      <c r="C933" s="3"/>
      <c r="D933" s="3"/>
      <c r="E933" s="3"/>
      <c r="F933" s="3"/>
      <c r="G933" s="3"/>
      <c r="H933" s="3"/>
      <c r="I933" s="3"/>
      <c r="J933" s="3"/>
      <c r="K933" s="20">
        <v>23449</v>
      </c>
      <c r="L933" s="20" t="str">
        <v>2+ Cars</v>
      </c>
      <c r="M933" s="20" t="str">
        <v>41-50</v>
      </c>
      <c r="N933" s="20" t="str">
        <v>5-10 Miles</v>
      </c>
      <c r="O933" s="20">
        <v>2</v>
      </c>
      <c r="P933" s="20" t="str">
        <v>High School</v>
      </c>
      <c r="Q933" s="20" t="str">
        <v>North America</v>
      </c>
      <c r="R933" s="20" t="str">
        <v>Married</v>
      </c>
      <c r="S933" s="20" t="str">
        <v>$40k-60k</v>
      </c>
      <c r="T933" s="89">
        <v>0.43461285565574964</v>
      </c>
      <c r="U933" s="91">
        <v>36.07719559334133</v>
      </c>
      <c r="V933" s="49">
        <v>807</v>
      </c>
      <c r="W933" s="20">
        <v>9</v>
      </c>
      <c r="X933" s="20" t="str">
        <v>Cold</v>
      </c>
      <c r="Y933" s="20">
        <v>0</v>
      </c>
    </row>
    <row r="934" spans="1:25" ht="15" customHeight="1" x14ac:dyDescent="0.25">
      <c r="A934" s="3"/>
      <c r="B934" s="3"/>
      <c r="C934" s="3"/>
      <c r="D934" s="3"/>
      <c r="E934" s="3"/>
      <c r="F934" s="3"/>
      <c r="G934" s="3"/>
      <c r="H934" s="3"/>
      <c r="I934" s="3"/>
      <c r="J934" s="3"/>
      <c r="K934" s="20">
        <v>23459</v>
      </c>
      <c r="L934" s="20" t="str">
        <v>2+ Cars</v>
      </c>
      <c r="M934" s="20" t="str">
        <v>41-50</v>
      </c>
      <c r="N934" s="20" t="str">
        <v>5-10 Miles</v>
      </c>
      <c r="O934" s="20">
        <v>2</v>
      </c>
      <c r="P934" s="20" t="str">
        <v>High School</v>
      </c>
      <c r="Q934" s="20" t="str">
        <v>North America</v>
      </c>
      <c r="R934" s="20" t="str">
        <v>Married</v>
      </c>
      <c r="S934" s="20" t="str">
        <v>$40k-60k</v>
      </c>
      <c r="T934" s="89">
        <v>0.43461285565574964</v>
      </c>
      <c r="U934" s="91">
        <v>36.07719559334133</v>
      </c>
      <c r="V934" s="49">
        <v>808</v>
      </c>
      <c r="W934" s="20">
        <v>9</v>
      </c>
      <c r="X934" s="20" t="str">
        <v>Cold</v>
      </c>
      <c r="Y934" s="20">
        <v>0</v>
      </c>
    </row>
    <row r="935" spans="1:25" ht="15" customHeight="1" x14ac:dyDescent="0.25">
      <c r="A935" s="3"/>
      <c r="B935" s="3"/>
      <c r="C935" s="3"/>
      <c r="D935" s="3"/>
      <c r="E935" s="3"/>
      <c r="F935" s="3"/>
      <c r="G935" s="3"/>
      <c r="H935" s="3"/>
      <c r="I935" s="3"/>
      <c r="J935" s="3"/>
      <c r="K935" s="20">
        <v>19543</v>
      </c>
      <c r="L935" s="20" t="str">
        <v>2+ Cars</v>
      </c>
      <c r="M935" s="20" t="str">
        <v>41-50</v>
      </c>
      <c r="N935" s="20" t="str">
        <v>10+ Miles</v>
      </c>
      <c r="O935" s="20">
        <v>5</v>
      </c>
      <c r="P935" s="20" t="str">
        <v>Graduate Degree</v>
      </c>
      <c r="Q935" s="20" t="str">
        <v>North America</v>
      </c>
      <c r="R935" s="20" t="str">
        <v>Married</v>
      </c>
      <c r="S935" s="20" t="str">
        <v>$70k-90k</v>
      </c>
      <c r="T935" s="89">
        <v>0.39602333326012396</v>
      </c>
      <c r="U935" s="91">
        <v>17.366929604186325</v>
      </c>
      <c r="V935" s="49">
        <v>977</v>
      </c>
      <c r="W935" s="20">
        <v>10</v>
      </c>
      <c r="X935" s="20" t="str">
        <v>Cold</v>
      </c>
      <c r="Y935" s="20">
        <v>0</v>
      </c>
    </row>
    <row r="936" spans="1:25" ht="15" customHeight="1" x14ac:dyDescent="0.25">
      <c r="A936" s="3"/>
      <c r="B936" s="3"/>
      <c r="C936" s="3"/>
      <c r="D936" s="3"/>
      <c r="E936" s="3"/>
      <c r="F936" s="3"/>
      <c r="G936" s="3"/>
      <c r="H936" s="3"/>
      <c r="I936" s="3"/>
      <c r="J936" s="3"/>
      <c r="K936" s="20">
        <v>14914</v>
      </c>
      <c r="L936" s="20" t="str">
        <v>0-1 Cars</v>
      </c>
      <c r="M936" s="20" t="str">
        <v>41-50</v>
      </c>
      <c r="N936" s="20" t="str">
        <v>1-2 Miles</v>
      </c>
      <c r="O936" s="20">
        <v>1</v>
      </c>
      <c r="P936" s="20" t="str">
        <v>Partial College</v>
      </c>
      <c r="Q936" s="20" t="str">
        <v>North America</v>
      </c>
      <c r="R936" s="20" t="str">
        <v>Married</v>
      </c>
      <c r="S936" s="20" t="str">
        <v>$40k-60k</v>
      </c>
      <c r="T936" s="89">
        <v>0.49817835832857021</v>
      </c>
      <c r="U936" s="91">
        <v>66.897153678068278</v>
      </c>
      <c r="V936" s="49">
        <v>394</v>
      </c>
      <c r="W936" s="20">
        <v>4</v>
      </c>
      <c r="X936" s="20" t="str">
        <v>Warm</v>
      </c>
      <c r="Y936" s="20">
        <v>1</v>
      </c>
    </row>
    <row r="937" spans="1:25" ht="15" customHeight="1" x14ac:dyDescent="0.25">
      <c r="A937" s="3"/>
      <c r="B937" s="3"/>
      <c r="C937" s="3"/>
      <c r="D937" s="3"/>
      <c r="E937" s="3"/>
      <c r="F937" s="3"/>
      <c r="G937" s="3"/>
      <c r="H937" s="3"/>
      <c r="I937" s="3"/>
      <c r="J937" s="3"/>
      <c r="K937" s="20">
        <v>12033</v>
      </c>
      <c r="L937" s="20" t="str">
        <v>2+ Cars</v>
      </c>
      <c r="M937" s="20" t="str">
        <v>25-30</v>
      </c>
      <c r="N937" s="20" t="str">
        <v>0-1 Miles</v>
      </c>
      <c r="O937" s="20">
        <v>0</v>
      </c>
      <c r="P937" s="20" t="str">
        <v>High School</v>
      </c>
      <c r="Q937" s="20" t="str">
        <v>North America</v>
      </c>
      <c r="R937" s="20" t="str">
        <v>Single</v>
      </c>
      <c r="S937" s="20" t="str">
        <v>$40k-60k</v>
      </c>
      <c r="T937" s="89">
        <v>0.45389402188787609</v>
      </c>
      <c r="U937" s="91">
        <v>45.425737020873811</v>
      </c>
      <c r="V937" s="49">
        <v>711</v>
      </c>
      <c r="W937" s="20">
        <v>8</v>
      </c>
      <c r="X937" s="20" t="str">
        <v>Cold</v>
      </c>
      <c r="Y937" s="20">
        <v>1</v>
      </c>
    </row>
    <row r="938" spans="1:25" ht="15" customHeight="1" x14ac:dyDescent="0.25">
      <c r="A938" s="3"/>
      <c r="B938" s="3"/>
      <c r="C938" s="3"/>
      <c r="D938" s="3"/>
      <c r="E938" s="3"/>
      <c r="F938" s="3"/>
      <c r="G938" s="3"/>
      <c r="H938" s="3"/>
      <c r="I938" s="3"/>
      <c r="J938" s="3"/>
      <c r="K938" s="20">
        <v>11941</v>
      </c>
      <c r="L938" s="20" t="str">
        <v>0-1 Cars</v>
      </c>
      <c r="M938" s="20" t="str">
        <v>25-30</v>
      </c>
      <c r="N938" s="20" t="str">
        <v>5-10 Miles</v>
      </c>
      <c r="O938" s="20">
        <v>0</v>
      </c>
      <c r="P938" s="20" t="str">
        <v>Partial College</v>
      </c>
      <c r="Q938" s="20" t="str">
        <v>North America</v>
      </c>
      <c r="R938" s="20" t="str">
        <v>Single</v>
      </c>
      <c r="S938" s="20" t="str">
        <v>$40k-60k</v>
      </c>
      <c r="T938" s="89">
        <v>0.4718326759842863</v>
      </c>
      <c r="U938" s="91">
        <v>54.123356706089865</v>
      </c>
      <c r="V938" s="49">
        <v>560</v>
      </c>
      <c r="W938" s="20">
        <v>6</v>
      </c>
      <c r="X938" s="20" t="str">
        <v>Warm</v>
      </c>
      <c r="Y938" s="20">
        <v>0</v>
      </c>
    </row>
    <row r="939" spans="1:25" ht="15" customHeight="1" x14ac:dyDescent="0.25">
      <c r="A939" s="3"/>
      <c r="B939" s="3"/>
      <c r="C939" s="3"/>
      <c r="D939" s="3"/>
      <c r="E939" s="3"/>
      <c r="F939" s="3"/>
      <c r="G939" s="3"/>
      <c r="H939" s="3"/>
      <c r="I939" s="3"/>
      <c r="J939" s="3"/>
      <c r="K939" s="20">
        <v>14389</v>
      </c>
      <c r="L939" s="20" t="str">
        <v>0-1 Cars</v>
      </c>
      <c r="M939" s="20" t="str">
        <v>51-60</v>
      </c>
      <c r="N939" s="20" t="str">
        <v>2-5 Miles</v>
      </c>
      <c r="O939" s="20">
        <v>2</v>
      </c>
      <c r="P939" s="20" t="str">
        <v>Bachelors</v>
      </c>
      <c r="Q939" s="20" t="str">
        <v>North America</v>
      </c>
      <c r="R939" s="20" t="str">
        <v>Married</v>
      </c>
      <c r="S939" s="20" t="str">
        <v>$40k-60k</v>
      </c>
      <c r="T939" s="89">
        <v>0.51263570245312762</v>
      </c>
      <c r="U939" s="91">
        <v>73.906847949326718</v>
      </c>
      <c r="V939" s="49">
        <v>301</v>
      </c>
      <c r="W939" s="20">
        <v>4</v>
      </c>
      <c r="X939" s="20" t="str">
        <v>Warm</v>
      </c>
      <c r="Y939" s="20">
        <v>0</v>
      </c>
    </row>
    <row r="940" spans="1:25" ht="15" customHeight="1" x14ac:dyDescent="0.25">
      <c r="A940" s="3"/>
      <c r="B940" s="3"/>
      <c r="C940" s="3"/>
      <c r="D940" s="3"/>
      <c r="E940" s="3"/>
      <c r="F940" s="3"/>
      <c r="G940" s="3"/>
      <c r="H940" s="3"/>
      <c r="I940" s="3"/>
      <c r="J940" s="3"/>
      <c r="K940" s="20">
        <v>18050</v>
      </c>
      <c r="L940" s="20" t="str">
        <v>0-1 Cars</v>
      </c>
      <c r="M940" s="20" t="str">
        <v>41-50</v>
      </c>
      <c r="N940" s="20" t="str">
        <v>0-1 Miles</v>
      </c>
      <c r="O940" s="20">
        <v>1</v>
      </c>
      <c r="P940" s="20" t="str">
        <v>Partial College</v>
      </c>
      <c r="Q940" s="20" t="str">
        <v>North America</v>
      </c>
      <c r="R940" s="20" t="str">
        <v>Married</v>
      </c>
      <c r="S940" s="20" t="str">
        <v>$40k-60k</v>
      </c>
      <c r="T940" s="89">
        <v>0.51128150517086868</v>
      </c>
      <c r="U940" s="91">
        <v>73.250260622510567</v>
      </c>
      <c r="V940" s="49">
        <v>314</v>
      </c>
      <c r="W940" s="20">
        <v>4</v>
      </c>
      <c r="X940" s="20" t="str">
        <v>Warm</v>
      </c>
      <c r="Y940" s="20">
        <v>1</v>
      </c>
    </row>
    <row r="941" spans="1:25" ht="15" customHeight="1" x14ac:dyDescent="0.25">
      <c r="A941" s="3"/>
      <c r="B941" s="3"/>
      <c r="C941" s="3"/>
      <c r="D941" s="3"/>
      <c r="E941" s="3"/>
      <c r="F941" s="3"/>
      <c r="G941" s="3"/>
      <c r="H941" s="3"/>
      <c r="I941" s="3"/>
      <c r="J941" s="3"/>
      <c r="K941" s="20">
        <v>19856</v>
      </c>
      <c r="L941" s="20" t="str">
        <v>2+ Cars</v>
      </c>
      <c r="M941" s="20" t="str">
        <v>51-60</v>
      </c>
      <c r="N941" s="20" t="str">
        <v>2-5 Miles</v>
      </c>
      <c r="O941" s="20">
        <v>4</v>
      </c>
      <c r="P941" s="20" t="str">
        <v>Bachelors</v>
      </c>
      <c r="Q941" s="20" t="str">
        <v>North America</v>
      </c>
      <c r="R941" s="20" t="str">
        <v>Married</v>
      </c>
      <c r="S941" s="20" t="str">
        <v>$40k-60k</v>
      </c>
      <c r="T941" s="89">
        <v>0.46898044212584183</v>
      </c>
      <c r="U941" s="91">
        <v>52.740441063661002</v>
      </c>
      <c r="V941" s="49">
        <v>586</v>
      </c>
      <c r="W941" s="20">
        <v>6</v>
      </c>
      <c r="X941" s="20" t="str">
        <v>Warm</v>
      </c>
      <c r="Y941" s="20">
        <v>0</v>
      </c>
    </row>
    <row r="942" spans="1:25" ht="15" customHeight="1" x14ac:dyDescent="0.25">
      <c r="A942" s="3"/>
      <c r="B942" s="3"/>
      <c r="C942" s="3"/>
      <c r="D942" s="3"/>
      <c r="E942" s="3"/>
      <c r="F942" s="3"/>
      <c r="G942" s="3"/>
      <c r="H942" s="3"/>
      <c r="I942" s="3"/>
      <c r="J942" s="3"/>
      <c r="K942" s="20">
        <v>11663</v>
      </c>
      <c r="L942" s="20" t="str">
        <v>0-1 Cars</v>
      </c>
      <c r="M942" s="20" t="str">
        <v>31-40</v>
      </c>
      <c r="N942" s="20" t="str">
        <v>0-1 Miles</v>
      </c>
      <c r="O942" s="20">
        <v>4</v>
      </c>
      <c r="P942" s="20" t="str">
        <v>Graduate Degree</v>
      </c>
      <c r="Q942" s="20" t="str">
        <v>North America</v>
      </c>
      <c r="R942" s="20" t="str">
        <v>Married</v>
      </c>
      <c r="S942" s="20" t="str">
        <v>$70k-90k</v>
      </c>
      <c r="T942" s="89">
        <v>0.52240090198080924</v>
      </c>
      <c r="U942" s="91">
        <v>78.641539369628006</v>
      </c>
      <c r="V942" s="49">
        <v>239</v>
      </c>
      <c r="W942" s="20">
        <v>3</v>
      </c>
      <c r="X942" s="20" t="str">
        <v>Hot</v>
      </c>
      <c r="Y942" s="20">
        <v>1</v>
      </c>
    </row>
    <row r="943" spans="1:25" ht="15" customHeight="1" x14ac:dyDescent="0.25">
      <c r="A943" s="3"/>
      <c r="B943" s="3"/>
      <c r="C943" s="3"/>
      <c r="D943" s="3"/>
      <c r="E943" s="3"/>
      <c r="F943" s="3"/>
      <c r="G943" s="3"/>
      <c r="H943" s="3"/>
      <c r="I943" s="3"/>
      <c r="J943" s="3"/>
      <c r="K943" s="20">
        <v>27740</v>
      </c>
      <c r="L943" s="20" t="str">
        <v>2+ Cars</v>
      </c>
      <c r="M943" s="20" t="str">
        <v>25-30</v>
      </c>
      <c r="N943" s="20" t="str">
        <v>5-10 Miles</v>
      </c>
      <c r="O943" s="20">
        <v>0</v>
      </c>
      <c r="P943" s="20" t="str">
        <v>High School</v>
      </c>
      <c r="Q943" s="20" t="str">
        <v>North America</v>
      </c>
      <c r="R943" s="20" t="str">
        <v>Married</v>
      </c>
      <c r="S943" s="20" t="str">
        <v>$40k-60k</v>
      </c>
      <c r="T943" s="89">
        <v>0.42248750750397268</v>
      </c>
      <c r="U943" s="91">
        <v>30.198177791437342</v>
      </c>
      <c r="V943" s="49">
        <v>873</v>
      </c>
      <c r="W943" s="20">
        <v>9</v>
      </c>
      <c r="X943" s="20" t="str">
        <v>Cold</v>
      </c>
      <c r="Y943" s="20">
        <v>0</v>
      </c>
    </row>
    <row r="944" spans="1:25" ht="15" customHeight="1" x14ac:dyDescent="0.25">
      <c r="A944" s="3"/>
      <c r="B944" s="3"/>
      <c r="C944" s="3"/>
      <c r="D944" s="3"/>
      <c r="E944" s="3"/>
      <c r="F944" s="3"/>
      <c r="G944" s="3"/>
      <c r="H944" s="3"/>
      <c r="I944" s="3"/>
      <c r="J944" s="3"/>
      <c r="K944" s="20">
        <v>23455</v>
      </c>
      <c r="L944" s="20" t="str">
        <v>2+ Cars</v>
      </c>
      <c r="M944" s="20" t="str">
        <v>41-50</v>
      </c>
      <c r="N944" s="20" t="str">
        <v>1-2 Miles</v>
      </c>
      <c r="O944" s="20">
        <v>2</v>
      </c>
      <c r="P944" s="20" t="str">
        <v>Partial High School</v>
      </c>
      <c r="Q944" s="20" t="str">
        <v>North America</v>
      </c>
      <c r="R944" s="20" t="str">
        <v>Single</v>
      </c>
      <c r="S944" s="20" t="str">
        <v>$70k-90k</v>
      </c>
      <c r="T944" s="89">
        <v>0.42792766934250276</v>
      </c>
      <c r="U944" s="91">
        <v>32.835859439305736</v>
      </c>
      <c r="V944" s="49">
        <v>846</v>
      </c>
      <c r="W944" s="20">
        <v>9</v>
      </c>
      <c r="X944" s="20" t="str">
        <v>Cold</v>
      </c>
      <c r="Y944" s="20">
        <v>0</v>
      </c>
    </row>
    <row r="945" spans="1:25" ht="15" customHeight="1" x14ac:dyDescent="0.25">
      <c r="A945" s="3"/>
      <c r="B945" s="3"/>
      <c r="C945" s="3"/>
      <c r="D945" s="3"/>
      <c r="E945" s="3"/>
      <c r="F945" s="3"/>
      <c r="G945" s="3"/>
      <c r="H945" s="3"/>
      <c r="I945" s="3"/>
      <c r="J945" s="3"/>
      <c r="K945" s="20">
        <v>15292</v>
      </c>
      <c r="L945" s="20" t="str">
        <v>0-1 Cars</v>
      </c>
      <c r="M945" s="20" t="str">
        <v>31-40</v>
      </c>
      <c r="N945" s="20" t="str">
        <v>1-2 Miles</v>
      </c>
      <c r="O945" s="20">
        <v>1</v>
      </c>
      <c r="P945" s="20" t="str">
        <v>Graduate Degree</v>
      </c>
      <c r="Q945" s="20" t="str">
        <v>North America</v>
      </c>
      <c r="R945" s="20" t="str">
        <v>Single</v>
      </c>
      <c r="S945" s="20" t="str">
        <v>$40k-60k</v>
      </c>
      <c r="T945" s="89">
        <v>0.54215579358207633</v>
      </c>
      <c r="U945" s="91">
        <v>88.219768212608713</v>
      </c>
      <c r="V945" s="49">
        <v>96</v>
      </c>
      <c r="W945" s="20">
        <v>1</v>
      </c>
      <c r="X945" s="20" t="str">
        <v>Hot</v>
      </c>
      <c r="Y945" s="20">
        <v>0</v>
      </c>
    </row>
    <row r="946" spans="1:25" ht="15" customHeight="1" x14ac:dyDescent="0.25">
      <c r="A946" s="3"/>
      <c r="B946" s="3"/>
      <c r="C946" s="3"/>
      <c r="D946" s="3"/>
      <c r="E946" s="3"/>
      <c r="F946" s="3"/>
      <c r="G946" s="3"/>
      <c r="H946" s="3"/>
      <c r="I946" s="3"/>
      <c r="J946" s="3"/>
      <c r="K946" s="20">
        <v>21587</v>
      </c>
      <c r="L946" s="20" t="str">
        <v>0-1 Cars</v>
      </c>
      <c r="M946" s="20" t="str">
        <v>31-40</v>
      </c>
      <c r="N946" s="20" t="str">
        <v>2-5 Miles</v>
      </c>
      <c r="O946" s="20">
        <v>1</v>
      </c>
      <c r="P946" s="20" t="str">
        <v>Graduate Degree</v>
      </c>
      <c r="Q946" s="20" t="str">
        <v>North America</v>
      </c>
      <c r="R946" s="20" t="str">
        <v>Married</v>
      </c>
      <c r="S946" s="20" t="str">
        <v>$40k-60k</v>
      </c>
      <c r="T946" s="89">
        <v>0.55134741913222174</v>
      </c>
      <c r="U946" s="91">
        <v>92.676360267643531</v>
      </c>
      <c r="V946" s="49">
        <v>35</v>
      </c>
      <c r="W946" s="20">
        <v>1</v>
      </c>
      <c r="X946" s="20" t="str">
        <v>Hot</v>
      </c>
      <c r="Y946" s="20">
        <v>1</v>
      </c>
    </row>
    <row r="947" spans="1:25" ht="15" customHeight="1" x14ac:dyDescent="0.25">
      <c r="A947" s="3"/>
      <c r="B947" s="3"/>
      <c r="C947" s="3"/>
      <c r="D947" s="3"/>
      <c r="E947" s="3"/>
      <c r="F947" s="3"/>
      <c r="G947" s="3"/>
      <c r="H947" s="3"/>
      <c r="I947" s="3"/>
      <c r="J947" s="3"/>
      <c r="K947" s="20">
        <v>23513</v>
      </c>
      <c r="L947" s="20" t="str">
        <v>2+ Cars</v>
      </c>
      <c r="M947" s="20" t="str">
        <v>51-60</v>
      </c>
      <c r="N947" s="20" t="str">
        <v>5-10 Miles</v>
      </c>
      <c r="O947" s="20">
        <v>3</v>
      </c>
      <c r="P947" s="20" t="str">
        <v>Partial College</v>
      </c>
      <c r="Q947" s="20" t="str">
        <v>North America</v>
      </c>
      <c r="R947" s="20" t="str">
        <v>Married</v>
      </c>
      <c r="S947" s="20" t="str">
        <v>$40k-60k</v>
      </c>
      <c r="T947" s="89">
        <v>0.44488271999335532</v>
      </c>
      <c r="U947" s="91">
        <v>41.056575526038309</v>
      </c>
      <c r="V947" s="49">
        <v>758</v>
      </c>
      <c r="W947" s="20">
        <v>8</v>
      </c>
      <c r="X947" s="20" t="str">
        <v>Cold</v>
      </c>
      <c r="Y947" s="20">
        <v>0</v>
      </c>
    </row>
    <row r="948" spans="1:25" ht="15" customHeight="1" x14ac:dyDescent="0.25">
      <c r="A948" s="3"/>
      <c r="B948" s="3"/>
      <c r="C948" s="3"/>
      <c r="D948" s="3"/>
      <c r="E948" s="3"/>
      <c r="F948" s="3"/>
      <c r="G948" s="3"/>
      <c r="H948" s="3"/>
      <c r="I948" s="3"/>
      <c r="J948" s="3"/>
      <c r="K948" s="20">
        <v>24322</v>
      </c>
      <c r="L948" s="20" t="str">
        <v>2+ Cars</v>
      </c>
      <c r="M948" s="20" t="str">
        <v>41-50</v>
      </c>
      <c r="N948" s="20" t="str">
        <v>0-1 Miles</v>
      </c>
      <c r="O948" s="20">
        <v>4</v>
      </c>
      <c r="P948" s="20" t="str">
        <v>Bachelors</v>
      </c>
      <c r="Q948" s="20" t="str">
        <v>North America</v>
      </c>
      <c r="R948" s="20" t="str">
        <v>Married</v>
      </c>
      <c r="S948" s="20" t="str">
        <v>$40k-60k</v>
      </c>
      <c r="T948" s="89">
        <v>0.46511255098397186</v>
      </c>
      <c r="U948" s="91">
        <v>50.865080406445742</v>
      </c>
      <c r="V948" s="49">
        <v>610</v>
      </c>
      <c r="W948" s="20">
        <v>7</v>
      </c>
      <c r="X948" s="20" t="str">
        <v>Cold</v>
      </c>
      <c r="Y948" s="20">
        <v>0</v>
      </c>
    </row>
    <row r="949" spans="1:25" ht="15" customHeight="1" x14ac:dyDescent="0.25">
      <c r="A949" s="3"/>
      <c r="B949" s="3"/>
      <c r="C949" s="3"/>
      <c r="D949" s="3"/>
      <c r="E949" s="3"/>
      <c r="F949" s="3"/>
      <c r="G949" s="3"/>
      <c r="H949" s="3"/>
      <c r="I949" s="3"/>
      <c r="J949" s="3"/>
      <c r="K949" s="20">
        <v>26298</v>
      </c>
      <c r="L949" s="20" t="str">
        <v>0-1 Cars</v>
      </c>
      <c r="M949" s="20" t="str">
        <v>31-40</v>
      </c>
      <c r="N949" s="20" t="str">
        <v>2-5 Miles</v>
      </c>
      <c r="O949" s="20">
        <v>1</v>
      </c>
      <c r="P949" s="20" t="str">
        <v>Bachelors</v>
      </c>
      <c r="Q949" s="20" t="str">
        <v>North America</v>
      </c>
      <c r="R949" s="20" t="str">
        <v>Married</v>
      </c>
      <c r="S949" s="20" t="str">
        <v>$40k-60k</v>
      </c>
      <c r="T949" s="89">
        <v>0.55283775152755144</v>
      </c>
      <c r="U949" s="91">
        <v>93.398953184005563</v>
      </c>
      <c r="V949" s="49">
        <v>18</v>
      </c>
      <c r="W949" s="20">
        <v>1</v>
      </c>
      <c r="X949" s="20" t="str">
        <v>Hot</v>
      </c>
      <c r="Y949" s="20">
        <v>1</v>
      </c>
    </row>
    <row r="950" spans="1:25" ht="15" customHeight="1" x14ac:dyDescent="0.25">
      <c r="A950" s="3"/>
      <c r="B950" s="3"/>
      <c r="C950" s="3"/>
      <c r="D950" s="3"/>
      <c r="E950" s="3"/>
      <c r="F950" s="3"/>
      <c r="G950" s="3"/>
      <c r="H950" s="3"/>
      <c r="I950" s="3"/>
      <c r="J950" s="3"/>
      <c r="K950" s="20">
        <v>25419</v>
      </c>
      <c r="L950" s="20" t="str">
        <v>0-1 Cars</v>
      </c>
      <c r="M950" s="20" t="str">
        <v>31-40</v>
      </c>
      <c r="N950" s="20" t="str">
        <v>0-1 Miles</v>
      </c>
      <c r="O950" s="20">
        <v>2</v>
      </c>
      <c r="P950" s="20" t="str">
        <v>Bachelors</v>
      </c>
      <c r="Q950" s="20" t="str">
        <v>North America</v>
      </c>
      <c r="R950" s="20" t="str">
        <v>Single</v>
      </c>
      <c r="S950" s="20" t="str">
        <v>$40k-60k</v>
      </c>
      <c r="T950" s="89">
        <v>0.54147622075315216</v>
      </c>
      <c r="U950" s="91">
        <v>87.890274930525095</v>
      </c>
      <c r="V950" s="49">
        <v>108</v>
      </c>
      <c r="W950" s="20">
        <v>2</v>
      </c>
      <c r="X950" s="20" t="str">
        <v>Hot</v>
      </c>
      <c r="Y950" s="20">
        <v>1</v>
      </c>
    </row>
    <row r="951" spans="1:25" ht="15" customHeight="1" x14ac:dyDescent="0.25">
      <c r="A951" s="3"/>
      <c r="B951" s="3"/>
      <c r="C951" s="3"/>
      <c r="D951" s="3"/>
      <c r="E951" s="3"/>
      <c r="F951" s="3"/>
      <c r="G951" s="3"/>
      <c r="H951" s="3"/>
      <c r="I951" s="3"/>
      <c r="J951" s="3"/>
      <c r="K951" s="20">
        <v>13343</v>
      </c>
      <c r="L951" s="20" t="str">
        <v>2+ Cars</v>
      </c>
      <c r="M951" s="20" t="str">
        <v>61+</v>
      </c>
      <c r="N951" s="20" t="str">
        <v>1-2 Miles</v>
      </c>
      <c r="O951" s="20">
        <v>5</v>
      </c>
      <c r="P951" s="20" t="str">
        <v>Bachelors</v>
      </c>
      <c r="Q951" s="20" t="str">
        <v>North America</v>
      </c>
      <c r="R951" s="20" t="str">
        <v>Married</v>
      </c>
      <c r="S951" s="20" t="str">
        <v>$70k-90k</v>
      </c>
      <c r="T951" s="89">
        <v>0.39379296338462377</v>
      </c>
      <c r="U951" s="91">
        <v>16.285526906402815</v>
      </c>
      <c r="V951" s="49">
        <v>982</v>
      </c>
      <c r="W951" s="20">
        <v>10</v>
      </c>
      <c r="X951" s="20" t="str">
        <v>Cold</v>
      </c>
      <c r="Y951" s="20">
        <v>1</v>
      </c>
    </row>
    <row r="952" spans="1:25" ht="15" customHeight="1" x14ac:dyDescent="0.25">
      <c r="A952" s="3"/>
      <c r="B952" s="3"/>
      <c r="C952" s="3"/>
      <c r="D952" s="3"/>
      <c r="E952" s="3"/>
      <c r="F952" s="3"/>
      <c r="G952" s="3"/>
      <c r="H952" s="3"/>
      <c r="I952" s="3"/>
      <c r="J952" s="3"/>
      <c r="K952" s="20">
        <v>11303</v>
      </c>
      <c r="L952" s="20" t="str">
        <v>2+ Cars</v>
      </c>
      <c r="M952" s="20" t="str">
        <v>41-50</v>
      </c>
      <c r="N952" s="20" t="str">
        <v>1-2 Miles</v>
      </c>
      <c r="O952" s="20">
        <v>4</v>
      </c>
      <c r="P952" s="20" t="str">
        <v>High School</v>
      </c>
      <c r="Q952" s="20" t="str">
        <v>North America</v>
      </c>
      <c r="R952" s="20" t="str">
        <v>Single</v>
      </c>
      <c r="S952" s="20" t="str">
        <v>$70k-90k</v>
      </c>
      <c r="T952" s="89">
        <v>0.44500927952816638</v>
      </c>
      <c r="U952" s="91">
        <v>41.117938362704223</v>
      </c>
      <c r="V952" s="49">
        <v>755</v>
      </c>
      <c r="W952" s="20">
        <v>8</v>
      </c>
      <c r="X952" s="20" t="str">
        <v>Cold</v>
      </c>
      <c r="Y952" s="20">
        <v>1</v>
      </c>
    </row>
    <row r="953" spans="1:25" ht="15" customHeight="1" x14ac:dyDescent="0.25">
      <c r="A953" s="3"/>
      <c r="B953" s="3"/>
      <c r="C953" s="3"/>
      <c r="D953" s="3"/>
      <c r="E953" s="3"/>
      <c r="F953" s="3"/>
      <c r="G953" s="3"/>
      <c r="H953" s="3"/>
      <c r="I953" s="3"/>
      <c r="J953" s="3"/>
      <c r="K953" s="20">
        <v>21693</v>
      </c>
      <c r="L953" s="20" t="str">
        <v>0-1 Cars</v>
      </c>
      <c r="M953" s="20" t="str">
        <v>31-40</v>
      </c>
      <c r="N953" s="20" t="str">
        <v>0-1 Miles</v>
      </c>
      <c r="O953" s="20">
        <v>0</v>
      </c>
      <c r="P953" s="20" t="str">
        <v>Graduate Degree</v>
      </c>
      <c r="Q953" s="20" t="str">
        <v>North America</v>
      </c>
      <c r="R953" s="20" t="str">
        <v>Single</v>
      </c>
      <c r="S953" s="20" t="str">
        <v>$40k-60k</v>
      </c>
      <c r="T953" s="89">
        <v>0.54571740134529167</v>
      </c>
      <c r="U953" s="91">
        <v>89.946626293815541</v>
      </c>
      <c r="V953" s="49">
        <v>67</v>
      </c>
      <c r="W953" s="20">
        <v>1</v>
      </c>
      <c r="X953" s="20" t="str">
        <v>Hot</v>
      </c>
      <c r="Y953" s="20">
        <v>0</v>
      </c>
    </row>
    <row r="954" spans="1:25" ht="15" customHeight="1" x14ac:dyDescent="0.25">
      <c r="A954" s="3"/>
      <c r="B954" s="3"/>
      <c r="C954" s="3"/>
      <c r="D954" s="3"/>
      <c r="E954" s="3"/>
      <c r="F954" s="3"/>
      <c r="G954" s="3"/>
      <c r="H954" s="3"/>
      <c r="I954" s="3"/>
      <c r="J954" s="3"/>
      <c r="K954" s="20">
        <v>28056</v>
      </c>
      <c r="L954" s="20" t="str">
        <v>2+ Cars</v>
      </c>
      <c r="M954" s="20" t="str">
        <v>51-60</v>
      </c>
      <c r="N954" s="20" t="str">
        <v>10+ Miles</v>
      </c>
      <c r="O954" s="20">
        <v>2</v>
      </c>
      <c r="P954" s="20" t="str">
        <v>Partial High School</v>
      </c>
      <c r="Q954" s="20" t="str">
        <v>North America</v>
      </c>
      <c r="R954" s="20" t="str">
        <v>Married</v>
      </c>
      <c r="S954" s="20" t="str">
        <v>$70k-90k</v>
      </c>
      <c r="T954" s="89">
        <v>0.39351034792948986</v>
      </c>
      <c r="U954" s="91">
        <v>16.148499806559748</v>
      </c>
      <c r="V954" s="49">
        <v>985</v>
      </c>
      <c r="W954" s="20">
        <v>10</v>
      </c>
      <c r="X954" s="20" t="str">
        <v>Cold</v>
      </c>
      <c r="Y954" s="20">
        <v>0</v>
      </c>
    </row>
    <row r="955" spans="1:25" ht="15" customHeight="1" x14ac:dyDescent="0.25">
      <c r="A955" s="3"/>
      <c r="B955" s="3"/>
      <c r="C955" s="3"/>
      <c r="D955" s="3"/>
      <c r="E955" s="3"/>
      <c r="F955" s="3"/>
      <c r="G955" s="3"/>
      <c r="H955" s="3"/>
      <c r="I955" s="3"/>
      <c r="J955" s="3"/>
      <c r="K955" s="20">
        <v>11788</v>
      </c>
      <c r="L955" s="20" t="str">
        <v>0-1 Cars</v>
      </c>
      <c r="M955" s="20" t="str">
        <v>31-40</v>
      </c>
      <c r="N955" s="20" t="str">
        <v>2-5 Miles</v>
      </c>
      <c r="O955" s="20">
        <v>1</v>
      </c>
      <c r="P955" s="20" t="str">
        <v>Graduate Degree</v>
      </c>
      <c r="Q955" s="20" t="str">
        <v>North America</v>
      </c>
      <c r="R955" s="20" t="str">
        <v>Single</v>
      </c>
      <c r="S955" s="20" t="str">
        <v>$70k-90k</v>
      </c>
      <c r="T955" s="89">
        <v>0.55806032897943236</v>
      </c>
      <c r="U955" s="91">
        <v>95.931138274866697</v>
      </c>
      <c r="V955" s="49">
        <v>11</v>
      </c>
      <c r="W955" s="20">
        <v>1</v>
      </c>
      <c r="X955" s="20" t="str">
        <v>Hot</v>
      </c>
      <c r="Y955" s="20">
        <v>0</v>
      </c>
    </row>
    <row r="956" spans="1:25" ht="15" customHeight="1" x14ac:dyDescent="0.25">
      <c r="A956" s="3"/>
      <c r="B956" s="3"/>
      <c r="C956" s="3"/>
      <c r="D956" s="3"/>
      <c r="E956" s="3"/>
      <c r="F956" s="3"/>
      <c r="G956" s="3"/>
      <c r="H956" s="3"/>
      <c r="I956" s="3"/>
      <c r="J956" s="3"/>
      <c r="K956" s="20">
        <v>22296</v>
      </c>
      <c r="L956" s="20" t="str">
        <v>0-1 Cars</v>
      </c>
      <c r="M956" s="20" t="str">
        <v>31-40</v>
      </c>
      <c r="N956" s="20" t="str">
        <v>0-1 Miles</v>
      </c>
      <c r="O956" s="20">
        <v>0</v>
      </c>
      <c r="P956" s="20" t="str">
        <v>Bachelors</v>
      </c>
      <c r="Q956" s="20" t="str">
        <v>North America</v>
      </c>
      <c r="R956" s="20" t="str">
        <v>Married</v>
      </c>
      <c r="S956" s="20" t="str">
        <v>$70k-90k</v>
      </c>
      <c r="T956" s="89">
        <v>0.53456455817218163</v>
      </c>
      <c r="U956" s="91">
        <v>84.539130959593052</v>
      </c>
      <c r="V956" s="49">
        <v>157</v>
      </c>
      <c r="W956" s="20">
        <v>2</v>
      </c>
      <c r="X956" s="20" t="str">
        <v>Hot</v>
      </c>
      <c r="Y956" s="20">
        <v>0</v>
      </c>
    </row>
    <row r="957" spans="1:25" ht="15" customHeight="1" x14ac:dyDescent="0.25">
      <c r="A957" s="3"/>
      <c r="B957" s="3"/>
      <c r="C957" s="3"/>
      <c r="D957" s="3"/>
      <c r="E957" s="3"/>
      <c r="F957" s="3"/>
      <c r="G957" s="3"/>
      <c r="H957" s="3"/>
      <c r="I957" s="3"/>
      <c r="J957" s="3"/>
      <c r="K957" s="20">
        <v>15319</v>
      </c>
      <c r="L957" s="20" t="str">
        <v>0-1 Cars</v>
      </c>
      <c r="M957" s="20" t="str">
        <v>51-60</v>
      </c>
      <c r="N957" s="20" t="str">
        <v>1-2 Miles</v>
      </c>
      <c r="O957" s="20">
        <v>4</v>
      </c>
      <c r="P957" s="20" t="str">
        <v>Bachelors</v>
      </c>
      <c r="Q957" s="20" t="str">
        <v>North America</v>
      </c>
      <c r="R957" s="20" t="str">
        <v>Married</v>
      </c>
      <c r="S957" s="20" t="str">
        <v>$70k-90k</v>
      </c>
      <c r="T957" s="89">
        <v>0.48585909052596893</v>
      </c>
      <c r="U957" s="91">
        <v>60.924113249756815</v>
      </c>
      <c r="V957" s="49">
        <v>473</v>
      </c>
      <c r="W957" s="20">
        <v>5</v>
      </c>
      <c r="X957" s="20" t="str">
        <v>Warm</v>
      </c>
      <c r="Y957" s="20">
        <v>0</v>
      </c>
    </row>
    <row r="958" spans="1:25" ht="15" customHeight="1" x14ac:dyDescent="0.25">
      <c r="A958" s="3"/>
      <c r="B958" s="3"/>
      <c r="C958" s="3"/>
      <c r="D958" s="3"/>
      <c r="E958" s="3"/>
      <c r="F958" s="3"/>
      <c r="G958" s="3"/>
      <c r="H958" s="3"/>
      <c r="I958" s="3"/>
      <c r="J958" s="3"/>
      <c r="K958" s="20">
        <v>17654</v>
      </c>
      <c r="L958" s="20" t="str">
        <v>0-1 Cars</v>
      </c>
      <c r="M958" s="20" t="str">
        <v>25-30</v>
      </c>
      <c r="N958" s="20" t="str">
        <v>1-2 Miles</v>
      </c>
      <c r="O958" s="20">
        <v>3</v>
      </c>
      <c r="P958" s="20" t="str">
        <v>Partial College</v>
      </c>
      <c r="Q958" s="20" t="str">
        <v>North America</v>
      </c>
      <c r="R958" s="20" t="str">
        <v>Single</v>
      </c>
      <c r="S958" s="20" t="str">
        <v>$40k-60k</v>
      </c>
      <c r="T958" s="89">
        <v>0.48594130618822845</v>
      </c>
      <c r="U958" s="91">
        <v>60.963975803472295</v>
      </c>
      <c r="V958" s="49">
        <v>471</v>
      </c>
      <c r="W958" s="20">
        <v>5</v>
      </c>
      <c r="X958" s="20" t="str">
        <v>Warm</v>
      </c>
      <c r="Y958" s="20">
        <v>1</v>
      </c>
    </row>
    <row r="959" spans="1:25" ht="15" customHeight="1" x14ac:dyDescent="0.25">
      <c r="A959" s="3"/>
      <c r="B959" s="3"/>
      <c r="C959" s="3"/>
      <c r="D959" s="3"/>
      <c r="E959" s="3"/>
      <c r="F959" s="3"/>
      <c r="G959" s="3"/>
      <c r="H959" s="3"/>
      <c r="I959" s="3"/>
      <c r="J959" s="3"/>
      <c r="K959" s="20">
        <v>14662</v>
      </c>
      <c r="L959" s="20" t="str">
        <v>0-1 Cars</v>
      </c>
      <c r="M959" s="20" t="str">
        <v>41-50</v>
      </c>
      <c r="N959" s="20" t="str">
        <v>0-1 Miles</v>
      </c>
      <c r="O959" s="20">
        <v>1</v>
      </c>
      <c r="P959" s="20" t="str">
        <v>Bachelors</v>
      </c>
      <c r="Q959" s="20" t="str">
        <v>North America</v>
      </c>
      <c r="R959" s="20" t="str">
        <v>Married</v>
      </c>
      <c r="S959" s="20" t="str">
        <v>$40k-60k</v>
      </c>
      <c r="T959" s="89">
        <v>0.52404086337780997</v>
      </c>
      <c r="U959" s="91">
        <v>79.436680434999374</v>
      </c>
      <c r="V959" s="49">
        <v>226</v>
      </c>
      <c r="W959" s="20">
        <v>3</v>
      </c>
      <c r="X959" s="20" t="str">
        <v>Hot</v>
      </c>
      <c r="Y959" s="20">
        <v>1</v>
      </c>
    </row>
    <row r="960" spans="1:25" ht="15" customHeight="1" x14ac:dyDescent="0.25">
      <c r="A960" s="3"/>
      <c r="B960" s="3"/>
      <c r="C960" s="3"/>
      <c r="D960" s="3"/>
      <c r="E960" s="3"/>
      <c r="F960" s="3"/>
      <c r="G960" s="3"/>
      <c r="H960" s="3"/>
      <c r="I960" s="3"/>
      <c r="J960" s="3"/>
      <c r="K960" s="20">
        <v>17541</v>
      </c>
      <c r="L960" s="20" t="str">
        <v>2+ Cars</v>
      </c>
      <c r="M960" s="20" t="str">
        <v>41-50</v>
      </c>
      <c r="N960" s="20" t="str">
        <v>2-5 Miles</v>
      </c>
      <c r="O960" s="20">
        <v>4</v>
      </c>
      <c r="P960" s="20" t="str">
        <v>High School</v>
      </c>
      <c r="Q960" s="20" t="str">
        <v>North America</v>
      </c>
      <c r="R960" s="20" t="str">
        <v>Married</v>
      </c>
      <c r="S960" s="20" t="str">
        <v>$40k-60k</v>
      </c>
      <c r="T960" s="89">
        <v>0.4571660379389263</v>
      </c>
      <c r="U960" s="91">
        <v>47.012185539419697</v>
      </c>
      <c r="V960" s="49">
        <v>675</v>
      </c>
      <c r="W960" s="20">
        <v>7</v>
      </c>
      <c r="X960" s="20" t="str">
        <v>Cold</v>
      </c>
      <c r="Y960" s="20">
        <v>0</v>
      </c>
    </row>
    <row r="961" spans="1:25" ht="15" customHeight="1" x14ac:dyDescent="0.25">
      <c r="A961" s="3"/>
      <c r="B961" s="3"/>
      <c r="C961" s="3"/>
      <c r="D961" s="3"/>
      <c r="E961" s="3"/>
      <c r="F961" s="3"/>
      <c r="G961" s="3"/>
      <c r="H961" s="3"/>
      <c r="I961" s="3"/>
      <c r="J961" s="3"/>
      <c r="K961" s="20">
        <v>13886</v>
      </c>
      <c r="L961" s="20" t="str">
        <v>0-1 Cars</v>
      </c>
      <c r="M961" s="20" t="str">
        <v>31-40</v>
      </c>
      <c r="N961" s="20" t="str">
        <v>2-5 Miles</v>
      </c>
      <c r="O961" s="20">
        <v>4</v>
      </c>
      <c r="P961" s="20" t="str">
        <v>Graduate Degree</v>
      </c>
      <c r="Q961" s="20" t="str">
        <v>North America</v>
      </c>
      <c r="R961" s="20" t="str">
        <v>Married</v>
      </c>
      <c r="S961" s="20" t="str">
        <v>$70k-90k</v>
      </c>
      <c r="T961" s="89">
        <v>0.52816742339648126</v>
      </c>
      <c r="U961" s="91">
        <v>81.437457609124351</v>
      </c>
      <c r="V961" s="49">
        <v>206</v>
      </c>
      <c r="W961" s="20">
        <v>3</v>
      </c>
      <c r="X961" s="20" t="str">
        <v>Hot</v>
      </c>
      <c r="Y961" s="20">
        <v>1</v>
      </c>
    </row>
    <row r="962" spans="1:25" ht="15" customHeight="1" x14ac:dyDescent="0.25">
      <c r="A962" s="3"/>
      <c r="B962" s="3"/>
      <c r="C962" s="3"/>
      <c r="D962" s="3"/>
      <c r="E962" s="3"/>
      <c r="F962" s="3"/>
      <c r="G962" s="3"/>
      <c r="H962" s="3"/>
      <c r="I962" s="3"/>
      <c r="J962" s="3"/>
      <c r="K962" s="20">
        <v>13073</v>
      </c>
      <c r="L962" s="20" t="str">
        <v>2+ Cars</v>
      </c>
      <c r="M962" s="20" t="str">
        <v>25-30</v>
      </c>
      <c r="N962" s="20" t="str">
        <v>5-10 Miles</v>
      </c>
      <c r="O962" s="20">
        <v>0</v>
      </c>
      <c r="P962" s="20" t="str">
        <v>Partial College</v>
      </c>
      <c r="Q962" s="20" t="str">
        <v>North America</v>
      </c>
      <c r="R962" s="20" t="str">
        <v>Married</v>
      </c>
      <c r="S962" s="20" t="str">
        <v>$40k-60k</v>
      </c>
      <c r="T962" s="89">
        <v>0.42344118375774892</v>
      </c>
      <c r="U962" s="91">
        <v>30.660571085470878</v>
      </c>
      <c r="V962" s="49">
        <v>862</v>
      </c>
      <c r="W962" s="20">
        <v>9</v>
      </c>
      <c r="X962" s="20" t="str">
        <v>Cold</v>
      </c>
      <c r="Y962" s="20">
        <v>0</v>
      </c>
    </row>
    <row r="963" spans="1:25" ht="15" customHeight="1" x14ac:dyDescent="0.25">
      <c r="A963" s="3"/>
      <c r="B963" s="3"/>
      <c r="C963" s="3"/>
      <c r="D963" s="3"/>
      <c r="E963" s="3"/>
      <c r="F963" s="3"/>
      <c r="G963" s="3"/>
      <c r="H963" s="3"/>
      <c r="I963" s="3"/>
      <c r="J963" s="3"/>
      <c r="K963" s="20">
        <v>21940</v>
      </c>
      <c r="L963" s="20" t="str">
        <v>0-1 Cars</v>
      </c>
      <c r="M963" s="20" t="str">
        <v>41-50</v>
      </c>
      <c r="N963" s="20" t="str">
        <v>0-1 Miles</v>
      </c>
      <c r="O963" s="20">
        <v>5</v>
      </c>
      <c r="P963" s="20" t="str">
        <v>Graduate Degree</v>
      </c>
      <c r="Q963" s="20" t="str">
        <v>North America</v>
      </c>
      <c r="R963" s="20" t="str">
        <v>Married</v>
      </c>
      <c r="S963" s="20" t="str">
        <v>$70k-90k</v>
      </c>
      <c r="T963" s="89">
        <v>0.47068057805252034</v>
      </c>
      <c r="U963" s="91">
        <v>53.564757961904839</v>
      </c>
      <c r="V963" s="49">
        <v>577</v>
      </c>
      <c r="W963" s="20">
        <v>6</v>
      </c>
      <c r="X963" s="20" t="str">
        <v>Warm</v>
      </c>
      <c r="Y963" s="20">
        <v>1</v>
      </c>
    </row>
    <row r="964" spans="1:25" ht="15" customHeight="1" x14ac:dyDescent="0.25">
      <c r="A964" s="3"/>
      <c r="B964" s="3"/>
      <c r="C964" s="3"/>
      <c r="D964" s="3"/>
      <c r="E964" s="3"/>
      <c r="F964" s="3"/>
      <c r="G964" s="3"/>
      <c r="H964" s="3"/>
      <c r="I964" s="3"/>
      <c r="J964" s="3"/>
      <c r="K964" s="20">
        <v>20196</v>
      </c>
      <c r="L964" s="20" t="str">
        <v>0-1 Cars</v>
      </c>
      <c r="M964" s="20" t="str">
        <v>41-50</v>
      </c>
      <c r="N964" s="20" t="str">
        <v>2-5 Miles</v>
      </c>
      <c r="O964" s="20">
        <v>1</v>
      </c>
      <c r="P964" s="20" t="str">
        <v>Partial College</v>
      </c>
      <c r="Q964" s="20" t="str">
        <v>North America</v>
      </c>
      <c r="R964" s="20" t="str">
        <v>Married</v>
      </c>
      <c r="S964" s="20" t="str">
        <v>$40k-60k</v>
      </c>
      <c r="T964" s="89">
        <v>0.5170480265865407</v>
      </c>
      <c r="U964" s="91">
        <v>76.046178862006911</v>
      </c>
      <c r="V964" s="49">
        <v>275</v>
      </c>
      <c r="W964" s="20">
        <v>3</v>
      </c>
      <c r="X964" s="20" t="str">
        <v>Hot</v>
      </c>
      <c r="Y964" s="20">
        <v>1</v>
      </c>
    </row>
    <row r="965" spans="1:25" ht="15" customHeight="1" x14ac:dyDescent="0.25">
      <c r="A965" s="3"/>
      <c r="B965" s="3"/>
      <c r="C965" s="3"/>
      <c r="D965" s="3"/>
      <c r="E965" s="3"/>
      <c r="F965" s="3"/>
      <c r="G965" s="3"/>
      <c r="H965" s="3"/>
      <c r="I965" s="3"/>
      <c r="J965" s="3"/>
      <c r="K965" s="20">
        <v>23491</v>
      </c>
      <c r="L965" s="20" t="str">
        <v>2+ Cars</v>
      </c>
      <c r="M965" s="20" t="str">
        <v>41-50</v>
      </c>
      <c r="N965" s="20" t="str">
        <v>1-2 Miles</v>
      </c>
      <c r="O965" s="20">
        <v>0</v>
      </c>
      <c r="P965" s="20" t="str">
        <v>Partial College</v>
      </c>
      <c r="Q965" s="20" t="str">
        <v>North America</v>
      </c>
      <c r="R965" s="20" t="str">
        <v>Single</v>
      </c>
      <c r="S965" s="20" t="str">
        <v>$100k+</v>
      </c>
      <c r="T965" s="89">
        <v>0.45578320982083925</v>
      </c>
      <c r="U965" s="91">
        <v>46.341716450908152</v>
      </c>
      <c r="V965" s="49">
        <v>687</v>
      </c>
      <c r="W965" s="20">
        <v>7</v>
      </c>
      <c r="X965" s="20" t="str">
        <v>Cold</v>
      </c>
      <c r="Y965" s="20">
        <v>0</v>
      </c>
    </row>
    <row r="966" spans="1:25" ht="15" customHeight="1" x14ac:dyDescent="0.25">
      <c r="A966" s="3"/>
      <c r="B966" s="3"/>
      <c r="C966" s="3"/>
      <c r="D966" s="3"/>
      <c r="E966" s="3"/>
      <c r="F966" s="3"/>
      <c r="G966" s="3"/>
      <c r="H966" s="3"/>
      <c r="I966" s="3"/>
      <c r="J966" s="3"/>
      <c r="K966" s="20">
        <v>16651</v>
      </c>
      <c r="L966" s="20" t="str">
        <v>2+ Cars</v>
      </c>
      <c r="M966" s="20" t="str">
        <v>61+</v>
      </c>
      <c r="N966" s="20" t="str">
        <v>5-10 Miles</v>
      </c>
      <c r="O966" s="20">
        <v>2</v>
      </c>
      <c r="P966" s="20" t="str">
        <v>Bachelors</v>
      </c>
      <c r="Q966" s="20" t="str">
        <v>North America</v>
      </c>
      <c r="R966" s="20" t="str">
        <v>Married</v>
      </c>
      <c r="S966" s="20" t="str">
        <v>$100k+</v>
      </c>
      <c r="T966" s="89">
        <v>0.41794633679649101</v>
      </c>
      <c r="U966" s="91">
        <v>27.996375163043769</v>
      </c>
      <c r="V966" s="49">
        <v>907</v>
      </c>
      <c r="W966" s="20">
        <v>10</v>
      </c>
      <c r="X966" s="20" t="str">
        <v>Cold</v>
      </c>
      <c r="Y966" s="20">
        <v>0</v>
      </c>
    </row>
    <row r="967" spans="1:25" ht="15" customHeight="1" x14ac:dyDescent="0.25">
      <c r="A967" s="3"/>
      <c r="B967" s="3"/>
      <c r="C967" s="3"/>
      <c r="D967" s="3"/>
      <c r="E967" s="3"/>
      <c r="F967" s="3"/>
      <c r="G967" s="3"/>
      <c r="H967" s="3"/>
      <c r="I967" s="3"/>
      <c r="J967" s="3"/>
      <c r="K967" s="20">
        <v>16813</v>
      </c>
      <c r="L967" s="20" t="str">
        <v>2+ Cars</v>
      </c>
      <c r="M967" s="20" t="str">
        <v>51-60</v>
      </c>
      <c r="N967" s="20" t="str">
        <v>10+ Miles</v>
      </c>
      <c r="O967" s="20">
        <v>2</v>
      </c>
      <c r="P967" s="20" t="str">
        <v>Partial College</v>
      </c>
      <c r="Q967" s="20" t="str">
        <v>North America</v>
      </c>
      <c r="R967" s="20" t="str">
        <v>Married</v>
      </c>
      <c r="S967" s="20" t="str">
        <v>$40k-60k</v>
      </c>
      <c r="T967" s="89">
        <v>0.41945257803811792</v>
      </c>
      <c r="U967" s="91">
        <v>28.726681539623051</v>
      </c>
      <c r="V967" s="49">
        <v>894</v>
      </c>
      <c r="W967" s="20">
        <v>9</v>
      </c>
      <c r="X967" s="20" t="str">
        <v>Cold</v>
      </c>
      <c r="Y967" s="20">
        <v>0</v>
      </c>
    </row>
    <row r="968" spans="1:25" ht="15" customHeight="1" x14ac:dyDescent="0.25">
      <c r="A968" s="3"/>
      <c r="B968" s="3"/>
      <c r="C968" s="3"/>
      <c r="D968" s="3"/>
      <c r="E968" s="3"/>
      <c r="F968" s="3"/>
      <c r="G968" s="3"/>
      <c r="H968" s="3"/>
      <c r="I968" s="3"/>
      <c r="J968" s="3"/>
      <c r="K968" s="20">
        <v>16007</v>
      </c>
      <c r="L968" s="20" t="str">
        <v>2+ Cars</v>
      </c>
      <c r="M968" s="20" t="str">
        <v>61+</v>
      </c>
      <c r="N968" s="20" t="str">
        <v>1-2 Miles</v>
      </c>
      <c r="O968" s="20">
        <v>5</v>
      </c>
      <c r="P968" s="20" t="str">
        <v>Bachelors</v>
      </c>
      <c r="Q968" s="20" t="str">
        <v>North America</v>
      </c>
      <c r="R968" s="20" t="str">
        <v>Married</v>
      </c>
      <c r="S968" s="20" t="str">
        <v>$70k-90k</v>
      </c>
      <c r="T968" s="89">
        <v>0.39379296338462377</v>
      </c>
      <c r="U968" s="91">
        <v>16.285526906402815</v>
      </c>
      <c r="V968" s="49">
        <v>984</v>
      </c>
      <c r="W968" s="20">
        <v>10</v>
      </c>
      <c r="X968" s="20" t="str">
        <v>Cold</v>
      </c>
      <c r="Y968" s="20">
        <v>1</v>
      </c>
    </row>
    <row r="969" spans="1:25" ht="15" customHeight="1" x14ac:dyDescent="0.25">
      <c r="A969" s="3"/>
      <c r="B969" s="3"/>
      <c r="C969" s="3"/>
      <c r="D969" s="3"/>
      <c r="E969" s="3"/>
      <c r="F969" s="3"/>
      <c r="G969" s="3"/>
      <c r="H969" s="3"/>
      <c r="I969" s="3"/>
      <c r="J969" s="3"/>
      <c r="K969" s="20">
        <v>27434</v>
      </c>
      <c r="L969" s="20" t="str">
        <v>0-1 Cars</v>
      </c>
      <c r="M969" s="20" t="str">
        <v>51-60</v>
      </c>
      <c r="N969" s="20" t="str">
        <v>10+ Miles</v>
      </c>
      <c r="O969" s="20">
        <v>4</v>
      </c>
      <c r="P969" s="20" t="str">
        <v>Partial College</v>
      </c>
      <c r="Q969" s="20" t="str">
        <v>North America</v>
      </c>
      <c r="R969" s="20" t="str">
        <v>Single</v>
      </c>
      <c r="S969" s="20" t="str">
        <v>$70k-90k</v>
      </c>
      <c r="T969" s="89">
        <v>0.45993712659546698</v>
      </c>
      <c r="U969" s="91">
        <v>48.355757644610705</v>
      </c>
      <c r="V969" s="49">
        <v>650</v>
      </c>
      <c r="W969" s="20">
        <v>7</v>
      </c>
      <c r="X969" s="20" t="str">
        <v>Cold</v>
      </c>
      <c r="Y969" s="20">
        <v>0</v>
      </c>
    </row>
    <row r="970" spans="1:25" ht="15" customHeight="1" x14ac:dyDescent="0.25">
      <c r="A970" s="3"/>
      <c r="B970" s="3"/>
      <c r="C970" s="3"/>
      <c r="D970" s="3"/>
      <c r="E970" s="3"/>
      <c r="F970" s="3"/>
      <c r="G970" s="3"/>
      <c r="H970" s="3"/>
      <c r="I970" s="3"/>
      <c r="J970" s="3"/>
      <c r="K970" s="20">
        <v>27756</v>
      </c>
      <c r="L970" s="20" t="str">
        <v>0-1 Cars</v>
      </c>
      <c r="M970" s="20" t="str">
        <v>31-40</v>
      </c>
      <c r="N970" s="20" t="str">
        <v>0-1 Miles</v>
      </c>
      <c r="O970" s="20">
        <v>3</v>
      </c>
      <c r="P970" s="20" t="str">
        <v>Bachelors</v>
      </c>
      <c r="Q970" s="20" t="str">
        <v>North America</v>
      </c>
      <c r="R970" s="20" t="str">
        <v>Single</v>
      </c>
      <c r="S970" s="20" t="str">
        <v>$40k-60k</v>
      </c>
      <c r="T970" s="89">
        <v>0.55269103911078366</v>
      </c>
      <c r="U970" s="91">
        <v>93.327819151469612</v>
      </c>
      <c r="V970" s="49">
        <v>24</v>
      </c>
      <c r="W970" s="20">
        <v>1</v>
      </c>
      <c r="X970" s="20" t="str">
        <v>Hot</v>
      </c>
      <c r="Y970" s="20">
        <v>0</v>
      </c>
    </row>
    <row r="971" spans="1:25" ht="15" customHeight="1" x14ac:dyDescent="0.25">
      <c r="A971" s="3"/>
      <c r="B971" s="3"/>
      <c r="C971" s="3"/>
      <c r="D971" s="3"/>
      <c r="E971" s="3"/>
      <c r="F971" s="3"/>
      <c r="G971" s="3"/>
      <c r="H971" s="3"/>
      <c r="I971" s="3"/>
      <c r="J971" s="3"/>
      <c r="K971" s="20">
        <v>23818</v>
      </c>
      <c r="L971" s="20" t="str">
        <v>0-1 Cars</v>
      </c>
      <c r="M971" s="20" t="str">
        <v>31-40</v>
      </c>
      <c r="N971" s="20" t="str">
        <v>1-2 Miles</v>
      </c>
      <c r="O971" s="20">
        <v>0</v>
      </c>
      <c r="P971" s="20" t="str">
        <v>Graduate Degree</v>
      </c>
      <c r="Q971" s="20" t="str">
        <v>North America</v>
      </c>
      <c r="R971" s="20" t="str">
        <v>Married</v>
      </c>
      <c r="S971" s="20" t="str">
        <v>$40k-60k</v>
      </c>
      <c r="T971" s="89">
        <v>0.52293621179516803</v>
      </c>
      <c r="U971" s="91">
        <v>78.901086220469409</v>
      </c>
      <c r="V971" s="49">
        <v>229</v>
      </c>
      <c r="W971" s="20">
        <v>3</v>
      </c>
      <c r="X971" s="20" t="str">
        <v>Hot</v>
      </c>
      <c r="Y971" s="20">
        <v>1</v>
      </c>
    </row>
    <row r="972" spans="1:25" ht="15" customHeight="1" x14ac:dyDescent="0.25">
      <c r="A972" s="3"/>
      <c r="B972" s="3"/>
      <c r="C972" s="3"/>
      <c r="D972" s="3"/>
      <c r="E972" s="3"/>
      <c r="F972" s="3"/>
      <c r="G972" s="3"/>
      <c r="H972" s="3"/>
      <c r="I972" s="3"/>
      <c r="J972" s="3"/>
      <c r="K972" s="20">
        <v>19012</v>
      </c>
      <c r="L972" s="20" t="str">
        <v>0-1 Cars</v>
      </c>
      <c r="M972" s="20" t="str">
        <v>51-60</v>
      </c>
      <c r="N972" s="20" t="str">
        <v>1-2 Miles</v>
      </c>
      <c r="O972" s="20">
        <v>3</v>
      </c>
      <c r="P972" s="20" t="str">
        <v>Bachelors</v>
      </c>
      <c r="Q972" s="20" t="str">
        <v>North America</v>
      </c>
      <c r="R972" s="20" t="str">
        <v>Married</v>
      </c>
      <c r="S972" s="20" t="str">
        <v>$70k-90k</v>
      </c>
      <c r="T972" s="89">
        <v>0.50201571969217407</v>
      </c>
      <c r="U972" s="91">
        <v>68.757711864651938</v>
      </c>
      <c r="V972" s="49">
        <v>356</v>
      </c>
      <c r="W972" s="20">
        <v>4</v>
      </c>
      <c r="X972" s="20" t="str">
        <v>Warm</v>
      </c>
      <c r="Y972" s="20">
        <v>0</v>
      </c>
    </row>
    <row r="973" spans="1:25" ht="15" customHeight="1" x14ac:dyDescent="0.25">
      <c r="A973" s="3"/>
      <c r="B973" s="3"/>
      <c r="C973" s="3"/>
      <c r="D973" s="3"/>
      <c r="E973" s="3"/>
      <c r="F973" s="3"/>
      <c r="G973" s="3"/>
      <c r="H973" s="3"/>
      <c r="I973" s="3"/>
      <c r="J973" s="3"/>
      <c r="K973" s="20">
        <v>18329</v>
      </c>
      <c r="L973" s="20" t="str">
        <v>2+ Cars</v>
      </c>
      <c r="M973" s="20" t="str">
        <v>25-30</v>
      </c>
      <c r="N973" s="20" t="str">
        <v>5-10 Miles</v>
      </c>
      <c r="O973" s="20">
        <v>0</v>
      </c>
      <c r="P973" s="20" t="str">
        <v>Partial High School</v>
      </c>
      <c r="Q973" s="20" t="str">
        <v>North America</v>
      </c>
      <c r="R973" s="20" t="str">
        <v>Single</v>
      </c>
      <c r="S973" s="20" t="str">
        <v>$10k-30k</v>
      </c>
      <c r="T973" s="89">
        <v>0.399316746378308</v>
      </c>
      <c r="U973" s="91">
        <v>18.963752566172008</v>
      </c>
      <c r="V973" s="49">
        <v>968</v>
      </c>
      <c r="W973" s="20">
        <v>10</v>
      </c>
      <c r="X973" s="20" t="str">
        <v>Cold</v>
      </c>
      <c r="Y973" s="20">
        <v>0</v>
      </c>
    </row>
    <row r="974" spans="1:25" ht="15" customHeight="1" x14ac:dyDescent="0.25">
      <c r="A974" s="3"/>
      <c r="B974" s="3"/>
      <c r="C974" s="3"/>
      <c r="D974" s="3"/>
      <c r="E974" s="3"/>
      <c r="F974" s="3"/>
      <c r="G974" s="3"/>
      <c r="H974" s="3"/>
      <c r="I974" s="3"/>
      <c r="J974" s="3"/>
      <c r="K974" s="20">
        <v>29037</v>
      </c>
      <c r="L974" s="20" t="str">
        <v>0-1 Cars</v>
      </c>
      <c r="M974" s="20" t="str">
        <v>31-40</v>
      </c>
      <c r="N974" s="20" t="str">
        <v>0-1 Miles</v>
      </c>
      <c r="O974" s="20">
        <v>0</v>
      </c>
      <c r="P974" s="20" t="str">
        <v>Graduate Degree</v>
      </c>
      <c r="Q974" s="20" t="str">
        <v>North America</v>
      </c>
      <c r="R974" s="20" t="str">
        <v>Married</v>
      </c>
      <c r="S974" s="20" t="str">
        <v>$40k-60k</v>
      </c>
      <c r="T974" s="89">
        <v>0.53603935863746655</v>
      </c>
      <c r="U974" s="91">
        <v>85.254193164911712</v>
      </c>
      <c r="V974" s="49">
        <v>141</v>
      </c>
      <c r="W974" s="20">
        <v>2</v>
      </c>
      <c r="X974" s="20" t="str">
        <v>Hot</v>
      </c>
      <c r="Y974" s="20">
        <v>0</v>
      </c>
    </row>
    <row r="975" spans="1:25" ht="15" customHeight="1" x14ac:dyDescent="0.25">
      <c r="A975" s="3"/>
      <c r="B975" s="3"/>
      <c r="C975" s="3"/>
      <c r="D975" s="3"/>
      <c r="E975" s="3"/>
      <c r="F975" s="3"/>
      <c r="G975" s="3"/>
      <c r="H975" s="3"/>
      <c r="I975" s="3"/>
      <c r="J975" s="3"/>
      <c r="K975" s="20">
        <v>26576</v>
      </c>
      <c r="L975" s="20" t="str">
        <v>2+ Cars</v>
      </c>
      <c r="M975" s="20" t="str">
        <v>31-40</v>
      </c>
      <c r="N975" s="20" t="str">
        <v>5-10 Miles</v>
      </c>
      <c r="O975" s="20">
        <v>0</v>
      </c>
      <c r="P975" s="20" t="str">
        <v>Partial College</v>
      </c>
      <c r="Q975" s="20" t="str">
        <v>North America</v>
      </c>
      <c r="R975" s="20" t="str">
        <v>Married</v>
      </c>
      <c r="S975" s="20" t="str">
        <v>$40k-60k</v>
      </c>
      <c r="T975" s="89">
        <v>0.46432841163106436</v>
      </c>
      <c r="U975" s="91">
        <v>50.484887676537106</v>
      </c>
      <c r="V975" s="49">
        <v>615</v>
      </c>
      <c r="W975" s="20">
        <v>7</v>
      </c>
      <c r="X975" s="20" t="str">
        <v>Cold</v>
      </c>
      <c r="Y975" s="20">
        <v>0</v>
      </c>
    </row>
    <row r="976" spans="1:25" ht="15" customHeight="1" x14ac:dyDescent="0.25">
      <c r="A976" s="3"/>
      <c r="B976" s="3"/>
      <c r="C976" s="3"/>
      <c r="D976" s="3"/>
      <c r="E976" s="3"/>
      <c r="F976" s="3"/>
      <c r="G976" s="3"/>
      <c r="H976" s="3"/>
      <c r="I976" s="3"/>
      <c r="J976" s="3"/>
      <c r="K976" s="20">
        <v>12192</v>
      </c>
      <c r="L976" s="20" t="str">
        <v>2+ Cars</v>
      </c>
      <c r="M976" s="20" t="str">
        <v>51-60</v>
      </c>
      <c r="N976" s="20" t="str">
        <v>1-2 Miles</v>
      </c>
      <c r="O976" s="20">
        <v>2</v>
      </c>
      <c r="P976" s="20" t="str">
        <v>Partial High School</v>
      </c>
      <c r="Q976" s="20" t="str">
        <v>North America</v>
      </c>
      <c r="R976" s="20" t="str">
        <v>Single</v>
      </c>
      <c r="S976" s="20" t="str">
        <v>$40k-60k</v>
      </c>
      <c r="T976" s="89">
        <v>0.42899417192931516</v>
      </c>
      <c r="U976" s="91">
        <v>33.352956978705286</v>
      </c>
      <c r="V976" s="49">
        <v>844</v>
      </c>
      <c r="W976" s="20">
        <v>9</v>
      </c>
      <c r="X976" s="20" t="str">
        <v>Cold</v>
      </c>
      <c r="Y976" s="20">
        <v>0</v>
      </c>
    </row>
    <row r="977" spans="1:25" ht="15" customHeight="1" x14ac:dyDescent="0.25">
      <c r="A977" s="3"/>
      <c r="B977" s="3"/>
      <c r="C977" s="3"/>
      <c r="D977" s="3"/>
      <c r="E977" s="3"/>
      <c r="F977" s="3"/>
      <c r="G977" s="3"/>
      <c r="H977" s="3"/>
      <c r="I977" s="3"/>
      <c r="J977" s="3"/>
      <c r="K977" s="20">
        <v>14887</v>
      </c>
      <c r="L977" s="20" t="str">
        <v>0-1 Cars</v>
      </c>
      <c r="M977" s="20" t="str">
        <v>51-60</v>
      </c>
      <c r="N977" s="20" t="str">
        <v>5-10 Miles</v>
      </c>
      <c r="O977" s="20">
        <v>1</v>
      </c>
      <c r="P977" s="20" t="str">
        <v>High School</v>
      </c>
      <c r="Q977" s="20" t="str">
        <v>North America</v>
      </c>
      <c r="R977" s="20" t="str">
        <v>Married</v>
      </c>
      <c r="S977" s="20" t="str">
        <v>$10k-30k</v>
      </c>
      <c r="T977" s="89">
        <v>0.47587534412795957</v>
      </c>
      <c r="U977" s="91">
        <v>56.083458608843252</v>
      </c>
      <c r="V977" s="49">
        <v>532</v>
      </c>
      <c r="W977" s="20">
        <v>6</v>
      </c>
      <c r="X977" s="20" t="str">
        <v>Warm</v>
      </c>
      <c r="Y977" s="20">
        <v>0</v>
      </c>
    </row>
    <row r="978" spans="1:25" ht="15" customHeight="1" x14ac:dyDescent="0.25">
      <c r="A978" s="3"/>
      <c r="B978" s="3"/>
      <c r="C978" s="3"/>
      <c r="D978" s="3"/>
      <c r="E978" s="3"/>
      <c r="F978" s="3"/>
      <c r="G978" s="3"/>
      <c r="H978" s="3"/>
      <c r="I978" s="3"/>
      <c r="J978" s="3"/>
      <c r="K978" s="20">
        <v>11734</v>
      </c>
      <c r="L978" s="20" t="str">
        <v>0-1 Cars</v>
      </c>
      <c r="M978" s="20" t="str">
        <v>41-50</v>
      </c>
      <c r="N978" s="20" t="str">
        <v>0-1 Miles</v>
      </c>
      <c r="O978" s="20">
        <v>1</v>
      </c>
      <c r="P978" s="20" t="str">
        <v>Partial College</v>
      </c>
      <c r="Q978" s="20" t="str">
        <v>North America</v>
      </c>
      <c r="R978" s="20" t="str">
        <v>Married</v>
      </c>
      <c r="S978" s="20" t="str">
        <v>$40k-60k</v>
      </c>
      <c r="T978" s="89">
        <v>0.51128150517086868</v>
      </c>
      <c r="U978" s="91">
        <v>73.250260622510567</v>
      </c>
      <c r="V978" s="49">
        <v>312</v>
      </c>
      <c r="W978" s="20">
        <v>4</v>
      </c>
      <c r="X978" s="20" t="str">
        <v>Warm</v>
      </c>
      <c r="Y978" s="20">
        <v>0</v>
      </c>
    </row>
    <row r="979" spans="1:25" ht="15" customHeight="1" x14ac:dyDescent="0.25">
      <c r="A979" s="3"/>
      <c r="B979" s="3"/>
      <c r="C979" s="3"/>
      <c r="D979" s="3"/>
      <c r="E979" s="3"/>
      <c r="F979" s="3"/>
      <c r="G979" s="3"/>
      <c r="H979" s="3"/>
      <c r="I979" s="3"/>
      <c r="J979" s="3"/>
      <c r="K979" s="20">
        <v>17462</v>
      </c>
      <c r="L979" s="20" t="str">
        <v>2+ Cars</v>
      </c>
      <c r="M979" s="20" t="str">
        <v>51-60</v>
      </c>
      <c r="N979" s="20" t="str">
        <v>5-10 Miles</v>
      </c>
      <c r="O979" s="20">
        <v>3</v>
      </c>
      <c r="P979" s="20" t="str">
        <v>Graduate Degree</v>
      </c>
      <c r="Q979" s="20" t="str">
        <v>North America</v>
      </c>
      <c r="R979" s="20" t="str">
        <v>Married</v>
      </c>
      <c r="S979" s="20" t="str">
        <v>$70k-90k</v>
      </c>
      <c r="T979" s="89">
        <v>0.45318661294435253</v>
      </c>
      <c r="U979" s="91">
        <v>45.082747300484492</v>
      </c>
      <c r="V979" s="49">
        <v>715</v>
      </c>
      <c r="W979" s="20">
        <v>8</v>
      </c>
      <c r="X979" s="20" t="str">
        <v>Cold</v>
      </c>
      <c r="Y979" s="20">
        <v>1</v>
      </c>
    </row>
    <row r="980" spans="1:25" ht="15" customHeight="1" x14ac:dyDescent="0.25">
      <c r="A980" s="3"/>
      <c r="B980" s="3"/>
      <c r="C980" s="3"/>
      <c r="D980" s="3"/>
      <c r="E980" s="3"/>
      <c r="F980" s="3"/>
      <c r="G980" s="3"/>
      <c r="H980" s="3"/>
      <c r="I980" s="3"/>
      <c r="J980" s="3"/>
      <c r="K980" s="20">
        <v>20659</v>
      </c>
      <c r="L980" s="20" t="str">
        <v>0-1 Cars</v>
      </c>
      <c r="M980" s="20" t="str">
        <v>31-40</v>
      </c>
      <c r="N980" s="20" t="str">
        <v>0-1 Miles</v>
      </c>
      <c r="O980" s="20">
        <v>3</v>
      </c>
      <c r="P980" s="20" t="str">
        <v>Graduate Degree</v>
      </c>
      <c r="Q980" s="20" t="str">
        <v>North America</v>
      </c>
      <c r="R980" s="20" t="str">
        <v>Married</v>
      </c>
      <c r="S980" s="20" t="str">
        <v>$70k-90k</v>
      </c>
      <c r="T980" s="89">
        <v>0.53855753114701432</v>
      </c>
      <c r="U980" s="91">
        <v>86.475137984523116</v>
      </c>
      <c r="V980" s="49">
        <v>122</v>
      </c>
      <c r="W980" s="20">
        <v>2</v>
      </c>
      <c r="X980" s="20" t="str">
        <v>Hot</v>
      </c>
      <c r="Y980" s="20">
        <v>1</v>
      </c>
    </row>
    <row r="981" spans="1:25" ht="15" customHeight="1" x14ac:dyDescent="0.25">
      <c r="A981" s="3"/>
      <c r="B981" s="3"/>
      <c r="C981" s="3"/>
      <c r="D981" s="3"/>
      <c r="E981" s="3"/>
      <c r="F981" s="3"/>
      <c r="G981" s="3"/>
      <c r="H981" s="3"/>
      <c r="I981" s="3"/>
      <c r="J981" s="3"/>
      <c r="K981" s="20">
        <v>28004</v>
      </c>
      <c r="L981" s="20" t="str">
        <v>2+ Cars</v>
      </c>
      <c r="M981" s="20" t="str">
        <v>61+</v>
      </c>
      <c r="N981" s="20" t="str">
        <v>10+ Miles</v>
      </c>
      <c r="O981" s="20">
        <v>3</v>
      </c>
      <c r="P981" s="20" t="str">
        <v>Bachelors</v>
      </c>
      <c r="Q981" s="20" t="str">
        <v>North America</v>
      </c>
      <c r="R981" s="20" t="str">
        <v>Married</v>
      </c>
      <c r="S981" s="20" t="str">
        <v>$40k-60k</v>
      </c>
      <c r="T981" s="89">
        <v>0.41876403417427727</v>
      </c>
      <c r="U981" s="91">
        <v>28.392838619630879</v>
      </c>
      <c r="V981" s="49">
        <v>900</v>
      </c>
      <c r="W981" s="20">
        <v>9</v>
      </c>
      <c r="X981" s="20" t="str">
        <v>Cold</v>
      </c>
      <c r="Y981" s="20">
        <v>0</v>
      </c>
    </row>
    <row r="982" spans="1:25" ht="15" customHeight="1" x14ac:dyDescent="0.25">
      <c r="A982" s="3"/>
      <c r="B982" s="3"/>
      <c r="C982" s="3"/>
      <c r="D982" s="3"/>
      <c r="E982" s="3"/>
      <c r="F982" s="3"/>
      <c r="G982" s="3"/>
      <c r="H982" s="3"/>
      <c r="I982" s="3"/>
      <c r="J982" s="3"/>
      <c r="K982" s="20">
        <v>19741</v>
      </c>
      <c r="L982" s="20" t="str">
        <v>2+ Cars</v>
      </c>
      <c r="M982" s="20" t="str">
        <v>61+</v>
      </c>
      <c r="N982" s="20" t="str">
        <v>5-10 Miles</v>
      </c>
      <c r="O982" s="20">
        <v>4</v>
      </c>
      <c r="P982" s="20" t="str">
        <v>Graduate Degree</v>
      </c>
      <c r="Q982" s="20" t="str">
        <v>North America</v>
      </c>
      <c r="R982" s="20" t="str">
        <v>Single</v>
      </c>
      <c r="S982" s="20" t="str">
        <v>$70k-90k</v>
      </c>
      <c r="T982" s="89">
        <v>0.42204530605755902</v>
      </c>
      <c r="U982" s="91">
        <v>29.983774861067658</v>
      </c>
      <c r="V982" s="49">
        <v>876</v>
      </c>
      <c r="W982" s="20">
        <v>9</v>
      </c>
      <c r="X982" s="20" t="str">
        <v>Cold</v>
      </c>
      <c r="Y982" s="20">
        <v>0</v>
      </c>
    </row>
    <row r="983" spans="1:25" ht="15" customHeight="1" x14ac:dyDescent="0.25">
      <c r="A983" s="3"/>
      <c r="B983" s="3"/>
      <c r="C983" s="3"/>
      <c r="D983" s="3"/>
      <c r="E983" s="3"/>
      <c r="F983" s="3"/>
      <c r="G983" s="3"/>
      <c r="H983" s="3"/>
      <c r="I983" s="3"/>
      <c r="J983" s="3"/>
      <c r="K983" s="20">
        <v>17450</v>
      </c>
      <c r="L983" s="20" t="str">
        <v>2+ Cars</v>
      </c>
      <c r="M983" s="20" t="str">
        <v>41-50</v>
      </c>
      <c r="N983" s="20" t="str">
        <v>5-10 Miles</v>
      </c>
      <c r="O983" s="20">
        <v>5</v>
      </c>
      <c r="P983" s="20" t="str">
        <v>Partial College</v>
      </c>
      <c r="Q983" s="20" t="str">
        <v>North America</v>
      </c>
      <c r="R983" s="20" t="str">
        <v>Married</v>
      </c>
      <c r="S983" s="20" t="str">
        <v>$70k-90k</v>
      </c>
      <c r="T983" s="89">
        <v>0.39896963104611816</v>
      </c>
      <c r="U983" s="91">
        <v>18.795452473530226</v>
      </c>
      <c r="V983" s="49">
        <v>971</v>
      </c>
      <c r="W983" s="20">
        <v>10</v>
      </c>
      <c r="X983" s="20" t="str">
        <v>Cold</v>
      </c>
      <c r="Y983" s="20">
        <v>0</v>
      </c>
    </row>
    <row r="984" spans="1:25" ht="15" customHeight="1" x14ac:dyDescent="0.25">
      <c r="A984" s="3"/>
      <c r="B984" s="3"/>
      <c r="C984" s="3"/>
      <c r="D984" s="3"/>
      <c r="E984" s="3"/>
      <c r="F984" s="3"/>
      <c r="G984" s="3"/>
      <c r="H984" s="3"/>
      <c r="I984" s="3"/>
      <c r="J984" s="3"/>
      <c r="K984" s="20">
        <v>17337</v>
      </c>
      <c r="L984" s="20" t="str">
        <v>0-1 Cars</v>
      </c>
      <c r="M984" s="20" t="str">
        <v>31-40</v>
      </c>
      <c r="N984" s="20" t="str">
        <v>5-10 Miles</v>
      </c>
      <c r="O984" s="20">
        <v>0</v>
      </c>
      <c r="P984" s="20" t="str">
        <v>High School</v>
      </c>
      <c r="Q984" s="20" t="str">
        <v>North America</v>
      </c>
      <c r="R984" s="20" t="str">
        <v>Single</v>
      </c>
      <c r="S984" s="20" t="str">
        <v>$40k-60k</v>
      </c>
      <c r="T984" s="89">
        <v>0.5117662276038254</v>
      </c>
      <c r="U984" s="91">
        <v>73.485280003122512</v>
      </c>
      <c r="V984" s="49">
        <v>304</v>
      </c>
      <c r="W984" s="20">
        <v>4</v>
      </c>
      <c r="X984" s="20" t="str">
        <v>Warm</v>
      </c>
      <c r="Y984" s="20">
        <v>0</v>
      </c>
    </row>
    <row r="985" spans="1:25" ht="15" customHeight="1" x14ac:dyDescent="0.25">
      <c r="A985" s="3"/>
      <c r="B985" s="3"/>
      <c r="C985" s="3"/>
      <c r="D985" s="3"/>
      <c r="E985" s="3"/>
      <c r="F985" s="3"/>
      <c r="G985" s="3"/>
      <c r="H985" s="3"/>
      <c r="I985" s="3"/>
      <c r="J985" s="3"/>
      <c r="K985" s="20">
        <v>18594</v>
      </c>
      <c r="L985" s="20" t="str">
        <v>2+ Cars</v>
      </c>
      <c r="M985" s="20" t="str">
        <v>31-40</v>
      </c>
      <c r="N985" s="20" t="str">
        <v>10+ Miles</v>
      </c>
      <c r="O985" s="20">
        <v>3</v>
      </c>
      <c r="P985" s="20" t="str">
        <v>Bachelors</v>
      </c>
      <c r="Q985" s="20" t="str">
        <v>North America</v>
      </c>
      <c r="R985" s="20" t="str">
        <v>Single</v>
      </c>
      <c r="S985" s="20" t="str">
        <v>$70k-90k</v>
      </c>
      <c r="T985" s="89">
        <v>0.47506866145777271</v>
      </c>
      <c r="U985" s="91">
        <v>55.692335672070428</v>
      </c>
      <c r="V985" s="49">
        <v>537</v>
      </c>
      <c r="W985" s="20">
        <v>6</v>
      </c>
      <c r="X985" s="20" t="str">
        <v>Warm</v>
      </c>
      <c r="Y985" s="20">
        <v>1</v>
      </c>
    </row>
    <row r="986" spans="1:25" ht="15" customHeight="1" x14ac:dyDescent="0.25">
      <c r="A986" s="3"/>
      <c r="B986" s="3"/>
      <c r="C986" s="3"/>
      <c r="D986" s="3"/>
      <c r="E986" s="3"/>
      <c r="F986" s="3"/>
      <c r="G986" s="3"/>
      <c r="H986" s="3"/>
      <c r="I986" s="3"/>
      <c r="J986" s="3"/>
      <c r="K986" s="20">
        <v>15982</v>
      </c>
      <c r="L986" s="20" t="str">
        <v>2+ Cars</v>
      </c>
      <c r="M986" s="20" t="str">
        <v>41-50</v>
      </c>
      <c r="N986" s="20" t="str">
        <v>2-5 Miles</v>
      </c>
      <c r="O986" s="20">
        <v>5</v>
      </c>
      <c r="P986" s="20" t="str">
        <v>Partial College</v>
      </c>
      <c r="Q986" s="20" t="str">
        <v>North America</v>
      </c>
      <c r="R986" s="20" t="str">
        <v>Married</v>
      </c>
      <c r="S986" s="20" t="str">
        <v>$100k+</v>
      </c>
      <c r="T986" s="89">
        <v>0.42561155438072235</v>
      </c>
      <c r="U986" s="91">
        <v>31.712882934126561</v>
      </c>
      <c r="V986" s="49">
        <v>855</v>
      </c>
      <c r="W986" s="20">
        <v>9</v>
      </c>
      <c r="X986" s="20" t="str">
        <v>Cold</v>
      </c>
      <c r="Y986" s="20">
        <v>0</v>
      </c>
    </row>
    <row r="987" spans="1:25" ht="15" customHeight="1" x14ac:dyDescent="0.25">
      <c r="A987" s="3"/>
      <c r="B987" s="3"/>
      <c r="C987" s="3"/>
      <c r="D987" s="3"/>
      <c r="E987" s="3"/>
      <c r="F987" s="3"/>
      <c r="G987" s="3"/>
      <c r="H987" s="3"/>
      <c r="I987" s="3"/>
      <c r="J987" s="3"/>
      <c r="K987" s="20">
        <v>28625</v>
      </c>
      <c r="L987" s="20" t="str">
        <v>0-1 Cars</v>
      </c>
      <c r="M987" s="20" t="str">
        <v>41-50</v>
      </c>
      <c r="N987" s="20" t="str">
        <v>1-2 Miles</v>
      </c>
      <c r="O987" s="20">
        <v>2</v>
      </c>
      <c r="P987" s="20" t="str">
        <v>Partial College</v>
      </c>
      <c r="Q987" s="20" t="str">
        <v>North America</v>
      </c>
      <c r="R987" s="20" t="str">
        <v>Single</v>
      </c>
      <c r="S987" s="20" t="str">
        <v>$40k-60k</v>
      </c>
      <c r="T987" s="89">
        <v>0.49258334896984296</v>
      </c>
      <c r="U987" s="91">
        <v>64.184393664084155</v>
      </c>
      <c r="V987" s="49">
        <v>437</v>
      </c>
      <c r="W987" s="20">
        <v>5</v>
      </c>
      <c r="X987" s="20" t="str">
        <v>Warm</v>
      </c>
      <c r="Y987" s="20">
        <v>1</v>
      </c>
    </row>
    <row r="988" spans="1:25" ht="15" customHeight="1" x14ac:dyDescent="0.25">
      <c r="A988" s="3"/>
      <c r="B988" s="3"/>
      <c r="C988" s="3"/>
      <c r="D988" s="3"/>
      <c r="E988" s="3"/>
      <c r="F988" s="3"/>
      <c r="G988" s="3"/>
      <c r="H988" s="3"/>
      <c r="I988" s="3"/>
      <c r="J988" s="3"/>
      <c r="K988" s="20">
        <v>11269</v>
      </c>
      <c r="L988" s="20" t="str">
        <v>2+ Cars</v>
      </c>
      <c r="M988" s="20" t="str">
        <v>41-50</v>
      </c>
      <c r="N988" s="20" t="str">
        <v>0-1 Miles</v>
      </c>
      <c r="O988" s="20">
        <v>2</v>
      </c>
      <c r="P988" s="20" t="str">
        <v>Graduate Degree</v>
      </c>
      <c r="Q988" s="20" t="str">
        <v>North America</v>
      </c>
      <c r="R988" s="20" t="str">
        <v>Married</v>
      </c>
      <c r="S988" s="20" t="str">
        <v>$100k+</v>
      </c>
      <c r="T988" s="89">
        <v>0.46474582677945525</v>
      </c>
      <c r="U988" s="91">
        <v>50.687272882921043</v>
      </c>
      <c r="V988" s="49">
        <v>611</v>
      </c>
      <c r="W988" s="20">
        <v>7</v>
      </c>
      <c r="X988" s="20" t="str">
        <v>Cold</v>
      </c>
      <c r="Y988" s="20">
        <v>0</v>
      </c>
    </row>
    <row r="989" spans="1:25" ht="15" customHeight="1" x14ac:dyDescent="0.25">
      <c r="A989" s="3"/>
      <c r="B989" s="3"/>
      <c r="C989" s="3"/>
      <c r="D989" s="3"/>
      <c r="E989" s="3"/>
      <c r="F989" s="3"/>
      <c r="G989" s="3"/>
      <c r="H989" s="3"/>
      <c r="I989" s="3"/>
      <c r="J989" s="3"/>
      <c r="K989" s="20">
        <v>25148</v>
      </c>
      <c r="L989" s="20" t="str">
        <v>2+ Cars</v>
      </c>
      <c r="M989" s="20" t="str">
        <v>41-50</v>
      </c>
      <c r="N989" s="20" t="str">
        <v>1-2 Miles</v>
      </c>
      <c r="O989" s="20">
        <v>2</v>
      </c>
      <c r="P989" s="20" t="str">
        <v>High School</v>
      </c>
      <c r="Q989" s="20" t="str">
        <v>North America</v>
      </c>
      <c r="R989" s="20" t="str">
        <v>Married</v>
      </c>
      <c r="S989" s="20" t="str">
        <v>$40k-60k</v>
      </c>
      <c r="T989" s="89">
        <v>0.44323818048952945</v>
      </c>
      <c r="U989" s="91">
        <v>40.259214749431685</v>
      </c>
      <c r="V989" s="49">
        <v>774</v>
      </c>
      <c r="W989" s="20">
        <v>8</v>
      </c>
      <c r="X989" s="20" t="str">
        <v>Cold</v>
      </c>
      <c r="Y989" s="20">
        <v>1</v>
      </c>
    </row>
    <row r="990" spans="1:25" ht="15" customHeight="1" x14ac:dyDescent="0.25">
      <c r="A990" s="3"/>
      <c r="B990" s="3"/>
      <c r="C990" s="3"/>
      <c r="D990" s="3"/>
      <c r="E990" s="3"/>
      <c r="F990" s="3"/>
      <c r="G990" s="3"/>
      <c r="H990" s="3"/>
      <c r="I990" s="3"/>
      <c r="J990" s="3"/>
      <c r="K990" s="20">
        <v>13920</v>
      </c>
      <c r="L990" s="20" t="str">
        <v>2+ Cars</v>
      </c>
      <c r="M990" s="20" t="str">
        <v>41-50</v>
      </c>
      <c r="N990" s="20" t="str">
        <v>0-1 Miles</v>
      </c>
      <c r="O990" s="20">
        <v>4</v>
      </c>
      <c r="P990" s="20" t="str">
        <v>Bachelors</v>
      </c>
      <c r="Q990" s="20" t="str">
        <v>North America</v>
      </c>
      <c r="R990" s="20" t="str">
        <v>Single</v>
      </c>
      <c r="S990" s="20" t="str">
        <v>$40k-60k</v>
      </c>
      <c r="T990" s="89">
        <v>0.47479059369179699</v>
      </c>
      <c r="U990" s="91">
        <v>55.557513535349571</v>
      </c>
      <c r="V990" s="49">
        <v>540</v>
      </c>
      <c r="W990" s="20">
        <v>6</v>
      </c>
      <c r="X990" s="20" t="str">
        <v>Warm</v>
      </c>
      <c r="Y990" s="20">
        <v>0</v>
      </c>
    </row>
    <row r="991" spans="1:25" ht="15" customHeight="1" x14ac:dyDescent="0.25">
      <c r="A991" s="3"/>
      <c r="B991" s="3"/>
      <c r="C991" s="3"/>
      <c r="D991" s="3"/>
      <c r="E991" s="3"/>
      <c r="F991" s="3"/>
      <c r="G991" s="3"/>
      <c r="H991" s="3"/>
      <c r="I991" s="3"/>
      <c r="J991" s="3"/>
      <c r="K991" s="20">
        <v>23704</v>
      </c>
      <c r="L991" s="20" t="str">
        <v>2+ Cars</v>
      </c>
      <c r="M991" s="20" t="str">
        <v>51-60</v>
      </c>
      <c r="N991" s="20" t="str">
        <v>10+ Miles</v>
      </c>
      <c r="O991" s="20">
        <v>5</v>
      </c>
      <c r="P991" s="20" t="str">
        <v>High School</v>
      </c>
      <c r="Q991" s="20" t="str">
        <v>North America</v>
      </c>
      <c r="R991" s="20" t="str">
        <v>Single</v>
      </c>
      <c r="S991" s="20" t="str">
        <v>$40k-60k</v>
      </c>
      <c r="T991" s="89">
        <v>0.39454517648937354</v>
      </c>
      <c r="U991" s="91">
        <v>16.650240082329333</v>
      </c>
      <c r="V991" s="49">
        <v>980</v>
      </c>
      <c r="W991" s="20">
        <v>10</v>
      </c>
      <c r="X991" s="20" t="str">
        <v>Cold</v>
      </c>
      <c r="Y991" s="20">
        <v>1</v>
      </c>
    </row>
    <row r="992" spans="1:25" ht="15" customHeight="1" x14ac:dyDescent="0.25">
      <c r="A992" s="3"/>
      <c r="B992" s="3"/>
      <c r="C992" s="3"/>
      <c r="D992" s="3"/>
      <c r="E992" s="3"/>
      <c r="F992" s="3"/>
      <c r="G992" s="3"/>
      <c r="H992" s="3"/>
      <c r="I992" s="3"/>
      <c r="J992" s="3"/>
      <c r="K992" s="20">
        <v>28972</v>
      </c>
      <c r="L992" s="20" t="str">
        <v>2+ Cars</v>
      </c>
      <c r="M992" s="20" t="str">
        <v>61+</v>
      </c>
      <c r="N992" s="20" t="str">
        <v>10+ Miles</v>
      </c>
      <c r="O992" s="20">
        <v>3</v>
      </c>
      <c r="P992" s="20" t="str">
        <v>Graduate Degree</v>
      </c>
      <c r="Q992" s="20" t="str">
        <v>North America</v>
      </c>
      <c r="R992" s="20" t="str">
        <v>Single</v>
      </c>
      <c r="S992" s="20" t="str">
        <v>$40k-60k</v>
      </c>
      <c r="T992" s="89">
        <v>0.42695174448677276</v>
      </c>
      <c r="U992" s="91">
        <v>32.362678832172698</v>
      </c>
      <c r="V992" s="49">
        <v>851</v>
      </c>
      <c r="W992" s="20">
        <v>9</v>
      </c>
      <c r="X992" s="20" t="str">
        <v>Cold</v>
      </c>
      <c r="Y992" s="20">
        <v>0</v>
      </c>
    </row>
    <row r="993" spans="1:25" ht="15" customHeight="1" x14ac:dyDescent="0.25">
      <c r="A993" s="3"/>
      <c r="B993" s="3"/>
      <c r="C993" s="3"/>
      <c r="D993" s="3"/>
      <c r="E993" s="3"/>
      <c r="F993" s="3"/>
      <c r="G993" s="3"/>
      <c r="H993" s="3"/>
      <c r="I993" s="3"/>
      <c r="J993" s="3"/>
      <c r="K993" s="20">
        <v>22730</v>
      </c>
      <c r="L993" s="20" t="str">
        <v>2+ Cars</v>
      </c>
      <c r="M993" s="20" t="str">
        <v>61+</v>
      </c>
      <c r="N993" s="20" t="str">
        <v>10+ Miles</v>
      </c>
      <c r="O993" s="20">
        <v>5</v>
      </c>
      <c r="P993" s="20" t="str">
        <v>Bachelors</v>
      </c>
      <c r="Q993" s="20" t="str">
        <v>North America</v>
      </c>
      <c r="R993" s="20" t="str">
        <v>Married</v>
      </c>
      <c r="S993" s="20" t="str">
        <v>$70k-90k</v>
      </c>
      <c r="T993" s="89">
        <v>0.37095231495323805</v>
      </c>
      <c r="U993" s="91">
        <v>5.2111579848417229</v>
      </c>
      <c r="V993" s="49">
        <v>997</v>
      </c>
      <c r="W993" s="20">
        <v>10</v>
      </c>
      <c r="X993" s="20" t="str">
        <v>Cold</v>
      </c>
      <c r="Y993" s="20">
        <v>0</v>
      </c>
    </row>
    <row r="994" spans="1:25" ht="15" customHeight="1" x14ac:dyDescent="0.25">
      <c r="A994" s="3"/>
      <c r="B994" s="3"/>
      <c r="C994" s="3"/>
      <c r="D994" s="3"/>
      <c r="E994" s="3"/>
      <c r="F994" s="3"/>
      <c r="G994" s="3"/>
      <c r="H994" s="3"/>
      <c r="I994" s="3"/>
      <c r="J994" s="3"/>
      <c r="K994" s="20">
        <v>29134</v>
      </c>
      <c r="L994" s="20" t="str">
        <v>2+ Cars</v>
      </c>
      <c r="M994" s="20" t="str">
        <v>41-50</v>
      </c>
      <c r="N994" s="20" t="str">
        <v>10+ Miles</v>
      </c>
      <c r="O994" s="20">
        <v>4</v>
      </c>
      <c r="P994" s="20" t="str">
        <v>Bachelors</v>
      </c>
      <c r="Q994" s="20" t="str">
        <v>North America</v>
      </c>
      <c r="R994" s="20" t="str">
        <v>Married</v>
      </c>
      <c r="S994" s="20" t="str">
        <v>$40k-60k</v>
      </c>
      <c r="T994" s="89">
        <v>0.42916875571028762</v>
      </c>
      <c r="U994" s="91">
        <v>33.437604540442337</v>
      </c>
      <c r="V994" s="49">
        <v>843</v>
      </c>
      <c r="W994" s="20">
        <v>9</v>
      </c>
      <c r="X994" s="20" t="str">
        <v>Cold</v>
      </c>
      <c r="Y994" s="20">
        <v>0</v>
      </c>
    </row>
    <row r="995" spans="1:25" ht="15" customHeight="1" x14ac:dyDescent="0.25">
      <c r="A995" s="3"/>
      <c r="B995" s="3"/>
      <c r="C995" s="3"/>
      <c r="D995" s="3"/>
      <c r="E995" s="3"/>
      <c r="F995" s="3"/>
      <c r="G995" s="3"/>
      <c r="H995" s="3"/>
      <c r="I995" s="3"/>
      <c r="J995" s="3"/>
      <c r="K995" s="20">
        <v>14332</v>
      </c>
      <c r="L995" s="20" t="str">
        <v>2+ Cars</v>
      </c>
      <c r="M995" s="20" t="str">
        <v>25-30</v>
      </c>
      <c r="N995" s="20" t="str">
        <v>5-10 Miles</v>
      </c>
      <c r="O995" s="20">
        <v>0</v>
      </c>
      <c r="P995" s="20" t="str">
        <v>High School</v>
      </c>
      <c r="Q995" s="20" t="str">
        <v>North America</v>
      </c>
      <c r="R995" s="20" t="str">
        <v>Single</v>
      </c>
      <c r="S995" s="20" t="str">
        <v>$10k-30k</v>
      </c>
      <c r="T995" s="89">
        <v>0.42134016737254532</v>
      </c>
      <c r="U995" s="91">
        <v>29.64188588352113</v>
      </c>
      <c r="V995" s="49">
        <v>882</v>
      </c>
      <c r="W995" s="20">
        <v>9</v>
      </c>
      <c r="X995" s="20" t="str">
        <v>Cold</v>
      </c>
      <c r="Y995" s="20">
        <v>0</v>
      </c>
    </row>
    <row r="996" spans="1:25" ht="15" customHeight="1" x14ac:dyDescent="0.25">
      <c r="A996" s="3"/>
      <c r="B996" s="3"/>
      <c r="C996" s="3"/>
      <c r="D996" s="3"/>
      <c r="E996" s="3"/>
      <c r="F996" s="3"/>
      <c r="G996" s="3"/>
      <c r="H996" s="3"/>
      <c r="I996" s="3"/>
      <c r="J996" s="3"/>
      <c r="K996" s="20">
        <v>19117</v>
      </c>
      <c r="L996" s="20" t="str">
        <v>0-1 Cars</v>
      </c>
      <c r="M996" s="20" t="str">
        <v>31-40</v>
      </c>
      <c r="N996" s="20" t="str">
        <v>2-5 Miles</v>
      </c>
      <c r="O996" s="20">
        <v>1</v>
      </c>
      <c r="P996" s="20" t="str">
        <v>Graduate Degree</v>
      </c>
      <c r="Q996" s="20" t="str">
        <v>North America</v>
      </c>
      <c r="R996" s="20" t="str">
        <v>Single</v>
      </c>
      <c r="S996" s="20" t="str">
        <v>$40k-60k</v>
      </c>
      <c r="T996" s="89">
        <v>0.56102546184004687</v>
      </c>
      <c r="U996" s="91">
        <v>97.368793396547346</v>
      </c>
      <c r="V996" s="49">
        <v>6</v>
      </c>
      <c r="W996" s="20">
        <v>1</v>
      </c>
      <c r="X996" s="20" t="str">
        <v>Hot</v>
      </c>
      <c r="Y996" s="20">
        <v>1</v>
      </c>
    </row>
    <row r="997" spans="1:25" ht="15" customHeight="1" x14ac:dyDescent="0.25">
      <c r="A997" s="3"/>
      <c r="B997" s="3"/>
      <c r="C997" s="3"/>
      <c r="D997" s="3"/>
      <c r="E997" s="3"/>
      <c r="F997" s="3"/>
      <c r="G997" s="3"/>
      <c r="H997" s="3"/>
      <c r="I997" s="3"/>
      <c r="J997" s="3"/>
      <c r="K997" s="20">
        <v>22864</v>
      </c>
      <c r="L997" s="20" t="str">
        <v>0-1 Cars</v>
      </c>
      <c r="M997" s="20" t="str">
        <v>41-50</v>
      </c>
      <c r="N997" s="20" t="str">
        <v>5-10 Miles</v>
      </c>
      <c r="O997" s="20">
        <v>2</v>
      </c>
      <c r="P997" s="20" t="str">
        <v>Partial College</v>
      </c>
      <c r="Q997" s="20" t="str">
        <v>North America</v>
      </c>
      <c r="R997" s="20" t="str">
        <v>Married</v>
      </c>
      <c r="S997" s="20" t="str">
        <v>$70k-90k</v>
      </c>
      <c r="T997" s="89">
        <v>0.47131484856762357</v>
      </c>
      <c r="U997" s="91">
        <v>53.87228625740935</v>
      </c>
      <c r="V997" s="49">
        <v>568</v>
      </c>
      <c r="W997" s="20">
        <v>6</v>
      </c>
      <c r="X997" s="20" t="str">
        <v>Warm</v>
      </c>
      <c r="Y997" s="20">
        <v>1</v>
      </c>
    </row>
    <row r="998" spans="1:25" ht="15" customHeight="1" x14ac:dyDescent="0.25">
      <c r="A998" s="3"/>
      <c r="B998" s="3"/>
      <c r="C998" s="3"/>
      <c r="D998" s="3"/>
      <c r="E998" s="3"/>
      <c r="F998" s="3"/>
      <c r="G998" s="3"/>
      <c r="H998" s="3"/>
      <c r="I998" s="3"/>
      <c r="J998" s="3"/>
      <c r="K998" s="20">
        <v>11292</v>
      </c>
      <c r="L998" s="20" t="str">
        <v>2+ Cars</v>
      </c>
      <c r="M998" s="20" t="str">
        <v>41-50</v>
      </c>
      <c r="N998" s="20" t="str">
        <v>0-1 Miles</v>
      </c>
      <c r="O998" s="20">
        <v>1</v>
      </c>
      <c r="P998" s="20" t="str">
        <v>Partial College</v>
      </c>
      <c r="Q998" s="20" t="str">
        <v>North America</v>
      </c>
      <c r="R998" s="20" t="str">
        <v>Single</v>
      </c>
      <c r="S998" s="20" t="str">
        <v>$100k+</v>
      </c>
      <c r="T998" s="89">
        <v>0.47842789574222105</v>
      </c>
      <c r="U998" s="91">
        <v>57.321072258585993</v>
      </c>
      <c r="V998" s="49">
        <v>519</v>
      </c>
      <c r="W998" s="20">
        <v>6</v>
      </c>
      <c r="X998" s="20" t="str">
        <v>Warm</v>
      </c>
      <c r="Y998" s="20">
        <v>1</v>
      </c>
    </row>
    <row r="999" spans="1:25" ht="15" customHeight="1" x14ac:dyDescent="0.25">
      <c r="A999" s="3"/>
      <c r="B999" s="3"/>
      <c r="C999" s="3"/>
      <c r="D999" s="3"/>
      <c r="E999" s="3"/>
      <c r="F999" s="3"/>
      <c r="G999" s="3"/>
      <c r="H999" s="3"/>
      <c r="I999" s="3"/>
      <c r="J999" s="3"/>
      <c r="K999" s="20">
        <v>13466</v>
      </c>
      <c r="L999" s="20" t="str">
        <v>2+ Cars</v>
      </c>
      <c r="M999" s="20" t="str">
        <v>41-50</v>
      </c>
      <c r="N999" s="20" t="str">
        <v>1-2 Miles</v>
      </c>
      <c r="O999" s="20">
        <v>5</v>
      </c>
      <c r="P999" s="20" t="str">
        <v>Partial College</v>
      </c>
      <c r="Q999" s="20" t="str">
        <v>North America</v>
      </c>
      <c r="R999" s="20" t="str">
        <v>Married</v>
      </c>
      <c r="S999" s="20" t="str">
        <v>$70k-90k</v>
      </c>
      <c r="T999" s="89">
        <v>0.40759495587989797</v>
      </c>
      <c r="U999" s="91">
        <v>22.977471629620581</v>
      </c>
      <c r="V999" s="49">
        <v>953</v>
      </c>
      <c r="W999" s="20">
        <v>10</v>
      </c>
      <c r="X999" s="20" t="str">
        <v>Cold</v>
      </c>
      <c r="Y999" s="20">
        <v>0</v>
      </c>
    </row>
    <row r="1000" spans="1:25" ht="15" customHeight="1" x14ac:dyDescent="0.25">
      <c r="A1000" s="3"/>
      <c r="B1000" s="3"/>
      <c r="C1000" s="3"/>
      <c r="D1000" s="3"/>
      <c r="E1000" s="3"/>
      <c r="F1000" s="3"/>
      <c r="G1000" s="3"/>
      <c r="H1000" s="3"/>
      <c r="I1000" s="3"/>
      <c r="J1000" s="3"/>
      <c r="K1000" s="20">
        <v>23731</v>
      </c>
      <c r="L1000" s="20" t="str">
        <v>2+ Cars</v>
      </c>
      <c r="M1000" s="20" t="str">
        <v>51-60</v>
      </c>
      <c r="N1000" s="20" t="str">
        <v>2-5 Miles</v>
      </c>
      <c r="O1000" s="20">
        <v>2</v>
      </c>
      <c r="P1000" s="20" t="str">
        <v>High School</v>
      </c>
      <c r="Q1000" s="20" t="str">
        <v>North America</v>
      </c>
      <c r="R1000" s="20" t="str">
        <v>Married</v>
      </c>
      <c r="S1000" s="20" t="str">
        <v>$40k-60k</v>
      </c>
      <c r="T1000" s="89">
        <v>0.46020921847369795</v>
      </c>
      <c r="U1000" s="91">
        <v>48.487682351089255</v>
      </c>
      <c r="V1000" s="49">
        <v>648</v>
      </c>
      <c r="W1000" s="20">
        <v>7</v>
      </c>
      <c r="X1000" s="20" t="str">
        <v>Cold</v>
      </c>
      <c r="Y1000" s="20">
        <v>1</v>
      </c>
    </row>
    <row r="1001" spans="1:25" ht="15" customHeight="1" x14ac:dyDescent="0.25">
      <c r="A1001" s="3"/>
      <c r="B1001" s="3"/>
      <c r="C1001" s="3"/>
      <c r="D1001" s="3"/>
      <c r="E1001" s="3"/>
      <c r="F1001" s="3"/>
      <c r="G1001" s="3"/>
      <c r="H1001" s="3"/>
      <c r="I1001" s="3"/>
      <c r="J1001" s="3"/>
      <c r="K1001" s="20">
        <v>28672</v>
      </c>
      <c r="L1001" s="20" t="str">
        <v>0-1 Cars</v>
      </c>
      <c r="M1001" s="20" t="str">
        <v>31-40</v>
      </c>
      <c r="N1001" s="20" t="str">
        <v>2-5 Miles</v>
      </c>
      <c r="O1001" s="20">
        <v>4</v>
      </c>
      <c r="P1001" s="20" t="str">
        <v>Graduate Degree</v>
      </c>
      <c r="Q1001" s="20" t="str">
        <v>North America</v>
      </c>
      <c r="R1001" s="20" t="str">
        <v>Single</v>
      </c>
      <c r="S1001" s="20" t="str">
        <v>$70k-90k</v>
      </c>
      <c r="T1001" s="89">
        <v>0.53784546610430639</v>
      </c>
      <c r="U1001" s="91">
        <v>86.129890738028166</v>
      </c>
      <c r="V1001" s="49">
        <v>129</v>
      </c>
      <c r="W1001" s="20">
        <v>2</v>
      </c>
      <c r="X1001" s="20" t="str">
        <v>Hot</v>
      </c>
      <c r="Y1001" s="20">
        <v>1</v>
      </c>
    </row>
    <row r="1002" spans="1:25" ht="15" customHeight="1" x14ac:dyDescent="0.25">
      <c r="A1002" s="3"/>
      <c r="B1002" s="3"/>
      <c r="C1002" s="3"/>
      <c r="D1002" s="3"/>
      <c r="E1002" s="3"/>
      <c r="F1002" s="3"/>
      <c r="G1002" s="3"/>
      <c r="H1002" s="3"/>
      <c r="I1002" s="3"/>
      <c r="J1002" s="3"/>
      <c r="K1002" s="20">
        <v>11809</v>
      </c>
      <c r="L1002" s="20" t="str">
        <v>0-1 Cars</v>
      </c>
      <c r="M1002" s="20" t="str">
        <v>31-40</v>
      </c>
      <c r="N1002" s="20" t="str">
        <v>0-1 Miles</v>
      </c>
      <c r="O1002" s="20">
        <v>2</v>
      </c>
      <c r="P1002" s="20" t="str">
        <v>Bachelors</v>
      </c>
      <c r="Q1002" s="20" t="str">
        <v>North America</v>
      </c>
      <c r="R1002" s="20" t="str">
        <v>Married</v>
      </c>
      <c r="S1002" s="20" t="str">
        <v>$40k-60k</v>
      </c>
      <c r="T1002" s="89">
        <v>0.53179817804532703</v>
      </c>
      <c r="U1002" s="91">
        <v>83.19784180162128</v>
      </c>
      <c r="V1002" s="49">
        <v>179</v>
      </c>
      <c r="W1002" s="20">
        <v>2</v>
      </c>
      <c r="X1002" s="20" t="str">
        <v>Hot</v>
      </c>
      <c r="Y1002" s="20">
        <v>1</v>
      </c>
    </row>
    <row r="1003" spans="1:25" ht="15" customHeight="1" x14ac:dyDescent="0.25">
      <c r="A1003" s="3"/>
      <c r="B1003" s="3"/>
      <c r="C1003" s="3"/>
      <c r="D1003" s="3"/>
      <c r="E1003" s="3"/>
      <c r="F1003" s="3"/>
      <c r="G1003" s="3"/>
      <c r="H1003" s="3"/>
      <c r="I1003" s="3"/>
      <c r="J1003" s="3"/>
      <c r="K1003" s="20">
        <v>19664</v>
      </c>
      <c r="L1003" s="20" t="str">
        <v>2+ Cars</v>
      </c>
      <c r="M1003" s="20" t="str">
        <v>31-40</v>
      </c>
      <c r="N1003" s="20" t="str">
        <v>1-2 Miles</v>
      </c>
      <c r="O1003" s="20">
        <v>3</v>
      </c>
      <c r="P1003" s="20" t="str">
        <v>Bachelors</v>
      </c>
      <c r="Q1003" s="20" t="str">
        <v>North America</v>
      </c>
      <c r="R1003" s="20" t="str">
        <v>Single</v>
      </c>
      <c r="S1003" s="20" t="str">
        <v>$100k+</v>
      </c>
      <c r="T1003" s="89">
        <v>0.49705624013201233</v>
      </c>
      <c r="U1003" s="91">
        <v>66.353090714198885</v>
      </c>
      <c r="V1003" s="49">
        <v>396</v>
      </c>
      <c r="W1003" s="20">
        <v>4</v>
      </c>
      <c r="X1003" s="20" t="str">
        <v>Warm</v>
      </c>
      <c r="Y1003" s="20">
        <v>0</v>
      </c>
    </row>
    <row r="1004" spans="1:25" ht="15" customHeight="1" x14ac:dyDescent="0.25">
      <c r="A1004" s="3"/>
      <c r="B1004" s="3"/>
      <c r="C1004" s="3"/>
      <c r="D1004" s="3"/>
      <c r="E1004" s="3"/>
      <c r="F1004" s="3"/>
      <c r="G1004" s="3"/>
      <c r="H1004" s="3"/>
      <c r="I1004" s="3"/>
      <c r="J1004" s="3"/>
      <c r="K1004" s="20">
        <v>12121</v>
      </c>
      <c r="L1004" s="20" t="str">
        <v>2+ Cars</v>
      </c>
      <c r="M1004" s="20" t="str">
        <v>51-60</v>
      </c>
      <c r="N1004" s="20" t="str">
        <v>10+ Miles</v>
      </c>
      <c r="O1004" s="20">
        <v>3</v>
      </c>
      <c r="P1004" s="20" t="str">
        <v>High School</v>
      </c>
      <c r="Q1004" s="20" t="str">
        <v>North America</v>
      </c>
      <c r="R1004" s="20" t="str">
        <v>Single</v>
      </c>
      <c r="S1004" s="20" t="str">
        <v>$40k-60k</v>
      </c>
      <c r="T1004" s="89">
        <v>0.4393917628497982</v>
      </c>
      <c r="U1004" s="91">
        <v>38.394265595437808</v>
      </c>
      <c r="V1004" s="49">
        <v>792</v>
      </c>
      <c r="W1004" s="20">
        <v>8</v>
      </c>
      <c r="X1004" s="20" t="str">
        <v>Cold</v>
      </c>
      <c r="Y1004" s="20">
        <v>1</v>
      </c>
    </row>
  </sheetData>
  <mergeCells count="1">
    <mergeCell ref="A10:I11"/>
  </mergeCells>
  <conditionalFormatting sqref="K5:Y1004">
    <cfRule type="expression" dxfId="22" priority="4">
      <formula>AND($K5&lt;&gt;"",MOD(ROW(),2)=0)</formula>
    </cfRule>
  </conditionalFormatting>
  <conditionalFormatting sqref="A92:G116">
    <cfRule type="expression" dxfId="21" priority="8">
      <formula>AND($A92&lt;&gt;"",MOD(ROW(),2)=1)</formula>
    </cfRule>
  </conditionalFormatting>
  <conditionalFormatting sqref="X5:X1004">
    <cfRule type="containsText" dxfId="20" priority="3" operator="containsText" text="Hot">
      <formula>NOT(ISERROR(SEARCH("Hot",X5)))</formula>
    </cfRule>
  </conditionalFormatting>
  <conditionalFormatting sqref="X5:X1004">
    <cfRule type="containsText" dxfId="19" priority="2" operator="containsText" text="Warm">
      <formula>NOT(ISERROR(SEARCH("Warm",X5)))</formula>
    </cfRule>
  </conditionalFormatting>
  <conditionalFormatting sqref="X5:X1004">
    <cfRule type="containsText" dxfId="18" priority="1" operator="containsText" text="Cold">
      <formula>NOT(ISERROR(SEARCH("Cold",X5)))</formula>
    </cfRule>
  </conditionalFormatting>
  <conditionalFormatting sqref="C92:C116">
    <cfRule type="containsText" dxfId="17" priority="7" operator="containsText" text="Hot">
      <formula>NOT(ISERROR(SEARCH("Hot",C92)))</formula>
    </cfRule>
  </conditionalFormatting>
  <conditionalFormatting sqref="C92:C116">
    <cfRule type="containsText" dxfId="16" priority="6" operator="containsText" text="Warm">
      <formula>NOT(ISERROR(SEARCH("Warm",C92)))</formula>
    </cfRule>
  </conditionalFormatting>
  <conditionalFormatting sqref="C92:C116">
    <cfRule type="containsText" dxfId="15" priority="5" operator="containsText" text="Cold">
      <formula>NOT(ISERROR(SEARCH("Cold",C92)))</formula>
    </cfRule>
  </conditionalFormatting>
  <conditionalFormatting sqref="A33:A35">
    <cfRule type="containsText" dxfId="14" priority="15" operator="containsText" text="Hot">
      <formula>NOT(ISERROR(SEARCH("Hot",A33)))</formula>
    </cfRule>
  </conditionalFormatting>
  <conditionalFormatting sqref="A33:A35">
    <cfRule type="containsText" dxfId="13" priority="16" operator="containsText" text="Warm">
      <formula>NOT(ISERROR(SEARCH("Warm",A33)))</formula>
    </cfRule>
  </conditionalFormatting>
  <conditionalFormatting sqref="A33:A35">
    <cfRule type="containsText" dxfId="12" priority="17" operator="containsText" text="Cold">
      <formula>NOT(ISERROR(SEARCH("Cold",A33)))</formula>
    </cfRule>
  </conditionalFormatting>
  <conditionalFormatting sqref="D40:D49">
    <cfRule type="dataBar" priority="18">
      <dataBar>
        <cfvo type="num" val="0"/>
        <cfvo type="num" val="1"/>
        <color rgb="FF8EA9DB"/>
      </dataBar>
      <extLst>
        <ext xmlns:x14="http://schemas.microsoft.com/office/spreadsheetml/2009/9/main" uri="{B025F937-C7B1-47D3-B67F-A62EFF666E3E}">
          <x14:id>{00A495AF-C45A-4CE5-A179-D06A70799AA6}</x14:id>
        </ext>
      </extLst>
    </cfRule>
  </conditionalFormatting>
  <conditionalFormatting sqref="D33:D35">
    <cfRule type="dataBar" priority="19">
      <dataBar>
        <cfvo type="num" val="0"/>
        <cfvo type="num" val="1"/>
        <color rgb="FF8EA9DB"/>
      </dataBar>
      <extLst>
        <ext xmlns:x14="http://schemas.microsoft.com/office/spreadsheetml/2009/9/main" uri="{B025F937-C7B1-47D3-B67F-A62EFF666E3E}">
          <x14:id>{F1F99D22-D65C-4ED2-A76A-90F8110077EA}</x14:id>
        </ext>
      </extLst>
    </cfRule>
  </conditionalFormatting>
  <conditionalFormatting sqref="E40:E49">
    <cfRule type="colorScale" priority="20">
      <colorScale>
        <cfvo type="min"/>
        <cfvo type="num" val="1"/>
        <cfvo type="max"/>
        <color rgb="FFF8696B"/>
        <color rgb="FFFFFFFF"/>
        <color rgb="FF63BE7B"/>
      </colorScale>
    </cfRule>
  </conditionalFormatting>
  <conditionalFormatting sqref="E33:E35">
    <cfRule type="colorScale" priority="21">
      <colorScale>
        <cfvo type="min"/>
        <cfvo type="num" val="1"/>
        <cfvo type="max"/>
        <color rgb="FFF8696B"/>
        <color rgb="FFFFFFFF"/>
        <color rgb="FF63BE7B"/>
      </colorScale>
    </cfRule>
  </conditionalFormatting>
  <conditionalFormatting sqref="B87">
    <cfRule type="beginsWith" dxfId="11" priority="22" operator="beginsWith" text="WARNING">
      <formula>LEFT(B87,LEN("WARNING"))="WARNING"</formula>
    </cfRule>
  </conditionalFormatting>
  <conditionalFormatting sqref="B87">
    <cfRule type="beginsWith" dxfId="10" priority="23" operator="beginsWith" text="OK">
      <formula>LEFT(B87,LEN("OK"))="OK"</formula>
    </cfRule>
  </conditionalFormatting>
  <pageMargins left="0.7" right="0.7" top="0.75" bottom="0.75"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00A495AF-C45A-4CE5-A179-D06A70799AA6}">
            <x14:dataBar minLength="0" maxLength="100" gradient="0" negativeBarColorSameAsPositive="1" axisPosition="none">
              <x14:cfvo type="num">
                <xm:f>0</xm:f>
              </x14:cfvo>
              <x14:cfvo type="num">
                <xm:f>1</xm:f>
              </x14:cfvo>
            </x14:dataBar>
          </x14:cfRule>
          <xm:sqref>D40:D49</xm:sqref>
        </x14:conditionalFormatting>
        <x14:conditionalFormatting xmlns:xm="http://schemas.microsoft.com/office/excel/2006/main">
          <x14:cfRule type="dataBar" id="{F1F99D22-D65C-4ED2-A76A-90F8110077EA}">
            <x14:dataBar minLength="0" maxLength="100" gradient="0" negativeBarColorSameAsPositive="1" axisPosition="none">
              <x14:cfvo type="num">
                <xm:f>0</xm:f>
              </x14:cfvo>
              <x14:cfvo type="num">
                <xm:f>1</xm:f>
              </x14:cfvo>
            </x14:dataBar>
          </x14:cfRule>
          <xm:sqref>D33:D35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61AA-A2AF-4CC3-855D-B50C830F85F7}">
  <dimension ref="A1:S32"/>
  <sheetViews>
    <sheetView showGridLines="0" workbookViewId="0">
      <pane ySplit="4" topLeftCell="A24" activePane="bottomLeft" state="frozen"/>
      <selection activeCell="C1" sqref="C1"/>
      <selection pane="bottomLeft" activeCell="E34" sqref="E34"/>
    </sheetView>
  </sheetViews>
  <sheetFormatPr defaultRowHeight="15" x14ac:dyDescent="0.25"/>
  <cols>
    <col min="1" max="2" width="28.5703125" customWidth="1"/>
    <col min="3" max="3" width="21" customWidth="1"/>
    <col min="4" max="4" width="17.140625" customWidth="1"/>
    <col min="5" max="5" width="15.28515625" customWidth="1"/>
    <col min="6" max="6" width="36.140625" customWidth="1"/>
    <col min="7" max="7" width="3.85546875" customWidth="1"/>
    <col min="8" max="8" width="38.140625" customWidth="1"/>
    <col min="9" max="9" width="28.5703125" customWidth="1"/>
    <col min="10" max="11" width="3.85546875" customWidth="1"/>
    <col min="12" max="12" width="18.140625" customWidth="1"/>
    <col min="13" max="13" width="13.28515625" customWidth="1"/>
    <col min="14" max="14" width="19" customWidth="1"/>
    <col min="15" max="15" width="12.42578125" customWidth="1"/>
    <col min="16" max="16" width="23.85546875" customWidth="1"/>
    <col min="17" max="17" width="18.140625" customWidth="1"/>
    <col min="18" max="18" width="17.140625" customWidth="1"/>
    <col min="19" max="19" width="15.28515625" customWidth="1"/>
  </cols>
  <sheetData>
    <row r="1" spans="1:19" ht="23.25" x14ac:dyDescent="0.35">
      <c r="A1" s="4" t="s">
        <v>403</v>
      </c>
      <c r="B1" s="3"/>
      <c r="C1" s="3"/>
      <c r="D1" s="3"/>
      <c r="E1" s="3"/>
      <c r="F1" s="3"/>
      <c r="G1" s="3"/>
      <c r="H1" s="3"/>
      <c r="I1" s="3"/>
      <c r="J1" s="3"/>
      <c r="K1" s="3"/>
      <c r="L1" s="3"/>
      <c r="M1" s="3"/>
      <c r="N1" s="3"/>
      <c r="O1" s="3"/>
      <c r="P1" s="3"/>
      <c r="Q1" s="3"/>
      <c r="R1" s="3"/>
      <c r="S1" s="3"/>
    </row>
    <row r="2" spans="1:19" x14ac:dyDescent="0.25">
      <c r="A2" s="5" t="str">
        <f>"Purpose: pick a customer profile and see how each factor pushes its expected purchase rate above or below the "&amp;TEXT(Baseline_Rate,"0.0%")&amp;" average."</f>
        <v>Purpose: pick a customer profile and see how each factor pushes its expected purchase rate above or below the 48.1% average.</v>
      </c>
      <c r="B2" s="3"/>
      <c r="C2" s="3"/>
      <c r="D2" s="3"/>
      <c r="E2" s="3"/>
      <c r="F2" s="3"/>
      <c r="G2" s="3"/>
      <c r="H2" s="3"/>
      <c r="I2" s="3"/>
      <c r="J2" s="3"/>
      <c r="K2" s="3"/>
      <c r="L2" s="3"/>
      <c r="M2" s="3"/>
      <c r="N2" s="3"/>
      <c r="O2" s="3"/>
      <c r="P2" s="3"/>
      <c r="Q2" s="3"/>
      <c r="R2" s="3"/>
      <c r="S2" s="3"/>
    </row>
    <row r="3" spans="1:19" x14ac:dyDescent="0.25">
      <c r="A3" s="3"/>
      <c r="B3" s="3"/>
      <c r="C3" s="3"/>
      <c r="D3" s="3"/>
      <c r="E3" s="3"/>
      <c r="F3" s="3"/>
      <c r="G3" s="3"/>
      <c r="H3" s="3"/>
      <c r="I3" s="3"/>
      <c r="J3" s="3"/>
      <c r="K3" s="3"/>
      <c r="L3" s="3"/>
      <c r="M3" s="3"/>
      <c r="N3" s="3"/>
      <c r="O3" s="3"/>
      <c r="P3" s="3"/>
      <c r="Q3" s="3"/>
      <c r="R3" s="3"/>
      <c r="S3" s="3"/>
    </row>
    <row r="4" spans="1:19" x14ac:dyDescent="0.25">
      <c r="A4" s="129" t="s">
        <v>238</v>
      </c>
      <c r="B4" s="128"/>
      <c r="C4" s="128"/>
      <c r="D4" s="128"/>
      <c r="E4" s="128"/>
      <c r="F4" s="130"/>
      <c r="G4" s="3"/>
      <c r="H4" s="3"/>
      <c r="I4" s="3"/>
      <c r="J4" s="3"/>
      <c r="K4" s="3"/>
      <c r="L4" s="3"/>
      <c r="M4" s="3"/>
      <c r="N4" s="3"/>
      <c r="O4" s="3"/>
      <c r="P4" s="3"/>
      <c r="Q4" s="3"/>
      <c r="R4" s="3"/>
      <c r="S4" s="3"/>
    </row>
    <row r="5" spans="1:19" ht="15.75" thickBot="1" x14ac:dyDescent="0.3">
      <c r="A5" s="3"/>
      <c r="B5" s="3"/>
      <c r="C5" s="3"/>
      <c r="D5" s="3"/>
      <c r="E5" s="3"/>
      <c r="F5" s="3"/>
      <c r="G5" s="3"/>
      <c r="H5" s="3"/>
      <c r="I5" s="3"/>
      <c r="J5" s="3"/>
      <c r="K5" s="3"/>
      <c r="L5" s="131" t="s">
        <v>404</v>
      </c>
      <c r="M5" s="3"/>
      <c r="N5" s="3"/>
      <c r="O5" s="3"/>
      <c r="P5" s="3"/>
      <c r="Q5" s="3"/>
      <c r="R5" s="3"/>
      <c r="S5" s="3"/>
    </row>
    <row r="6" spans="1:19" ht="17.25" x14ac:dyDescent="0.25">
      <c r="A6" s="44" t="s">
        <v>203</v>
      </c>
      <c r="B6" s="3"/>
      <c r="C6" s="3"/>
      <c r="D6" s="3"/>
      <c r="E6" s="3"/>
      <c r="F6" s="3"/>
      <c r="G6" s="3"/>
      <c r="H6" s="134" t="s">
        <v>244</v>
      </c>
      <c r="I6" s="138"/>
      <c r="J6" s="3"/>
      <c r="K6" s="3"/>
      <c r="L6" s="3"/>
      <c r="M6" s="3"/>
      <c r="N6" s="3"/>
      <c r="O6" s="3"/>
      <c r="P6" s="3"/>
      <c r="Q6" s="3"/>
      <c r="R6" s="3"/>
      <c r="S6" s="3"/>
    </row>
    <row r="7" spans="1:19" ht="26.1" customHeight="1" x14ac:dyDescent="0.25">
      <c r="A7" s="16" t="s">
        <v>177</v>
      </c>
      <c r="B7" s="16" t="s">
        <v>405</v>
      </c>
      <c r="C7" s="148"/>
      <c r="D7" s="148"/>
      <c r="E7" s="148"/>
      <c r="F7" s="148"/>
      <c r="G7" s="148"/>
      <c r="H7" s="135" t="s">
        <v>395</v>
      </c>
      <c r="I7" s="140">
        <f>Baseline_Rate+tbl_ProfileBreakdown[[#Totals],[Contribution (pp)]]/100</f>
        <v>0.52052205603592527</v>
      </c>
      <c r="J7" s="3"/>
      <c r="K7" s="3"/>
      <c r="L7" s="132" t="str" cm="1">
        <f t="array" ref="L7:S7">TRANSPOSE($A$8:$A$15)</f>
        <v>Car Ownership</v>
      </c>
      <c r="M7" s="132" t="str">
        <v>Age Band</v>
      </c>
      <c r="N7" s="132" t="str">
        <v>Commute Distance</v>
      </c>
      <c r="O7" s="132" t="str">
        <v>Children</v>
      </c>
      <c r="P7" s="132" t="str">
        <v>Education</v>
      </c>
      <c r="Q7" s="132" t="str">
        <v>Region</v>
      </c>
      <c r="R7" s="132" t="str">
        <v>Marital Status</v>
      </c>
      <c r="S7" s="132" t="str">
        <v>Income Band</v>
      </c>
    </row>
    <row r="8" spans="1:19" ht="24" customHeight="1" x14ac:dyDescent="0.25">
      <c r="A8" s="149" t="s">
        <v>119</v>
      </c>
      <c r="B8" s="150" t="s">
        <v>209</v>
      </c>
      <c r="C8" s="148"/>
      <c r="D8" s="148"/>
      <c r="E8" s="148"/>
      <c r="F8" s="148"/>
      <c r="G8" s="148"/>
      <c r="H8" s="136" t="s">
        <v>396</v>
      </c>
      <c r="I8" s="141">
        <f>MAX(0,MIN(100,(I7-I13)/(I14-I13)*100))</f>
        <v>77.730574288976769</v>
      </c>
      <c r="J8" s="3"/>
      <c r="K8" s="3"/>
      <c r="L8" s="133" t="str" cm="1">
        <f t="array" ref="L8:L10">_xlfn.VSTACK("(Any)",_xlfn._xlws.FILTER(tbl_SegmentRates[Segment],tbl_SegmentRates[Factor]=L$7))</f>
        <v>(Any)</v>
      </c>
      <c r="M8" s="133" t="str" cm="1">
        <f t="array" ref="M8:M13">_xlfn.VSTACK("(Any)",_xlfn._xlws.FILTER(tbl_SegmentRates[Segment],tbl_SegmentRates[Factor]=M$7))</f>
        <v>(Any)</v>
      </c>
      <c r="N8" s="133" t="str" cm="1">
        <f t="array" ref="N8:N13">_xlfn.VSTACK("(Any)",_xlfn._xlws.FILTER(tbl_SegmentRates[Segment],tbl_SegmentRates[Factor]=N$7))</f>
        <v>(Any)</v>
      </c>
      <c r="O8" s="133" t="str" cm="1">
        <f t="array" ref="O8:O14">_xlfn.VSTACK("(Any)",_xlfn._xlws.FILTER(tbl_SegmentRates[Segment],tbl_SegmentRates[Factor]=O$7))</f>
        <v>(Any)</v>
      </c>
      <c r="P8" s="133" t="str" cm="1">
        <f t="array" ref="P8:P13">_xlfn.VSTACK("(Any)",_xlfn._xlws.FILTER(tbl_SegmentRates[Segment],tbl_SegmentRates[Factor]=P$7))</f>
        <v>(Any)</v>
      </c>
      <c r="Q8" s="133" t="str" cm="1">
        <f t="array" ref="Q8:Q11">_xlfn.VSTACK("(Any)",_xlfn._xlws.FILTER(tbl_SegmentRates[Segment],tbl_SegmentRates[Factor]=Q$7))</f>
        <v>(Any)</v>
      </c>
      <c r="R8" s="133" t="str" cm="1">
        <f t="array" ref="R8:R10">_xlfn.VSTACK("(Any)",_xlfn._xlws.FILTER(tbl_SegmentRates[Segment],tbl_SegmentRates[Factor]=R$7))</f>
        <v>(Any)</v>
      </c>
      <c r="S8" s="133" t="str" cm="1">
        <f t="array" ref="S8:S12">_xlfn.VSTACK("(Any)",_xlfn._xlws.FILTER(tbl_SegmentRates[Segment],tbl_SegmentRates[Factor]=S$7))</f>
        <v>(Any)</v>
      </c>
    </row>
    <row r="9" spans="1:19" ht="24" customHeight="1" x14ac:dyDescent="0.25">
      <c r="A9" s="149" t="s">
        <v>115</v>
      </c>
      <c r="B9" s="150" t="s">
        <v>212</v>
      </c>
      <c r="C9" s="148"/>
      <c r="D9" s="148"/>
      <c r="E9" s="148"/>
      <c r="F9" s="148"/>
      <c r="G9" s="148"/>
      <c r="H9" s="136" t="s">
        <v>229</v>
      </c>
      <c r="I9" s="139" t="str">
        <f>IF(I8&gt;=I15,"Hot",IF(I8&gt;=I16,"Warm","Cold"))</f>
        <v>Hot</v>
      </c>
      <c r="J9" s="3"/>
      <c r="K9" s="3"/>
      <c r="L9" s="133" t="str">
        <v>0-1 Cars</v>
      </c>
      <c r="M9" s="133" t="str">
        <v>25-30</v>
      </c>
      <c r="N9" s="133" t="str">
        <v>0-1 Miles</v>
      </c>
      <c r="O9" s="133" t="str">
        <v>0</v>
      </c>
      <c r="P9" s="133" t="str">
        <v>Partial High School</v>
      </c>
      <c r="Q9" s="133" t="str">
        <v>Pacific</v>
      </c>
      <c r="R9" s="133" t="str">
        <v>Single</v>
      </c>
      <c r="S9" s="133" t="str">
        <v>$10k-30k</v>
      </c>
    </row>
    <row r="10" spans="1:19" ht="24" customHeight="1" x14ac:dyDescent="0.25">
      <c r="A10" s="149" t="s">
        <v>9</v>
      </c>
      <c r="B10" s="150" t="s">
        <v>239</v>
      </c>
      <c r="C10" s="148"/>
      <c r="D10" s="148"/>
      <c r="E10" s="148"/>
      <c r="F10" s="148"/>
      <c r="G10" s="148"/>
      <c r="H10" s="136" t="s">
        <v>406</v>
      </c>
      <c r="I10" s="142">
        <f>_xlfn.XLOOKUP(I9,tbl_TierSummary[Tier],tbl_TierSummary[Purchase Rate])</f>
        <v>0.70333333333333337</v>
      </c>
      <c r="J10" s="3"/>
      <c r="K10" s="3"/>
      <c r="L10" s="133" t="str">
        <v>2+ Cars</v>
      </c>
      <c r="M10" s="133" t="str">
        <v>31-40</v>
      </c>
      <c r="N10" s="133" t="str">
        <v>1-2 Miles</v>
      </c>
      <c r="O10" s="133" t="str">
        <v>1</v>
      </c>
      <c r="P10" s="133" t="str">
        <v>High School</v>
      </c>
      <c r="Q10" s="133" t="str">
        <v>Europe</v>
      </c>
      <c r="R10" s="133" t="str">
        <v>Married</v>
      </c>
      <c r="S10" s="133" t="str">
        <v>$40k-60k</v>
      </c>
    </row>
    <row r="11" spans="1:19" ht="24" customHeight="1" thickBot="1" x14ac:dyDescent="0.3">
      <c r="A11" s="149" t="s">
        <v>4</v>
      </c>
      <c r="B11" s="150" t="s">
        <v>239</v>
      </c>
      <c r="C11" s="148"/>
      <c r="D11" s="148"/>
      <c r="E11" s="148"/>
      <c r="F11" s="148"/>
      <c r="G11" s="148"/>
      <c r="H11" s="137" t="s">
        <v>407</v>
      </c>
      <c r="I11" s="143">
        <f>I10/Baseline_Rate</f>
        <v>1.4622314622314623</v>
      </c>
      <c r="J11" s="3"/>
      <c r="K11" s="3"/>
      <c r="L11" s="133"/>
      <c r="M11" s="133" t="str">
        <v>41-50</v>
      </c>
      <c r="N11" s="133" t="str">
        <v>2-5 Miles</v>
      </c>
      <c r="O11" s="133" t="str">
        <v>2</v>
      </c>
      <c r="P11" s="133" t="str">
        <v>Partial College</v>
      </c>
      <c r="Q11" s="133" t="str">
        <v>North America</v>
      </c>
      <c r="R11" s="133"/>
      <c r="S11" s="133" t="str">
        <v>$70k-90k</v>
      </c>
    </row>
    <row r="12" spans="1:19" ht="24" customHeight="1" x14ac:dyDescent="0.25">
      <c r="A12" s="149" t="s">
        <v>5</v>
      </c>
      <c r="B12" s="150" t="s">
        <v>239</v>
      </c>
      <c r="C12" s="148"/>
      <c r="D12" s="148"/>
      <c r="E12" s="148"/>
      <c r="F12" s="148"/>
      <c r="G12" s="148"/>
      <c r="H12" s="151" t="s">
        <v>245</v>
      </c>
      <c r="I12" s="152"/>
      <c r="J12" s="3"/>
      <c r="K12" s="3"/>
      <c r="L12" s="133"/>
      <c r="M12" s="133" t="str">
        <v>51-60</v>
      </c>
      <c r="N12" s="133" t="str">
        <v>5-10 Miles</v>
      </c>
      <c r="O12" s="133" t="str">
        <v>3</v>
      </c>
      <c r="P12" s="133" t="str">
        <v>Bachelors</v>
      </c>
      <c r="Q12" s="133"/>
      <c r="R12" s="133"/>
      <c r="S12" s="133" t="str">
        <v>$100k+</v>
      </c>
    </row>
    <row r="13" spans="1:19" ht="24" customHeight="1" x14ac:dyDescent="0.25">
      <c r="A13" s="149" t="s">
        <v>10</v>
      </c>
      <c r="B13" s="150" t="s">
        <v>239</v>
      </c>
      <c r="C13" s="148"/>
      <c r="D13" s="148"/>
      <c r="E13" s="148"/>
      <c r="F13" s="148"/>
      <c r="G13" s="148"/>
      <c r="H13" s="152" t="s">
        <v>408</v>
      </c>
      <c r="I13" s="153">
        <f>MIN(_xlfn.ANCHORARRAY(Lead_Scoring!$T$5))</f>
        <v>0.36020441335313497</v>
      </c>
      <c r="J13" s="3"/>
      <c r="K13" s="3"/>
      <c r="L13" s="133"/>
      <c r="M13" s="133" t="str">
        <v>61+</v>
      </c>
      <c r="N13" s="133" t="str">
        <v>10+ Miles</v>
      </c>
      <c r="O13" s="133" t="str">
        <v>4</v>
      </c>
      <c r="P13" s="133" t="str">
        <v>Graduate Degree</v>
      </c>
      <c r="Q13" s="133"/>
      <c r="R13" s="133"/>
      <c r="S13" s="133"/>
    </row>
    <row r="14" spans="1:19" ht="24" customHeight="1" x14ac:dyDescent="0.25">
      <c r="A14" s="149" t="s">
        <v>1</v>
      </c>
      <c r="B14" s="150" t="s">
        <v>239</v>
      </c>
      <c r="C14" s="148"/>
      <c r="D14" s="148"/>
      <c r="E14" s="148"/>
      <c r="F14" s="148"/>
      <c r="G14" s="148"/>
      <c r="H14" s="152" t="s">
        <v>409</v>
      </c>
      <c r="I14" s="153">
        <f>MAX(_xlfn.ANCHORARRAY(Lead_Scoring!$T$5))</f>
        <v>0.5664522690383148</v>
      </c>
      <c r="J14" s="3"/>
      <c r="K14" s="3"/>
      <c r="L14" s="133"/>
      <c r="M14" s="133"/>
      <c r="N14" s="133"/>
      <c r="O14" s="133" t="str">
        <v>5</v>
      </c>
      <c r="P14" s="133"/>
      <c r="Q14" s="133"/>
      <c r="R14" s="133"/>
      <c r="S14" s="133"/>
    </row>
    <row r="15" spans="1:19" ht="24" customHeight="1" x14ac:dyDescent="0.25">
      <c r="A15" s="149" t="s">
        <v>117</v>
      </c>
      <c r="B15" s="150" t="s">
        <v>239</v>
      </c>
      <c r="C15" s="148"/>
      <c r="D15" s="148"/>
      <c r="E15" s="148"/>
      <c r="F15" s="148"/>
      <c r="G15" s="148"/>
      <c r="H15" s="152" t="str">
        <f>"Hot cut-off: min lead score of decile "&amp;Hot_Cutoff</f>
        <v>Hot cut-off: min lead score of decile 3</v>
      </c>
      <c r="I15" s="154">
        <f>_xlfn.MINIFS(_xlfn.ANCHORARRAY(Lead_Scoring!$U$5),_xlfn.ANCHORARRAY(Lead_Scoring!$W$5),Hot_Cutoff)</f>
        <v>73.961180015763858</v>
      </c>
      <c r="J15" s="3"/>
      <c r="K15" s="3"/>
      <c r="L15" s="3"/>
      <c r="M15" s="3"/>
      <c r="N15" s="3"/>
      <c r="O15" s="3"/>
      <c r="P15" s="3"/>
      <c r="Q15" s="3"/>
      <c r="R15" s="3"/>
      <c r="S15" s="3"/>
    </row>
    <row r="16" spans="1:19" ht="24" customHeight="1" x14ac:dyDescent="0.25">
      <c r="A16" s="148"/>
      <c r="B16" s="148"/>
      <c r="C16" s="148"/>
      <c r="D16" s="148"/>
      <c r="E16" s="148"/>
      <c r="F16" s="148"/>
      <c r="G16" s="148"/>
      <c r="H16" s="152" t="str">
        <f>"Warm cut-off: min lead score of decile "&amp;Warm_Cutoff</f>
        <v>Warm cut-off: min lead score of decile 6</v>
      </c>
      <c r="I16" s="154">
        <f>_xlfn.MINIFS(_xlfn.ANCHORARRAY(Lead_Scoring!$U$5),_xlfn.ANCHORARRAY(Lead_Scoring!$W$5),Warm_Cutoff)</f>
        <v>51.938915688909034</v>
      </c>
      <c r="J16" s="3"/>
      <c r="K16" s="3"/>
      <c r="L16" s="3"/>
      <c r="M16" s="3"/>
      <c r="N16" s="3"/>
      <c r="O16" s="3"/>
      <c r="P16" s="3"/>
      <c r="Q16" s="3"/>
      <c r="R16" s="3"/>
      <c r="S16" s="3"/>
    </row>
    <row r="17" spans="1:19" ht="15.75" thickBot="1" x14ac:dyDescent="0.3">
      <c r="A17" s="148"/>
      <c r="B17" s="148"/>
      <c r="C17" s="148"/>
      <c r="D17" s="148"/>
      <c r="E17" s="148"/>
      <c r="F17" s="148"/>
      <c r="G17" s="148"/>
      <c r="H17" s="148"/>
      <c r="I17" s="148"/>
      <c r="J17" s="3"/>
      <c r="K17" s="3"/>
      <c r="L17" s="3"/>
      <c r="M17" s="3"/>
      <c r="N17" s="3"/>
      <c r="O17" s="3"/>
      <c r="P17" s="3"/>
      <c r="Q17" s="3"/>
      <c r="R17" s="3"/>
      <c r="S17" s="3"/>
    </row>
    <row r="18" spans="1:19" ht="17.25" x14ac:dyDescent="0.25">
      <c r="A18" s="155" t="s">
        <v>240</v>
      </c>
      <c r="B18" s="148"/>
      <c r="C18" s="148"/>
      <c r="D18" s="148"/>
      <c r="E18" s="148"/>
      <c r="F18" s="148"/>
      <c r="G18" s="148"/>
      <c r="H18" s="134" t="s">
        <v>246</v>
      </c>
      <c r="I18" s="138"/>
      <c r="J18" s="3"/>
      <c r="K18" s="3"/>
      <c r="L18" s="3"/>
      <c r="M18" s="3"/>
      <c r="N18" s="3"/>
      <c r="O18" s="3"/>
      <c r="P18" s="3"/>
      <c r="Q18" s="3"/>
      <c r="R18" s="3"/>
      <c r="S18" s="3"/>
    </row>
    <row r="19" spans="1:19" ht="32.1" customHeight="1" x14ac:dyDescent="0.25">
      <c r="A19" s="16" t="s">
        <v>177</v>
      </c>
      <c r="B19" s="16" t="s">
        <v>241</v>
      </c>
      <c r="C19" s="16" t="s">
        <v>242</v>
      </c>
      <c r="D19" s="16" t="s">
        <v>175</v>
      </c>
      <c r="E19" s="16" t="s">
        <v>207</v>
      </c>
      <c r="F19" s="16" t="s">
        <v>243</v>
      </c>
      <c r="G19" s="148"/>
      <c r="H19" s="135" t="s">
        <v>410</v>
      </c>
      <c r="I19" s="144" cm="1">
        <f t="array" ref="I19">_xlfn.LET(_xlpm.c,IF(tbl_ProfileBreakdown[Selected]="(Any)","&lt;&gt;",tbl_ProfileBreakdown[Selected]),COUNTIFS(tbl_Clean[Car Ownership],INDEX(_xlpm.c,1),tbl_Clean[Age Band],INDEX(_xlpm.c,2),tbl_Clean[Commute Distance],INDEX(_xlpm.c,3),tbl_Clean[Children],INDEX(_xlpm.c,4),tbl_Clean[Education],INDEX(_xlpm.c,5),tbl_Clean[Region],INDEX(_xlpm.c,6),tbl_Clean[Marital Status],INDEX(_xlpm.c,7),tbl_Clean[Income Band],INDEX(_xlpm.c,8)))</f>
        <v>223</v>
      </c>
      <c r="J19" s="3"/>
      <c r="K19" s="3"/>
      <c r="L19" s="3"/>
      <c r="M19" s="3"/>
      <c r="N19" s="3"/>
      <c r="O19" s="3"/>
      <c r="P19" s="3"/>
      <c r="Q19" s="3"/>
      <c r="R19" s="3"/>
      <c r="S19" s="3"/>
    </row>
    <row r="20" spans="1:19" ht="24" customHeight="1" x14ac:dyDescent="0.25">
      <c r="A20" s="148" t="s">
        <v>119</v>
      </c>
      <c r="B20" s="156" t="str">
        <f>_xlfn.LET(_xlpm.v,_xlfn.XLOOKUP(tbl_ProfileBreakdown[[#This Row],[Factor]],$A$8:$A$15,Profile_Inputs)&amp;"",IF(_xlpm.v="","(Any)",_xlpm.v))</f>
        <v>0-1 Cars</v>
      </c>
      <c r="C20" s="157">
        <f>IF(tbl_ProfileBreakdown[[#This Row],[Selected]]="(Any)",Baseline_Rate,_xlfn.XLOOKUP(tbl_ProfileBreakdown[[#This Row],[Factor]]&amp;"|"&amp;tbl_ProfileBreakdown[[#This Row],[Selected]],tbl_SegmentRates[Key],tbl_SegmentRates[Purchase Rate]))</f>
        <v>0.58949416342412453</v>
      </c>
      <c r="D20" s="158">
        <f>tbl_ProfileBreakdown[[#This Row],[Segment Purchase Rate]]/Baseline_Rate</f>
        <v>1.2255595913183464</v>
      </c>
      <c r="E20" s="157">
        <f>_xlfn.XLOOKUP(tbl_ProfileBreakdown[[#This Row],[Factor]],tbl_Weights[Factor],tbl_Weights[Weight])</f>
        <v>0.1734170380441914</v>
      </c>
      <c r="F20" s="207">
        <f>tbl_ProfileBreakdown[[#This Row],[Weight]]*(tbl_ProfileBreakdown[[#This Row],[Segment Purchase Rate]]-Baseline_Rate)*100</f>
        <v>1.8814736466094124</v>
      </c>
      <c r="G20" s="148"/>
      <c r="H20" s="136" t="s">
        <v>411</v>
      </c>
      <c r="I20" s="145" cm="1">
        <f t="array" ref="I20">_xlfn.LET(_xlpm.c,IF(tbl_ProfileBreakdown[Selected]="(Any)","&lt;&gt;",tbl_ProfileBreakdown[Selected]),COUNTIFS(tbl_Clean[Car Ownership],INDEX(_xlpm.c,1),tbl_Clean[Age Band],INDEX(_xlpm.c,2),tbl_Clean[Commute Distance],INDEX(_xlpm.c,3),tbl_Clean[Children],INDEX(_xlpm.c,4),tbl_Clean[Education],INDEX(_xlpm.c,5),tbl_Clean[Region],INDEX(_xlpm.c,6),tbl_Clean[Marital Status],INDEX(_xlpm.c,7),tbl_Clean[Income Band],INDEX(_xlpm.c,8),tbl_Clean[Purchased Flag],1))</f>
        <v>158</v>
      </c>
      <c r="J20" s="3"/>
      <c r="K20" s="3"/>
      <c r="L20" s="3"/>
      <c r="M20" s="3"/>
      <c r="N20" s="3"/>
      <c r="O20" s="3"/>
      <c r="P20" s="3"/>
      <c r="Q20" s="3"/>
      <c r="R20" s="3"/>
      <c r="S20" s="3"/>
    </row>
    <row r="21" spans="1:19" ht="24" customHeight="1" x14ac:dyDescent="0.25">
      <c r="A21" s="148" t="s">
        <v>115</v>
      </c>
      <c r="B21" s="156" t="str">
        <f>_xlfn.LET(_xlpm.v,_xlfn.XLOOKUP(tbl_ProfileBreakdown[[#This Row],[Factor]],$A$8:$A$15,Profile_Inputs)&amp;"",IF(_xlpm.v="","(Any)",_xlpm.v))</f>
        <v>31-40</v>
      </c>
      <c r="C21" s="157">
        <f>IF(tbl_ProfileBreakdown[[#This Row],[Selected]]="(Any)",Baseline_Rate,_xlfn.XLOOKUP(tbl_ProfileBreakdown[[#This Row],[Factor]]&amp;"|"&amp;tbl_ProfileBreakdown[[#This Row],[Selected]],tbl_SegmentRates[Key],tbl_SegmentRates[Purchase Rate]))</f>
        <v>0.61075949367088611</v>
      </c>
      <c r="D21" s="158">
        <f>tbl_ProfileBreakdown[[#This Row],[Segment Purchase Rate]]/Baseline_Rate</f>
        <v>1.2697702571120293</v>
      </c>
      <c r="E21" s="157">
        <f>_xlfn.XLOOKUP(tbl_ProfileBreakdown[[#This Row],[Factor]],tbl_Weights[Factor],tbl_Weights[Weight])</f>
        <v>0.15958230865444009</v>
      </c>
      <c r="F21" s="207">
        <f>tbl_ProfileBreakdown[[#This Row],[Weight]]*(tbl_ProfileBreakdown[[#This Row],[Segment Purchase Rate]]-Baseline_Rate)*100</f>
        <v>2.0707319569831215</v>
      </c>
      <c r="G21" s="148"/>
      <c r="H21" s="136" t="s">
        <v>412</v>
      </c>
      <c r="I21" s="146">
        <f>IF(I19=0,"No exact matches. Set some factors to (Any).",I20/I19)</f>
        <v>0.70852017937219736</v>
      </c>
      <c r="J21" s="3"/>
      <c r="K21" s="3"/>
      <c r="L21" s="3"/>
      <c r="M21" s="3"/>
      <c r="N21" s="3"/>
      <c r="O21" s="3"/>
      <c r="P21" s="3"/>
      <c r="Q21" s="3"/>
      <c r="R21" s="3"/>
      <c r="S21" s="3"/>
    </row>
    <row r="22" spans="1:19" ht="24" customHeight="1" thickBot="1" x14ac:dyDescent="0.3">
      <c r="A22" s="148" t="s">
        <v>9</v>
      </c>
      <c r="B22" s="156" t="str">
        <f>_xlfn.LET(_xlpm.v,_xlfn.XLOOKUP(tbl_ProfileBreakdown[[#This Row],[Factor]],$A$8:$A$15,Profile_Inputs)&amp;"",IF(_xlpm.v="","(Any)",_xlpm.v))</f>
        <v>(Any)</v>
      </c>
      <c r="C22" s="157">
        <f>IF(tbl_ProfileBreakdown[[#This Row],[Selected]]="(Any)",Baseline_Rate,_xlfn.XLOOKUP(tbl_ProfileBreakdown[[#This Row],[Factor]]&amp;"|"&amp;tbl_ProfileBreakdown[[#This Row],[Selected]],tbl_SegmentRates[Key],tbl_SegmentRates[Purchase Rate]))</f>
        <v>0.48099999999999998</v>
      </c>
      <c r="D22" s="158">
        <f>tbl_ProfileBreakdown[[#This Row],[Segment Purchase Rate]]/Baseline_Rate</f>
        <v>1</v>
      </c>
      <c r="E22" s="157">
        <f>_xlfn.XLOOKUP(tbl_ProfileBreakdown[[#This Row],[Factor]],tbl_Weights[Factor],tbl_Weights[Weight])</f>
        <v>0.14426522691056065</v>
      </c>
      <c r="F22" s="207">
        <f>tbl_ProfileBreakdown[[#This Row],[Weight]]*(tbl_ProfileBreakdown[[#This Row],[Segment Purchase Rate]]-Baseline_Rate)*100</f>
        <v>0</v>
      </c>
      <c r="G22" s="148"/>
      <c r="H22" s="137" t="s">
        <v>247</v>
      </c>
      <c r="I22" s="147" t="str">
        <f>IF(I19=0,"—",IF(I19&lt;20,"Small sample, read with caution","Sample of "&amp;TEXT(I19,"#,##0")&amp;" customers"))</f>
        <v>Sample of 223 customers</v>
      </c>
      <c r="J22" s="3"/>
      <c r="K22" s="3"/>
      <c r="L22" s="3"/>
      <c r="M22" s="3"/>
      <c r="N22" s="3"/>
      <c r="O22" s="3"/>
      <c r="P22" s="3"/>
      <c r="Q22" s="3"/>
      <c r="R22" s="3"/>
      <c r="S22" s="3"/>
    </row>
    <row r="23" spans="1:19" ht="24" customHeight="1" x14ac:dyDescent="0.25">
      <c r="A23" s="148" t="s">
        <v>4</v>
      </c>
      <c r="B23" s="156" t="str">
        <f>_xlfn.LET(_xlpm.v,_xlfn.XLOOKUP(tbl_ProfileBreakdown[[#This Row],[Factor]],$A$8:$A$15,Profile_Inputs)&amp;"",IF(_xlpm.v="","(Any)",_xlpm.v))</f>
        <v>(Any)</v>
      </c>
      <c r="C23" s="157">
        <f>IF(tbl_ProfileBreakdown[[#This Row],[Selected]]="(Any)",Baseline_Rate,_xlfn.XLOOKUP(tbl_ProfileBreakdown[[#This Row],[Factor]]&amp;"|"&amp;tbl_ProfileBreakdown[[#This Row],[Selected]],tbl_SegmentRates[Key],tbl_SegmentRates[Purchase Rate]))</f>
        <v>0.48099999999999998</v>
      </c>
      <c r="D23" s="158">
        <f>tbl_ProfileBreakdown[[#This Row],[Segment Purchase Rate]]/Baseline_Rate</f>
        <v>1</v>
      </c>
      <c r="E23" s="157">
        <f>_xlfn.XLOOKUP(tbl_ProfileBreakdown[[#This Row],[Factor]],tbl_Weights[Factor],tbl_Weights[Weight])</f>
        <v>0.13903594640275632</v>
      </c>
      <c r="F23" s="207">
        <f>tbl_ProfileBreakdown[[#This Row],[Weight]]*(tbl_ProfileBreakdown[[#This Row],[Segment Purchase Rate]]-Baseline_Rate)*100</f>
        <v>0</v>
      </c>
      <c r="G23" s="148"/>
      <c r="H23" s="148"/>
      <c r="I23" s="148"/>
      <c r="J23" s="3"/>
      <c r="K23" s="3"/>
      <c r="L23" s="3"/>
      <c r="M23" s="3"/>
      <c r="N23" s="3"/>
      <c r="O23" s="3"/>
      <c r="P23" s="3"/>
      <c r="Q23" s="3"/>
      <c r="R23" s="3"/>
      <c r="S23" s="3"/>
    </row>
    <row r="24" spans="1:19" ht="24" customHeight="1" x14ac:dyDescent="0.25">
      <c r="A24" s="148" t="s">
        <v>5</v>
      </c>
      <c r="B24" s="156" t="str">
        <f>_xlfn.LET(_xlpm.v,_xlfn.XLOOKUP(tbl_ProfileBreakdown[[#This Row],[Factor]],$A$8:$A$15,Profile_Inputs)&amp;"",IF(_xlpm.v="","(Any)",_xlpm.v))</f>
        <v>(Any)</v>
      </c>
      <c r="C24" s="157">
        <f>IF(tbl_ProfileBreakdown[[#This Row],[Selected]]="(Any)",Baseline_Rate,_xlfn.XLOOKUP(tbl_ProfileBreakdown[[#This Row],[Factor]]&amp;"|"&amp;tbl_ProfileBreakdown[[#This Row],[Selected]],tbl_SegmentRates[Key],tbl_SegmentRates[Purchase Rate]))</f>
        <v>0.48099999999999998</v>
      </c>
      <c r="D24" s="158">
        <f>tbl_ProfileBreakdown[[#This Row],[Segment Purchase Rate]]/Baseline_Rate</f>
        <v>1</v>
      </c>
      <c r="E24" s="157">
        <f>_xlfn.XLOOKUP(tbl_ProfileBreakdown[[#This Row],[Factor]],tbl_Weights[Factor],tbl_Weights[Weight])</f>
        <v>0.12360009043135495</v>
      </c>
      <c r="F24" s="207">
        <f>tbl_ProfileBreakdown[[#This Row],[Weight]]*(tbl_ProfileBreakdown[[#This Row],[Segment Purchase Rate]]-Baseline_Rate)*100</f>
        <v>0</v>
      </c>
      <c r="G24" s="148"/>
      <c r="H24" s="148"/>
      <c r="I24" s="148"/>
      <c r="J24" s="3"/>
      <c r="K24" s="3"/>
      <c r="L24" s="3"/>
      <c r="M24" s="3"/>
      <c r="N24" s="3"/>
      <c r="O24" s="3"/>
      <c r="P24" s="3"/>
      <c r="Q24" s="3"/>
      <c r="R24" s="3"/>
      <c r="S24" s="3"/>
    </row>
    <row r="25" spans="1:19" ht="24" customHeight="1" x14ac:dyDescent="0.25">
      <c r="A25" s="148" t="s">
        <v>10</v>
      </c>
      <c r="B25" s="156" t="str">
        <f>_xlfn.LET(_xlpm.v,_xlfn.XLOOKUP(tbl_ProfileBreakdown[[#This Row],[Factor]],$A$8:$A$15,Profile_Inputs)&amp;"",IF(_xlpm.v="","(Any)",_xlpm.v))</f>
        <v>(Any)</v>
      </c>
      <c r="C25" s="157">
        <f>IF(tbl_ProfileBreakdown[[#This Row],[Selected]]="(Any)",Baseline_Rate,_xlfn.XLOOKUP(tbl_ProfileBreakdown[[#This Row],[Factor]]&amp;"|"&amp;tbl_ProfileBreakdown[[#This Row],[Selected]],tbl_SegmentRates[Key],tbl_SegmentRates[Purchase Rate]))</f>
        <v>0.48099999999999998</v>
      </c>
      <c r="D25" s="158">
        <f>tbl_ProfileBreakdown[[#This Row],[Segment Purchase Rate]]/Baseline_Rate</f>
        <v>1</v>
      </c>
      <c r="E25" s="157">
        <f>_xlfn.XLOOKUP(tbl_ProfileBreakdown[[#This Row],[Factor]],tbl_Weights[Factor],tbl_Weights[Weight])</f>
        <v>9.1068299814174455E-2</v>
      </c>
      <c r="F25" s="207">
        <f>tbl_ProfileBreakdown[[#This Row],[Weight]]*(tbl_ProfileBreakdown[[#This Row],[Segment Purchase Rate]]-Baseline_Rate)*100</f>
        <v>0</v>
      </c>
      <c r="G25" s="148"/>
      <c r="H25" s="148"/>
      <c r="I25" s="148"/>
      <c r="J25" s="3"/>
      <c r="K25" s="3"/>
      <c r="L25" s="3"/>
      <c r="M25" s="3"/>
      <c r="N25" s="3"/>
      <c r="O25" s="3"/>
      <c r="P25" s="3"/>
      <c r="Q25" s="3"/>
      <c r="R25" s="3"/>
      <c r="S25" s="3"/>
    </row>
    <row r="26" spans="1:19" ht="24" customHeight="1" x14ac:dyDescent="0.25">
      <c r="A26" s="148" t="s">
        <v>1</v>
      </c>
      <c r="B26" s="156" t="str">
        <f>_xlfn.LET(_xlpm.v,_xlfn.XLOOKUP(tbl_ProfileBreakdown[[#This Row],[Factor]],$A$8:$A$15,Profile_Inputs)&amp;"",IF(_xlpm.v="","(Any)",_xlpm.v))</f>
        <v>(Any)</v>
      </c>
      <c r="C26" s="157">
        <f>IF(tbl_ProfileBreakdown[[#This Row],[Selected]]="(Any)",Baseline_Rate,_xlfn.XLOOKUP(tbl_ProfileBreakdown[[#This Row],[Factor]]&amp;"|"&amp;tbl_ProfileBreakdown[[#This Row],[Selected]],tbl_SegmentRates[Key],tbl_SegmentRates[Purchase Rate]))</f>
        <v>0.48099999999999998</v>
      </c>
      <c r="D26" s="158">
        <f>tbl_ProfileBreakdown[[#This Row],[Segment Purchase Rate]]/Baseline_Rate</f>
        <v>1</v>
      </c>
      <c r="E26" s="157">
        <f>_xlfn.XLOOKUP(tbl_ProfileBreakdown[[#This Row],[Factor]],tbl_Weights[Factor],tbl_Weights[Weight])</f>
        <v>8.6598588209597011E-2</v>
      </c>
      <c r="F26" s="207">
        <f>tbl_ProfileBreakdown[[#This Row],[Weight]]*(tbl_ProfileBreakdown[[#This Row],[Segment Purchase Rate]]-Baseline_Rate)*100</f>
        <v>0</v>
      </c>
      <c r="G26" s="148"/>
      <c r="H26" s="148"/>
      <c r="I26" s="148"/>
      <c r="J26" s="3"/>
      <c r="K26" s="3"/>
      <c r="L26" s="3"/>
      <c r="M26" s="3"/>
      <c r="N26" s="3"/>
      <c r="O26" s="3"/>
      <c r="P26" s="3"/>
      <c r="Q26" s="3"/>
      <c r="R26" s="3"/>
      <c r="S26" s="3"/>
    </row>
    <row r="27" spans="1:19" ht="24" customHeight="1" x14ac:dyDescent="0.25">
      <c r="A27" s="148" t="s">
        <v>117</v>
      </c>
      <c r="B27" s="156" t="str">
        <f>_xlfn.LET(_xlpm.v,_xlfn.XLOOKUP(tbl_ProfileBreakdown[[#This Row],[Factor]],$A$8:$A$15,Profile_Inputs)&amp;"",IF(_xlpm.v="","(Any)",_xlpm.v))</f>
        <v>(Any)</v>
      </c>
      <c r="C27" s="157">
        <f>IF(tbl_ProfileBreakdown[[#This Row],[Selected]]="(Any)",Baseline_Rate,_xlfn.XLOOKUP(tbl_ProfileBreakdown[[#This Row],[Factor]]&amp;"|"&amp;tbl_ProfileBreakdown[[#This Row],[Selected]],tbl_SegmentRates[Key],tbl_SegmentRates[Purchase Rate]))</f>
        <v>0.48099999999999998</v>
      </c>
      <c r="D27" s="158">
        <f>tbl_ProfileBreakdown[[#This Row],[Segment Purchase Rate]]/Baseline_Rate</f>
        <v>1</v>
      </c>
      <c r="E27" s="157">
        <f>_xlfn.XLOOKUP(tbl_ProfileBreakdown[[#This Row],[Factor]],tbl_Weights[Factor],tbl_Weights[Weight])</f>
        <v>8.2432501532925292E-2</v>
      </c>
      <c r="F27" s="207">
        <f>tbl_ProfileBreakdown[[#This Row],[Weight]]*(tbl_ProfileBreakdown[[#This Row],[Segment Purchase Rate]]-Baseline_Rate)*100</f>
        <v>0</v>
      </c>
      <c r="G27" s="148"/>
      <c r="H27" s="148"/>
      <c r="I27" s="148"/>
      <c r="J27" s="3"/>
      <c r="K27" s="3"/>
      <c r="L27" s="3"/>
      <c r="M27" s="3"/>
      <c r="N27" s="3"/>
      <c r="O27" s="3"/>
      <c r="P27" s="3"/>
      <c r="Q27" s="3"/>
      <c r="R27" s="3"/>
      <c r="S27" s="3"/>
    </row>
    <row r="28" spans="1:19" ht="24" customHeight="1" x14ac:dyDescent="0.25">
      <c r="A28" s="159" t="s">
        <v>184</v>
      </c>
      <c r="B28" s="160"/>
      <c r="C28" s="160"/>
      <c r="D28" s="160"/>
      <c r="E28" s="161">
        <f>SUBTOTAL(109,tbl_ProfileBreakdown[Weight])</f>
        <v>1.0000000000000002</v>
      </c>
      <c r="F28" s="208">
        <f>SUBTOTAL(109,tbl_ProfileBreakdown[Contribution (pp)])</f>
        <v>3.9522056035925339</v>
      </c>
      <c r="G28" s="148"/>
      <c r="H28" s="148"/>
      <c r="I28" s="148"/>
      <c r="J28" s="3"/>
      <c r="K28" s="3"/>
      <c r="L28" s="3"/>
      <c r="M28" s="3"/>
      <c r="N28" s="3"/>
      <c r="O28" s="3"/>
      <c r="P28" s="3"/>
      <c r="Q28" s="3"/>
      <c r="R28" s="3"/>
      <c r="S28" s="3"/>
    </row>
    <row r="29" spans="1:19" x14ac:dyDescent="0.25">
      <c r="A29" s="3"/>
      <c r="B29" s="3"/>
      <c r="C29" s="3"/>
      <c r="D29" s="3"/>
      <c r="E29" s="3"/>
      <c r="F29" s="3"/>
      <c r="G29" s="3"/>
      <c r="H29" s="3"/>
      <c r="I29" s="3"/>
      <c r="J29" s="3"/>
      <c r="K29" s="3"/>
      <c r="L29" s="3"/>
      <c r="M29" s="3"/>
      <c r="N29" s="3"/>
      <c r="O29" s="3"/>
      <c r="P29" s="3"/>
      <c r="Q29" s="3"/>
      <c r="R29" s="3"/>
      <c r="S29" s="3"/>
    </row>
    <row r="30" spans="1:19" ht="15.75" x14ac:dyDescent="0.25">
      <c r="A30" s="44" t="s">
        <v>248</v>
      </c>
      <c r="B30" s="3"/>
      <c r="C30" s="3"/>
      <c r="D30" s="3"/>
      <c r="E30" s="3"/>
      <c r="F30" s="3"/>
      <c r="G30" s="3"/>
      <c r="H30" s="3"/>
      <c r="I30" s="3"/>
      <c r="J30" s="3"/>
      <c r="K30" s="3"/>
      <c r="L30" s="3"/>
      <c r="M30" s="3"/>
      <c r="N30" s="3"/>
      <c r="O30" s="3"/>
      <c r="P30" s="3"/>
      <c r="Q30" s="3"/>
      <c r="R30" s="3"/>
      <c r="S30" s="3"/>
    </row>
    <row r="31" spans="1:19" ht="24" customHeight="1" x14ac:dyDescent="0.25">
      <c r="A31" s="110" t="str" cm="1">
        <f t="array" ref="A31">_xlfn.LET(_xlpm.f,tbl_ProfileBreakdown[Factor],_xlpm.sel,tbl_ProfileBreakdown[Selected],_xlpm.c,tbl_ProfileBreakdown[Contribution (pp)],_xlpm.mx,MAX(_xlpm.c),_xlpm.mn,MIN(_xlpm.c),_xlpm.pos,IF(_xlpm.mx&gt;0,_xlfn.XLOOKUP(_xlpm.mx,_xlpm.c,_xlpm.f)&amp;" ("&amp;_xlfn.XLOOKUP(_xlpm.mx,_xlpm.c,_xlpm.sel)&amp;")","none"),_xlpm.neg,IF(_xlpm.mn&lt;0,_xlfn.XLOOKUP(_xlpm.mn,_xlpm.c,_xlpm.f)&amp;" ("&amp;_xlfn.XLOOKUP(_xlpm.mn,_xlpm.c,_xlpm.sel)&amp;")","none"),UPPER(I9)&amp;" lead: estimated "&amp;TEXT(I10,"0.0%")&amp;" likelihood to buy ("&amp;TEXT(I11,"0.00")&amp;"x average). Biggest positive driver: "&amp;_xlpm.pos&amp;". Biggest negative driver: "&amp;_xlpm.neg&amp;".")</f>
        <v>HOT lead: estimated 70.3% likelihood to buy (1.46x average). Biggest positive driver: Age Band (31-40). Biggest negative driver: none.</v>
      </c>
      <c r="B31" s="110"/>
      <c r="C31" s="110"/>
      <c r="D31" s="110"/>
      <c r="E31" s="110"/>
      <c r="F31" s="110"/>
      <c r="G31" s="110"/>
      <c r="H31" s="110"/>
      <c r="I31" s="110"/>
    </row>
    <row r="32" spans="1:19" ht="24" customHeight="1" x14ac:dyDescent="0.25">
      <c r="A32" s="110"/>
      <c r="B32" s="110"/>
      <c r="C32" s="110"/>
      <c r="D32" s="110"/>
      <c r="E32" s="110"/>
      <c r="F32" s="110"/>
      <c r="G32" s="110"/>
      <c r="H32" s="110"/>
      <c r="I32" s="110"/>
    </row>
  </sheetData>
  <mergeCells count="3">
    <mergeCell ref="H6:I6"/>
    <mergeCell ref="H18:I18"/>
    <mergeCell ref="A31:I32"/>
  </mergeCells>
  <conditionalFormatting sqref="F20:F27">
    <cfRule type="cellIs" dxfId="9" priority="1" operator="greaterThan">
      <formula>0</formula>
    </cfRule>
  </conditionalFormatting>
  <conditionalFormatting sqref="F20:F27">
    <cfRule type="cellIs" dxfId="8" priority="2" operator="lessThan">
      <formula>0</formula>
    </cfRule>
  </conditionalFormatting>
  <conditionalFormatting sqref="F20:F27">
    <cfRule type="dataBar" priority="3">
      <dataBar>
        <cfvo type="formula" val="-3*MAX(MAX(ABS($F$20:$F$27)),0.01)"/>
        <cfvo type="formula" val="3*MAX(MAX(ABS($F$20:$F$27)),0.01)"/>
        <color rgb="FF63BE7B"/>
      </dataBar>
      <extLst>
        <ext xmlns:x14="http://schemas.microsoft.com/office/spreadsheetml/2009/9/main" uri="{B025F937-C7B1-47D3-B67F-A62EFF666E3E}">
          <x14:id>{FD0BA8C5-DE79-4347-A4E9-3801B54CEAA5}</x14:id>
        </ext>
      </extLst>
    </cfRule>
  </conditionalFormatting>
  <conditionalFormatting sqref="I9">
    <cfRule type="containsText" dxfId="7" priority="4" operator="containsText" text="Hot">
      <formula>NOT(ISERROR(SEARCH("Hot",I9)))</formula>
    </cfRule>
  </conditionalFormatting>
  <conditionalFormatting sqref="I9">
    <cfRule type="containsText" dxfId="6" priority="5" operator="containsText" text="Warm">
      <formula>NOT(ISERROR(SEARCH("Warm",I9)))</formula>
    </cfRule>
  </conditionalFormatting>
  <conditionalFormatting sqref="I9">
    <cfRule type="containsText" dxfId="5" priority="6" operator="containsText" text="Cold">
      <formula>NOT(ISERROR(SEARCH("Cold",I9)))</formula>
    </cfRule>
  </conditionalFormatting>
  <conditionalFormatting sqref="I22">
    <cfRule type="beginsWith" dxfId="4" priority="7" operator="beginsWith" text="Small sample">
      <formula>LEFT(I22,LEN("Small sample"))="Small sample"</formula>
    </cfRule>
  </conditionalFormatting>
  <conditionalFormatting sqref="I21">
    <cfRule type="beginsWith" dxfId="3" priority="8" operator="beginsWith" text="No exact">
      <formula>LEFT(I21,LEN("No exact"))="No exact"</formula>
    </cfRule>
  </conditionalFormatting>
  <dataValidations count="8">
    <dataValidation type="list" allowBlank="1" showInputMessage="1" showErrorMessage="1" errorTitle="Invalid selection" error="Pick a value from the list, or (Any)." sqref="B8" xr:uid="{02307FAA-F270-4D5C-BFD9-9116F3326764}">
      <formula1>_xlfn.ANCHORARRAY($L$8)</formula1>
    </dataValidation>
    <dataValidation type="list" allowBlank="1" showInputMessage="1" showErrorMessage="1" errorTitle="Invalid selection" error="Pick a value from the list, or (Any)." sqref="B9" xr:uid="{758E1532-4C5A-4326-BA85-EBADB51F7EFF}">
      <formula1>_xlfn.ANCHORARRAY($M$8)</formula1>
    </dataValidation>
    <dataValidation type="list" allowBlank="1" showInputMessage="1" showErrorMessage="1" errorTitle="Invalid selection" error="Pick a value from the list, or (Any)." sqref="B10" xr:uid="{2C4E5EA3-E014-4875-86D6-F24712F56DB0}">
      <formula1>_xlfn.ANCHORARRAY($N$8)</formula1>
    </dataValidation>
    <dataValidation type="list" allowBlank="1" showInputMessage="1" showErrorMessage="1" errorTitle="Invalid selection" error="Pick a value from the list, or (Any)." sqref="B11" xr:uid="{BA06F350-F8D4-49A2-AA7D-E16CAB0E468F}">
      <formula1>_xlfn.ANCHORARRAY($O$8)</formula1>
    </dataValidation>
    <dataValidation type="list" allowBlank="1" showInputMessage="1" showErrorMessage="1" errorTitle="Invalid selection" error="Pick a value from the list, or (Any)." sqref="B12" xr:uid="{2DE7ADEE-9851-44C0-8FA6-840334D5AE21}">
      <formula1>_xlfn.ANCHORARRAY($P$8)</formula1>
    </dataValidation>
    <dataValidation type="list" allowBlank="1" showInputMessage="1" showErrorMessage="1" errorTitle="Invalid selection" error="Pick a value from the list, or (Any)." sqref="B13" xr:uid="{F0237AFA-34CD-4972-B79F-4F5297077BAB}">
      <formula1>_xlfn.ANCHORARRAY($Q$8)</formula1>
    </dataValidation>
    <dataValidation type="list" allowBlank="1" showInputMessage="1" showErrorMessage="1" errorTitle="Invalid selection" error="Pick a value from the list, or (Any)." sqref="B14" xr:uid="{E37A2906-6A9C-4B34-9625-CDC78729AEB0}">
      <formula1>_xlfn.ANCHORARRAY($R$8)</formula1>
    </dataValidation>
    <dataValidation type="list" allowBlank="1" showInputMessage="1" showErrorMessage="1" errorTitle="Invalid selection" error="Pick a value from the list, or (Any)." sqref="B15" xr:uid="{96BB5520-CBE3-4E99-ADB2-69D4857CF557}">
      <formula1>_xlfn.ANCHORARRAY($S$8)</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D0BA8C5-DE79-4347-A4E9-3801B54CEAA5}">
            <x14:dataBar minLength="0" maxLength="100" gradient="0" direction="leftToRight" axisPosition="middle">
              <x14:cfvo type="formula">
                <xm:f>-3*MAX(MAX(ABS($F$20:$F$27)),0.01)</xm:f>
              </x14:cfvo>
              <x14:cfvo type="formula">
                <xm:f>3*MAX(MAX(ABS($F$20:$F$27)),0.01)</xm:f>
              </x14:cfvo>
              <x14:negativeFillColor rgb="FFF8696B"/>
              <x14:axisColor rgb="FF000000"/>
            </x14:dataBar>
          </x14:cfRule>
          <xm:sqref>F20:F27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19C60-57C8-4852-825F-FB765B4EB3A8}">
  <dimension ref="A1:F81"/>
  <sheetViews>
    <sheetView showGridLines="0" workbookViewId="0"/>
  </sheetViews>
  <sheetFormatPr defaultRowHeight="15" x14ac:dyDescent="0.25"/>
  <cols>
    <col min="1" max="1" width="21" bestFit="1" customWidth="1"/>
    <col min="2" max="2" width="11" bestFit="1" customWidth="1"/>
    <col min="3" max="3" width="18.140625" customWidth="1"/>
  </cols>
  <sheetData>
    <row r="1" spans="1:6" ht="23.25" x14ac:dyDescent="0.35">
      <c r="A1" s="4" t="s">
        <v>413</v>
      </c>
    </row>
    <row r="2" spans="1:6" x14ac:dyDescent="0.25">
      <c r="A2" s="166" t="s">
        <v>348</v>
      </c>
    </row>
    <row r="4" spans="1:6" ht="15.75" x14ac:dyDescent="0.25">
      <c r="A4" s="167" t="s">
        <v>414</v>
      </c>
      <c r="E4" s="162" t="s">
        <v>305</v>
      </c>
      <c r="F4" s="176">
        <v>10</v>
      </c>
    </row>
    <row r="5" spans="1:6" x14ac:dyDescent="0.25">
      <c r="A5" t="s">
        <v>172</v>
      </c>
      <c r="B5" t="s">
        <v>173</v>
      </c>
      <c r="C5" t="s">
        <v>174</v>
      </c>
      <c r="E5" s="166" t="s">
        <v>415</v>
      </c>
    </row>
    <row r="6" spans="1:6" x14ac:dyDescent="0.25">
      <c r="A6" s="163">
        <v>1000</v>
      </c>
      <c r="B6" s="163">
        <v>481</v>
      </c>
      <c r="C6" s="164">
        <v>0.48099999999999998</v>
      </c>
    </row>
    <row r="8" spans="1:6" x14ac:dyDescent="0.25">
      <c r="E8" s="162" t="s">
        <v>341</v>
      </c>
    </row>
    <row r="9" spans="1:6" x14ac:dyDescent="0.25">
      <c r="E9" t="s">
        <v>115</v>
      </c>
      <c r="F9" t="str">
        <f>"Purchase Rate by "&amp;E9&amp;" (overall avg "&amp;TEXT(Baseline_Rate,"0.0%")&amp;")"</f>
        <v>Purchase Rate by Age Band (overall avg 48.1%)</v>
      </c>
    </row>
    <row r="10" spans="1:6" ht="15.75" x14ac:dyDescent="0.25">
      <c r="A10" s="167" t="s">
        <v>249</v>
      </c>
      <c r="E10" t="s">
        <v>9</v>
      </c>
      <c r="F10" t="str">
        <f>"Purchase Rate by "&amp;E10&amp;" (overall avg "&amp;TEXT(Baseline_Rate,"0.0%")&amp;")"</f>
        <v>Purchase Rate by Commute Distance (overall avg 48.1%)</v>
      </c>
    </row>
    <row r="11" spans="1:6" x14ac:dyDescent="0.25">
      <c r="A11" s="165" t="s">
        <v>115</v>
      </c>
      <c r="B11" t="s">
        <v>174</v>
      </c>
      <c r="E11" t="s">
        <v>342</v>
      </c>
      <c r="F11" t="str">
        <f>"Purchase Rate by "&amp;E11&amp;" (overall avg "&amp;TEXT(Baseline_Rate,"0.0%")&amp;")"</f>
        <v>Purchase Rate by Cars Owned (overall avg 48.1%)</v>
      </c>
    </row>
    <row r="12" spans="1:6" x14ac:dyDescent="0.25">
      <c r="A12" t="s">
        <v>211</v>
      </c>
      <c r="B12" s="164">
        <v>0.35454545454545455</v>
      </c>
      <c r="E12" t="s">
        <v>343</v>
      </c>
      <c r="F12" t="str">
        <f>"Purchase Rate by "&amp;E12&amp;" (overall avg "&amp;TEXT(Baseline_Rate,"0.0%")&amp;")"</f>
        <v>Purchase Rate by Number of Children (overall avg 48.1%)</v>
      </c>
    </row>
    <row r="13" spans="1:6" x14ac:dyDescent="0.25">
      <c r="A13" t="s">
        <v>212</v>
      </c>
      <c r="B13" s="164">
        <v>0.61075949367088611</v>
      </c>
    </row>
    <row r="14" spans="1:6" x14ac:dyDescent="0.25">
      <c r="A14" t="s">
        <v>213</v>
      </c>
      <c r="B14" s="164">
        <v>0.46644295302013422</v>
      </c>
    </row>
    <row r="15" spans="1:6" x14ac:dyDescent="0.25">
      <c r="A15" t="s">
        <v>214</v>
      </c>
      <c r="B15" s="164">
        <v>0.45454545454545453</v>
      </c>
    </row>
    <row r="16" spans="1:6" x14ac:dyDescent="0.25">
      <c r="A16" t="s">
        <v>215</v>
      </c>
      <c r="B16" s="164">
        <v>0.3</v>
      </c>
    </row>
    <row r="20" spans="1:2" ht="15.75" x14ac:dyDescent="0.25">
      <c r="A20" s="167" t="s">
        <v>250</v>
      </c>
    </row>
    <row r="21" spans="1:2" x14ac:dyDescent="0.25">
      <c r="A21" s="165" t="s">
        <v>9</v>
      </c>
      <c r="B21" t="s">
        <v>174</v>
      </c>
    </row>
    <row r="22" spans="1:2" x14ac:dyDescent="0.25">
      <c r="A22" t="s">
        <v>18</v>
      </c>
      <c r="B22" s="164">
        <v>0.54644808743169404</v>
      </c>
    </row>
    <row r="23" spans="1:2" x14ac:dyDescent="0.25">
      <c r="A23" t="s">
        <v>29</v>
      </c>
      <c r="B23" s="164">
        <v>0.45562130177514792</v>
      </c>
    </row>
    <row r="24" spans="1:2" x14ac:dyDescent="0.25">
      <c r="A24" t="s">
        <v>24</v>
      </c>
      <c r="B24" s="164">
        <v>0.5864197530864198</v>
      </c>
    </row>
    <row r="25" spans="1:2" x14ac:dyDescent="0.25">
      <c r="A25" t="s">
        <v>26</v>
      </c>
      <c r="B25" s="164">
        <v>0.39583333333333331</v>
      </c>
    </row>
    <row r="26" spans="1:2" x14ac:dyDescent="0.25">
      <c r="A26" t="s">
        <v>33</v>
      </c>
      <c r="B26" s="164">
        <v>0.29729729729729731</v>
      </c>
    </row>
    <row r="30" spans="1:2" ht="15.75" x14ac:dyDescent="0.25">
      <c r="A30" s="167" t="s">
        <v>251</v>
      </c>
    </row>
    <row r="31" spans="1:2" x14ac:dyDescent="0.25">
      <c r="A31" s="165" t="s">
        <v>8</v>
      </c>
      <c r="B31" t="s">
        <v>174</v>
      </c>
    </row>
    <row r="32" spans="1:2" x14ac:dyDescent="0.25">
      <c r="A32">
        <v>0</v>
      </c>
      <c r="B32" s="164">
        <v>0.61133603238866396</v>
      </c>
    </row>
    <row r="33" spans="1:2" x14ac:dyDescent="0.25">
      <c r="A33">
        <v>1</v>
      </c>
      <c r="B33" s="164">
        <v>0.56928838951310856</v>
      </c>
    </row>
    <row r="34" spans="1:2" x14ac:dyDescent="0.25">
      <c r="A34">
        <v>2</v>
      </c>
      <c r="B34" s="164">
        <v>0.36257309941520466</v>
      </c>
    </row>
    <row r="35" spans="1:2" x14ac:dyDescent="0.25">
      <c r="A35">
        <v>3</v>
      </c>
      <c r="B35" s="164">
        <v>0.38823529411764707</v>
      </c>
    </row>
    <row r="36" spans="1:2" x14ac:dyDescent="0.25">
      <c r="A36">
        <v>4</v>
      </c>
      <c r="B36" s="164">
        <v>0.3559322033898305</v>
      </c>
    </row>
    <row r="40" spans="1:2" ht="15.75" x14ac:dyDescent="0.25">
      <c r="A40" s="167" t="s">
        <v>252</v>
      </c>
    </row>
    <row r="41" spans="1:2" x14ac:dyDescent="0.25">
      <c r="A41" s="165" t="s">
        <v>4</v>
      </c>
      <c r="B41" t="s">
        <v>174</v>
      </c>
    </row>
    <row r="42" spans="1:2" x14ac:dyDescent="0.25">
      <c r="A42">
        <v>0</v>
      </c>
      <c r="B42" s="164">
        <v>0.50533807829181498</v>
      </c>
    </row>
    <row r="43" spans="1:2" x14ac:dyDescent="0.25">
      <c r="A43">
        <v>1</v>
      </c>
      <c r="B43" s="164">
        <v>0.57396449704142016</v>
      </c>
    </row>
    <row r="44" spans="1:2" x14ac:dyDescent="0.25">
      <c r="A44">
        <v>2</v>
      </c>
      <c r="B44" s="164">
        <v>0.46411483253588515</v>
      </c>
    </row>
    <row r="45" spans="1:2" x14ac:dyDescent="0.25">
      <c r="A45">
        <v>3</v>
      </c>
      <c r="B45" s="164">
        <v>0.54477611940298509</v>
      </c>
    </row>
    <row r="46" spans="1:2" x14ac:dyDescent="0.25">
      <c r="A46">
        <v>4</v>
      </c>
      <c r="B46" s="164">
        <v>0.42857142857142855</v>
      </c>
    </row>
    <row r="47" spans="1:2" x14ac:dyDescent="0.25">
      <c r="A47">
        <v>5</v>
      </c>
      <c r="B47" s="164">
        <v>0.22222222222222221</v>
      </c>
    </row>
    <row r="51" spans="1:2" ht="15.75" x14ac:dyDescent="0.25">
      <c r="A51" s="167" t="s">
        <v>253</v>
      </c>
    </row>
    <row r="52" spans="1:2" x14ac:dyDescent="0.25">
      <c r="A52" s="165" t="s">
        <v>119</v>
      </c>
      <c r="B52" t="s">
        <v>174</v>
      </c>
    </row>
    <row r="53" spans="1:2" x14ac:dyDescent="0.25">
      <c r="A53" t="s">
        <v>209</v>
      </c>
      <c r="B53" s="164">
        <v>0.58949416342412453</v>
      </c>
    </row>
    <row r="54" spans="1:2" x14ac:dyDescent="0.25">
      <c r="A54" t="s">
        <v>210</v>
      </c>
      <c r="B54" s="164">
        <v>0.36625514403292181</v>
      </c>
    </row>
    <row r="58" spans="1:2" ht="15.75" x14ac:dyDescent="0.25">
      <c r="A58" s="167" t="s">
        <v>302</v>
      </c>
    </row>
    <row r="59" spans="1:2" x14ac:dyDescent="0.25">
      <c r="A59" s="165" t="s">
        <v>115</v>
      </c>
      <c r="B59" t="s">
        <v>172</v>
      </c>
    </row>
    <row r="60" spans="1:2" x14ac:dyDescent="0.25">
      <c r="A60" t="s">
        <v>211</v>
      </c>
      <c r="B60" s="163">
        <v>110</v>
      </c>
    </row>
    <row r="61" spans="1:2" x14ac:dyDescent="0.25">
      <c r="A61" t="s">
        <v>212</v>
      </c>
      <c r="B61" s="163">
        <v>316</v>
      </c>
    </row>
    <row r="62" spans="1:2" x14ac:dyDescent="0.25">
      <c r="A62" t="s">
        <v>213</v>
      </c>
      <c r="B62" s="163">
        <v>298</v>
      </c>
    </row>
    <row r="63" spans="1:2" x14ac:dyDescent="0.25">
      <c r="A63" t="s">
        <v>214</v>
      </c>
      <c r="B63" s="163">
        <v>176</v>
      </c>
    </row>
    <row r="64" spans="1:2" x14ac:dyDescent="0.25">
      <c r="A64" t="s">
        <v>215</v>
      </c>
      <c r="B64" s="163">
        <v>100</v>
      </c>
    </row>
    <row r="68" spans="1:2" ht="15.75" x14ac:dyDescent="0.25">
      <c r="A68" s="167" t="s">
        <v>303</v>
      </c>
    </row>
    <row r="69" spans="1:2" x14ac:dyDescent="0.25">
      <c r="A69" s="165" t="s">
        <v>9</v>
      </c>
      <c r="B69" t="s">
        <v>172</v>
      </c>
    </row>
    <row r="70" spans="1:2" x14ac:dyDescent="0.25">
      <c r="A70" t="s">
        <v>18</v>
      </c>
      <c r="B70" s="163">
        <v>366</v>
      </c>
    </row>
    <row r="71" spans="1:2" x14ac:dyDescent="0.25">
      <c r="A71" t="s">
        <v>29</v>
      </c>
      <c r="B71" s="163">
        <v>169</v>
      </c>
    </row>
    <row r="72" spans="1:2" x14ac:dyDescent="0.25">
      <c r="A72" t="s">
        <v>24</v>
      </c>
      <c r="B72" s="163">
        <v>162</v>
      </c>
    </row>
    <row r="73" spans="1:2" x14ac:dyDescent="0.25">
      <c r="A73" t="s">
        <v>26</v>
      </c>
      <c r="B73" s="163">
        <v>192</v>
      </c>
    </row>
    <row r="74" spans="1:2" x14ac:dyDescent="0.25">
      <c r="A74" t="s">
        <v>33</v>
      </c>
      <c r="B74" s="163">
        <v>111</v>
      </c>
    </row>
    <row r="78" spans="1:2" ht="15.75" x14ac:dyDescent="0.25">
      <c r="A78" s="167" t="s">
        <v>304</v>
      </c>
    </row>
    <row r="79" spans="1:2" x14ac:dyDescent="0.25">
      <c r="A79" s="165" t="s">
        <v>119</v>
      </c>
      <c r="B79" t="s">
        <v>172</v>
      </c>
    </row>
    <row r="80" spans="1:2" x14ac:dyDescent="0.25">
      <c r="A80" t="s">
        <v>209</v>
      </c>
      <c r="B80" s="163">
        <v>514</v>
      </c>
    </row>
    <row r="81" spans="1:2" x14ac:dyDescent="0.25">
      <c r="A81" t="s">
        <v>210</v>
      </c>
      <c r="B81" s="163">
        <v>486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EC11-620C-4CCC-A1DD-63588584449B}">
  <dimension ref="A1:E40"/>
  <sheetViews>
    <sheetView showGridLines="0" workbookViewId="0"/>
  </sheetViews>
  <sheetFormatPr defaultRowHeight="15" x14ac:dyDescent="0.25"/>
  <cols>
    <col min="1" max="1" width="7.5703125" customWidth="1"/>
    <col min="2" max="2" width="57.140625" customWidth="1"/>
    <col min="3" max="3" width="64.7109375" customWidth="1"/>
    <col min="4" max="4" width="32.42578125" customWidth="1"/>
    <col min="5" max="5" width="15.28515625" customWidth="1"/>
  </cols>
  <sheetData>
    <row r="1" spans="1:5" ht="23.25" x14ac:dyDescent="0.35">
      <c r="A1" s="4" t="s">
        <v>416</v>
      </c>
      <c r="B1" s="3"/>
      <c r="C1" s="3"/>
      <c r="D1" s="3"/>
      <c r="E1" s="3"/>
    </row>
    <row r="2" spans="1:5" x14ac:dyDescent="0.25">
      <c r="A2" s="5" t="s">
        <v>349</v>
      </c>
      <c r="B2" s="3"/>
      <c r="C2" s="3"/>
      <c r="D2" s="3"/>
      <c r="E2" s="3"/>
    </row>
    <row r="3" spans="1:5" x14ac:dyDescent="0.25">
      <c r="A3" s="3"/>
      <c r="B3" s="3"/>
      <c r="C3" s="3"/>
      <c r="D3" s="3"/>
      <c r="E3" s="3"/>
    </row>
    <row r="4" spans="1:5" ht="18.75" x14ac:dyDescent="0.3">
      <c r="A4" s="9" t="s">
        <v>417</v>
      </c>
      <c r="B4" s="3"/>
      <c r="C4" s="3"/>
      <c r="D4" s="3"/>
      <c r="E4" s="3"/>
    </row>
    <row r="5" spans="1:5" ht="21.95" customHeight="1" x14ac:dyDescent="0.25">
      <c r="A5" s="178" t="str">
        <f>"Of "&amp;TEXT(Total_Customers,"#,##0")&amp;" customers, "&amp;TEXT(Baseline_Rate,"0.0%")&amp;" bought a bike."</f>
        <v>Of 1,000 customers, 48.1% bought a bike.</v>
      </c>
      <c r="B5" s="177"/>
      <c r="C5" s="177"/>
      <c r="D5" s="177"/>
      <c r="E5" s="177"/>
    </row>
    <row r="6" spans="1:5" ht="21.95" customHeight="1" x14ac:dyDescent="0.25">
      <c r="A6" s="178" t="str">
        <f>"Targeting the top "&amp;TEXT(_xlfn.XLOOKUP("Hot",tbl_TierSummary[Tier],tbl_TierSummary[Customers])/Total_Customers,"0%")&amp;" by lead score reaches "&amp;TEXT(_xlfn.XLOOKUP("Hot",tbl_TierSummary[Tier],tbl_TierSummary[Share of All Buyers]),"0.0%")&amp;" of all buyers at a "&amp;TEXT(_xlfn.XLOOKUP("Hot",tbl_TierSummary[Tier],tbl_TierSummary[Purchase Rate]),"0.0%")&amp;" purchase rate, "&amp;TEXT(_xlfn.XLOOKUP("Hot",tbl_TierSummary[Tier],tbl_TierSummary[Lift vs Avg]),"0.00")&amp;"x the average."</f>
        <v>Targeting the top 30% by lead score reaches 43.9% of all buyers at a 70.3% purchase rate, 1.46x the average.</v>
      </c>
      <c r="B6" s="177"/>
      <c r="C6" s="177"/>
      <c r="D6" s="177"/>
      <c r="E6" s="177"/>
    </row>
    <row r="7" spans="1:5" ht="21.95" customHeight="1" x14ac:dyDescent="0.25">
      <c r="A7" s="178" t="str">
        <f>IFERROR(IF(AND(_xlfn.XLOOKUP("Car Ownership",tbl_Significance[Factor],tbl_Significance[Significant?])="Yes",_xlfn.XLOOKUP("Age Band",tbl_Significance[Factor],tbl_Significance[Significant?])="Yes",_xlfn.XLOOKUP("Commute Distance",tbl_Significance[Factor],tbl_Significance[Significant?])="Yes",_xlfn.XLOOKUP("Gender",tbl_Significance[Factor],tbl_Significance[Significant?])="No",_xlfn.XLOOKUP("Home Owner",tbl_Significance[Factor],tbl_Significance[Significant?])="No",_xlfn.XLOOKUP("Occupation",tbl_Significance[Factor],tbl_Significance[Significant?])="No"),"Car ownership, age and commute distance have the biggest effect. Gender, home ownership and occupation make no significant difference.","Factor results have changed. See Significance_Tests for which factors matter."),"See Significance_Tests for which factors matter.")</f>
        <v>Car ownership, age and commute distance have the biggest effect. Gender, home ownership and occupation make no significant difference.</v>
      </c>
      <c r="B7" s="177"/>
      <c r="C7" s="177"/>
      <c r="D7" s="177"/>
      <c r="E7" s="177"/>
    </row>
    <row r="8" spans="1:5" x14ac:dyDescent="0.25">
      <c r="A8" s="3"/>
      <c r="B8" s="3"/>
      <c r="C8" s="3"/>
      <c r="D8" s="3"/>
      <c r="E8" s="3"/>
    </row>
    <row r="9" spans="1:5" ht="18.75" x14ac:dyDescent="0.3">
      <c r="A9" s="9" t="s">
        <v>59</v>
      </c>
      <c r="B9" s="3"/>
      <c r="C9" s="3"/>
      <c r="D9" s="3"/>
      <c r="E9" s="3"/>
    </row>
    <row r="10" spans="1:5" x14ac:dyDescent="0.25">
      <c r="A10" s="10" t="s">
        <v>271</v>
      </c>
      <c r="B10" s="10" t="s">
        <v>309</v>
      </c>
      <c r="C10" s="10" t="s">
        <v>310</v>
      </c>
      <c r="D10" s="10" t="s">
        <v>311</v>
      </c>
      <c r="E10" s="10" t="s">
        <v>312</v>
      </c>
    </row>
    <row r="11" spans="1:5" ht="30" x14ac:dyDescent="0.25">
      <c r="A11" s="17">
        <v>1</v>
      </c>
      <c r="B11" s="6" t="s">
        <v>425</v>
      </c>
      <c r="C11" s="6" t="str">
        <f>"Hot tier: "&amp;TEXT(_xlfn.XLOOKUP("Hot",tbl_TierSummary[Tier],tbl_TierSummary[Purchase Rate]),"0.0%")&amp;" purchase rate, "&amp;TEXT(_xlfn.XLOOKUP("Hot",tbl_TierSummary[Tier],tbl_TierSummary[Lift vs Avg]),"0.00")&amp;"x average, "&amp;TEXT(_xlfn.XLOOKUP("Hot",tbl_TierSummary[Tier],tbl_TierSummary[Share of All Buyers]),"0.0%")&amp;" of all buyers from "&amp;TEXT(_xlfn.XLOOKUP("Hot",tbl_TierSummary[Tier],tbl_TierSummary[Customers])/Total_Customers,"0%")&amp;" of customers"</f>
        <v>Hot tier: 70.3% purchase rate, 1.46x average, 43.9% of all buyers from 30% of customers</v>
      </c>
      <c r="D11" s="6" t="s">
        <v>56</v>
      </c>
      <c r="E11" s="27" t="s">
        <v>313</v>
      </c>
    </row>
    <row r="12" spans="1:5" ht="30" x14ac:dyDescent="0.25">
      <c r="A12" s="17">
        <v>2</v>
      </c>
      <c r="B12" s="6" t="s">
        <v>426</v>
      </c>
      <c r="C12" s="6" t="str">
        <f>_xlfn.LET(_xlpm.a,_xlfn.XLOOKUP("Car Ownership|0-1 Cars",tbl_SegmentRates[Key],tbl_SegmentRates[Purchase Rate]),_xlpm.b,_xlfn.XLOOKUP("Car Ownership|2+ Cars",tbl_SegmentRates[Key],tbl_SegmentRates[Purchase Rate]),_xlpm.v,_xlfn.XLOOKUP("Car Ownership",tbl_Significance[Factor],tbl_Significance[Cramér''s V]),"0-1 Cars "&amp;TEXT(_xlpm.a,"0.0%")&amp;" vs 2+ Cars "&amp;TEXT(_xlpm.b,"0.0%")&amp;" ("&amp;TEXT((_xlpm.a-_xlpm.b)*100,"+0.0;-0.0;0.0")&amp;" pp); strongest factor used in the model (Cramér's V "&amp;TEXT(_xlpm.v,"0.000")&amp;")")</f>
        <v>0-1 Cars 58.9% vs 2+ Cars 36.6% (+22.3 pp); strongest factor used in the model (Cramér's V 0.223)</v>
      </c>
      <c r="D12" s="6" t="s">
        <v>314</v>
      </c>
      <c r="E12" s="27" t="s">
        <v>313</v>
      </c>
    </row>
    <row r="13" spans="1:5" x14ac:dyDescent="0.25">
      <c r="A13" s="17">
        <v>3</v>
      </c>
      <c r="B13" s="6" t="s">
        <v>427</v>
      </c>
      <c r="C13" s="6" t="str">
        <f>_xlfn.LET(_xlpm.r,_xlfn.XLOOKUP("Age Band|31-40",tbl_SegmentRates[Key],tbl_SegmentRates[Purchase Rate]),"31-40: "&amp;TEXT(_xlpm.r,"0.0%")&amp;" ("&amp;TEXT(_xlpm.r/Baseline_Rate,"0.00")&amp;"x avg, n = "&amp;TEXT(_xlfn.XLOOKUP("Age Band|31-40",tbl_SegmentRates[Key],tbl_SegmentRates[Customers]),"#,##0")&amp;") vs 61+: "&amp;TEXT(_xlfn.XLOOKUP("Age Band|61+",tbl_SegmentRates[Key],tbl_SegmentRates[Purchase Rate]),"0.0%")&amp;" and 25-30: "&amp;TEXT(_xlfn.XLOOKUP("Age Band|25-30",tbl_SegmentRates[Key],tbl_SegmentRates[Purchase Rate]),"0.0%"))</f>
        <v>31-40: 61.1% (1.27x avg, n = 316) vs 61+: 30.0% and 25-30: 35.5%</v>
      </c>
      <c r="D13" s="6" t="s">
        <v>54</v>
      </c>
      <c r="E13" s="27" t="s">
        <v>313</v>
      </c>
    </row>
    <row r="14" spans="1:5" ht="30" x14ac:dyDescent="0.25">
      <c r="A14" s="17">
        <v>4</v>
      </c>
      <c r="B14" s="6" t="s">
        <v>428</v>
      </c>
      <c r="C14" s="6" t="str">
        <f>"0-1 Miles "&amp;TEXT(_xlfn.XLOOKUP("Commute Distance|0-1 Miles",tbl_SegmentRates[Key],tbl_SegmentRates[Purchase Rate]),"0.0%")&amp;", 2-5 Miles "&amp;TEXT(_xlfn.XLOOKUP("Commute Distance|2-5 Miles",tbl_SegmentRates[Key],tbl_SegmentRates[Purchase Rate]),"0.0%")&amp;" vs 10+ Miles "&amp;TEXT(_xlfn.XLOOKUP("Commute Distance|10+ Miles",tbl_SegmentRates[Key],tbl_SegmentRates[Purchase Rate]),"0.0%")</f>
        <v>0-1 Miles 54.6%, 2-5 Miles 58.6% vs 10+ Miles 29.7%</v>
      </c>
      <c r="D14" s="6" t="s">
        <v>54</v>
      </c>
      <c r="E14" s="27" t="s">
        <v>315</v>
      </c>
    </row>
    <row r="15" spans="1:5" ht="30" x14ac:dyDescent="0.25">
      <c r="A15" s="17">
        <v>5</v>
      </c>
      <c r="B15" s="6" t="s">
        <v>429</v>
      </c>
      <c r="C15" s="6" t="str">
        <f>"Pacific "&amp;TEXT(_xlfn.XLOOKUP("Region|Pacific",tbl_SegmentRates[Key],tbl_SegmentRates[Purchase Rate]),"0.0%")&amp;" vs North America "&amp;TEXT(_xlfn.XLOOKUP("Region|North America",tbl_SegmentRates[Key],tbl_SegmentRates[Purchase Rate]),"0.0%")&amp;" (largest region, n = "&amp;TEXT(_xlfn.XLOOKUP("Region|North America",tbl_SegmentRates[Key],tbl_SegmentRates[Customers]),"#,##0")&amp;")"</f>
        <v>Pacific 58.9% vs North America 43.3% (largest region, n = 508)</v>
      </c>
      <c r="D15" s="6" t="s">
        <v>54</v>
      </c>
      <c r="E15" s="27" t="s">
        <v>315</v>
      </c>
    </row>
    <row r="16" spans="1:5" ht="30" x14ac:dyDescent="0.25">
      <c r="A16" s="17">
        <v>6</v>
      </c>
      <c r="B16" s="6" t="s">
        <v>316</v>
      </c>
      <c r="C16" s="6" t="str">
        <f>"p-values "&amp;TEXT(_xlfn.XLOOKUP("Gender",tbl_Significance[Factor],tbl_Significance[p-value]),"0.00")&amp;", "&amp;TEXT(_xlfn.XLOOKUP("Home Owner",tbl_Significance[Factor],tbl_Significance[p-value]),"0.00")&amp;", "&amp;TEXT(_xlfn.XLOOKUP("Occupation",tbl_Significance[Factor],tbl_Significance[p-value]),"0.00")&amp;" (no significant difference)"</f>
        <v>p-values 0.63, 0.63, 0.09 (no significant difference)</v>
      </c>
      <c r="D16" s="6" t="s">
        <v>55</v>
      </c>
      <c r="E16" s="27" t="s">
        <v>315</v>
      </c>
    </row>
    <row r="17" spans="1:5" ht="30" x14ac:dyDescent="0.25">
      <c r="A17" s="17">
        <v>7</v>
      </c>
      <c r="B17" s="6" t="s">
        <v>317</v>
      </c>
      <c r="C17" s="6" t="str">
        <f>_xlfn.LET(_xlpm.raw,Baseline_Rate+_xlfn.XLOOKUP("Car Ownership",tbl_Weights[Factor],tbl_Weights[Weight])*(_xlfn.XLOOKUP("Car Ownership|0-1 Cars",tbl_SegmentRates[Key],tbl_SegmentRates[Purchase Rate])-Baseline_Rate)+_xlfn.XLOOKUP("Age Band",tbl_Weights[Factor],tbl_Weights[Weight])*(_xlfn.XLOOKUP("Age Band|31-40",tbl_SegmentRates[Key],tbl_SegmentRates[Purchase Rate])-Baseline_Rate),_xlpm.mn,MIN(_xlfn.ANCHORARRAY(Lead_Scoring!$T$5)),_xlpm.mx,MAX(_xlfn.ANCHORARRAY(Lead_Scoring!$T$5)),_xlpm.score,MAX(0,MIN(100,(_xlpm.raw-_xlpm.mn)/(_xlpm.mx-_xlpm.mn)*100)),_xlpm.hot,_xlfn.MINIFS(_xlfn.ANCHORARRAY(Lead_Scoring!$U$5),_xlfn.ANCHORARRAY(Lead_Scoring!$W$5),Hot_Cutoff),_xlpm.warm,_xlfn.MINIFS(_xlfn.ANCHORARRAY(Lead_Scoring!$U$5),_xlfn.ANCHORARRAY(Lead_Scoring!$W$5),Warm_Cutoff),_xlpm.tier,IF(_xlpm.score&gt;=_xlpm.hot,"Hot",IF(_xlpm.score&gt;=_xlpm.warm,"Warm","Cold")),_xlpm.model,_xlfn.XLOOKUP(_xlpm.tier,tbl_TierSummary[Tier],tbl_TierSummary[Purchase Rate]),_xlpm.n,COUNTIFS(tbl_Clean[Car Ownership],"0-1 Cars",tbl_Clean[Age Band],"31-40"),_xlpm.b,COUNTIFS(tbl_Clean[Car Ownership],"0-1 Cars",tbl_Clean[Age Band],"31-40",tbl_Clean[Purchased Flag],1),"Profile 0-1 Cars + 31-40: model "&amp;TEXT(_xlpm.model,"0.0%")&amp;" vs "&amp;TEXT(_xlpm.b/_xlpm.n,"0.0%")&amp;" actual (n = "&amp;TEXT(_xlpm.n,"#,##0")&amp;")")</f>
        <v>Profile 0-1 Cars + 31-40: model 70.3% vs 70.9% actual (n = 223)</v>
      </c>
      <c r="D17" s="6" t="s">
        <v>57</v>
      </c>
      <c r="E17" s="27" t="s">
        <v>318</v>
      </c>
    </row>
    <row r="18" spans="1:5" x14ac:dyDescent="0.25">
      <c r="A18" s="3"/>
      <c r="B18" s="3"/>
      <c r="C18" s="3"/>
      <c r="D18" s="3"/>
      <c r="E18" s="3"/>
    </row>
    <row r="19" spans="1:5" ht="18.75" x14ac:dyDescent="0.3">
      <c r="A19" s="9" t="s">
        <v>319</v>
      </c>
      <c r="B19" s="3"/>
      <c r="C19" s="3"/>
      <c r="D19" s="3"/>
      <c r="E19" s="3"/>
    </row>
    <row r="20" spans="1:5" x14ac:dyDescent="0.25">
      <c r="A20" s="3"/>
      <c r="B20" s="10" t="s">
        <v>320</v>
      </c>
      <c r="C20" s="10" t="s">
        <v>321</v>
      </c>
      <c r="D20" s="10" t="s">
        <v>322</v>
      </c>
      <c r="E20" s="3"/>
    </row>
    <row r="21" spans="1:5" ht="30" x14ac:dyDescent="0.25">
      <c r="A21" s="3"/>
      <c r="B21" s="6" t="str">
        <f>"In-sample model: scores built and evaluated on the same "&amp;TEXT(Total_Customers,"#,##0")&amp;" customers"</f>
        <v>In-sample model: scores built and evaluated on the same 1,000 customers</v>
      </c>
      <c r="C21" s="6" t="s">
        <v>323</v>
      </c>
      <c r="D21" s="6" t="s">
        <v>324</v>
      </c>
      <c r="E21" s="3"/>
    </row>
    <row r="22" spans="1:5" ht="30" x14ac:dyDescent="0.25">
      <c r="A22" s="3"/>
      <c r="B22" s="6" t="s">
        <v>325</v>
      </c>
      <c r="C22" s="6" t="s">
        <v>326</v>
      </c>
      <c r="D22" s="6" t="s">
        <v>327</v>
      </c>
      <c r="E22" s="3"/>
    </row>
    <row r="23" spans="1:5" ht="30" x14ac:dyDescent="0.25">
      <c r="A23" s="3"/>
      <c r="B23" s="6" t="str">
        <f>"Uneven middle deciles (decile 8 converts at "&amp;TEXT(INDEX(tbl_Gains[Purchase Rate],8),"0%")&amp;", above deciles 4–7)"</f>
        <v>Uneven middle deciles (decile 8 converts at 53%, above deciles 4–7)</v>
      </c>
      <c r="C23" s="6" t="s">
        <v>328</v>
      </c>
      <c r="D23" s="6" t="s">
        <v>329</v>
      </c>
      <c r="E23" s="3"/>
    </row>
    <row r="24" spans="1:5" ht="30" x14ac:dyDescent="0.25">
      <c r="A24" s="3"/>
      <c r="B24" s="6" t="str">
        <f>"Small segments (e.g. 5 children n = "&amp;TEXT(COUNTIFS(tbl_Clean[Children],5),"#,##0")&amp;", Partial High School n = "&amp;TEXT(COUNTIFS(tbl_Clean[Education],"Partial High School"),"#,##0")&amp;"; filtered dashboard groups)"</f>
        <v>Small segments (e.g. 5 children n = 81, Partial High School n = 76; filtered dashboard groups)</v>
      </c>
      <c r="C24" s="6" t="s">
        <v>330</v>
      </c>
      <c r="D24" s="6" t="s">
        <v>331</v>
      </c>
      <c r="E24" s="3"/>
    </row>
    <row r="25" spans="1:5" ht="30" x14ac:dyDescent="0.25">
      <c r="A25" s="3"/>
      <c r="B25" s="6" t="s">
        <v>332</v>
      </c>
      <c r="C25" s="6" t="s">
        <v>333</v>
      </c>
      <c r="D25" s="6" t="s">
        <v>334</v>
      </c>
      <c r="E25" s="3"/>
    </row>
    <row r="26" spans="1:5" x14ac:dyDescent="0.25">
      <c r="A26" s="3"/>
      <c r="B26" s="6" t="s">
        <v>335</v>
      </c>
      <c r="C26" s="6" t="s">
        <v>336</v>
      </c>
      <c r="D26" s="6" t="s">
        <v>337</v>
      </c>
      <c r="E26" s="3"/>
    </row>
    <row r="27" spans="1:5" x14ac:dyDescent="0.25">
      <c r="A27" s="3"/>
      <c r="B27" s="3"/>
      <c r="C27" s="3"/>
      <c r="D27" s="3"/>
      <c r="E27" s="3"/>
    </row>
    <row r="28" spans="1:5" ht="18.75" x14ac:dyDescent="0.3">
      <c r="A28" s="9" t="s">
        <v>418</v>
      </c>
      <c r="B28" s="3"/>
      <c r="C28" s="3"/>
      <c r="D28" s="3"/>
      <c r="E28" s="3"/>
    </row>
    <row r="29" spans="1:5" x14ac:dyDescent="0.25">
      <c r="A29" s="168" t="s">
        <v>338</v>
      </c>
      <c r="B29" s="168"/>
      <c r="C29" s="168"/>
      <c r="D29" s="168"/>
      <c r="E29" s="168"/>
    </row>
    <row r="30" spans="1:5" x14ac:dyDescent="0.25">
      <c r="A30" s="168" t="s">
        <v>339</v>
      </c>
      <c r="B30" s="168"/>
      <c r="C30" s="168"/>
      <c r="D30" s="168"/>
      <c r="E30" s="168"/>
    </row>
    <row r="31" spans="1:5" x14ac:dyDescent="0.25">
      <c r="A31" s="168" t="s">
        <v>340</v>
      </c>
      <c r="B31" s="168"/>
      <c r="C31" s="168"/>
      <c r="D31" s="168"/>
      <c r="E31" s="168"/>
    </row>
    <row r="32" spans="1:5" x14ac:dyDescent="0.25">
      <c r="A32" s="3"/>
      <c r="B32" s="3"/>
      <c r="C32" s="3"/>
      <c r="D32" s="3"/>
      <c r="E32" s="3"/>
    </row>
    <row r="33" spans="1:5" x14ac:dyDescent="0.25">
      <c r="A33" s="3"/>
      <c r="B33" s="3"/>
      <c r="C33" s="3"/>
      <c r="D33" s="3"/>
      <c r="E33" s="3"/>
    </row>
    <row r="34" spans="1:5" x14ac:dyDescent="0.25">
      <c r="A34" s="3"/>
      <c r="B34" s="3"/>
      <c r="C34" s="3"/>
      <c r="D34" s="3"/>
      <c r="E34" s="3"/>
    </row>
    <row r="35" spans="1:5" x14ac:dyDescent="0.25">
      <c r="A35" s="3"/>
      <c r="B35" s="3"/>
      <c r="C35" s="3"/>
      <c r="D35" s="3"/>
      <c r="E35" s="3"/>
    </row>
    <row r="36" spans="1:5" x14ac:dyDescent="0.25">
      <c r="A36" s="3"/>
      <c r="B36" s="3"/>
      <c r="C36" s="3"/>
      <c r="D36" s="3"/>
      <c r="E36" s="3"/>
    </row>
    <row r="37" spans="1:5" x14ac:dyDescent="0.25">
      <c r="A37" s="3"/>
      <c r="B37" s="3"/>
      <c r="C37" s="3"/>
      <c r="D37" s="3"/>
      <c r="E37" s="3"/>
    </row>
    <row r="38" spans="1:5" x14ac:dyDescent="0.25">
      <c r="A38" s="3"/>
      <c r="B38" s="3"/>
      <c r="C38" s="3"/>
      <c r="D38" s="3"/>
      <c r="E38" s="3"/>
    </row>
    <row r="39" spans="1:5" x14ac:dyDescent="0.25">
      <c r="A39" s="3"/>
      <c r="B39" s="3"/>
      <c r="C39" s="3"/>
      <c r="D39" s="3"/>
      <c r="E39" s="3"/>
    </row>
    <row r="40" spans="1:5" x14ac:dyDescent="0.25">
      <c r="A40" s="3"/>
      <c r="B40" s="3"/>
      <c r="C40" s="3"/>
      <c r="D40" s="3"/>
      <c r="E40" s="3"/>
    </row>
  </sheetData>
  <mergeCells count="6">
    <mergeCell ref="A5:E5"/>
    <mergeCell ref="A6:E6"/>
    <mergeCell ref="A7:E7"/>
    <mergeCell ref="A29:E29"/>
    <mergeCell ref="A30:E30"/>
    <mergeCell ref="A31:E31"/>
  </mergeCells>
  <conditionalFormatting sqref="E11:E17">
    <cfRule type="containsText" dxfId="2" priority="1" operator="containsText" text="High">
      <formula>NOT(ISERROR(SEARCH("High",E11)))</formula>
    </cfRule>
  </conditionalFormatting>
  <conditionalFormatting sqref="E11:E17">
    <cfRule type="containsText" dxfId="1" priority="2" operator="containsText" text="Medium">
      <formula>NOT(ISERROR(SEARCH("Medium",E11)))</formula>
    </cfRule>
  </conditionalFormatting>
  <conditionalFormatting sqref="E11:E17">
    <cfRule type="containsText" dxfId="0" priority="3" operator="containsText" text="Low">
      <formula>NOT(ISERROR(SEARCH("Low",E11)))</formula>
    </cfRule>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10C7-9146-436E-89E3-BF598307B280}">
  <dimension ref="A1:M1027"/>
  <sheetViews>
    <sheetView workbookViewId="0">
      <selection activeCell="G15" sqref="G15"/>
    </sheetView>
  </sheetViews>
  <sheetFormatPr defaultRowHeight="15" x14ac:dyDescent="0.25"/>
  <cols>
    <col min="1" max="1" width="6" bestFit="1" customWidth="1"/>
    <col min="2" max="2" width="13.28515625" bestFit="1" customWidth="1"/>
    <col min="3" max="3" width="7.28515625" bestFit="1" customWidth="1"/>
    <col min="4" max="4" width="11.140625" bestFit="1" customWidth="1"/>
    <col min="5" max="5" width="8.42578125" bestFit="1" customWidth="1"/>
    <col min="6" max="6" width="18" bestFit="1" customWidth="1"/>
    <col min="7" max="7" width="14.140625" bestFit="1" customWidth="1"/>
    <col min="8" max="8" width="12.28515625" bestFit="1" customWidth="1"/>
    <col min="9" max="9" width="5" bestFit="1" customWidth="1"/>
    <col min="10" max="10" width="17.85546875" bestFit="1" customWidth="1"/>
    <col min="11" max="11" width="13.85546875" bestFit="1" customWidth="1"/>
    <col min="12" max="12" width="4.140625" bestFit="1" customWidth="1"/>
    <col min="13" max="13" width="14.710937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Dashboard</vt:lpstr>
      <vt:lpstr>README_Brief</vt:lpstr>
      <vt:lpstr>Data_Dictionary</vt:lpstr>
      <vt:lpstr>Data_Quality_Log</vt:lpstr>
      <vt:lpstr>Clean_Data</vt:lpstr>
      <vt:lpstr>Segment_Analysis</vt:lpstr>
      <vt:lpstr>Significance_Tests</vt:lpstr>
      <vt:lpstr>Lead_Scoring</vt:lpstr>
      <vt:lpstr>Profile_Checker</vt:lpstr>
      <vt:lpstr>Pivot_Analysis</vt:lpstr>
      <vt:lpstr>Recommendations</vt:lpstr>
      <vt:lpstr>Raw_Data</vt:lpstr>
      <vt:lpstr>Baseline_Rate</vt:lpstr>
      <vt:lpstr>FollowUp_Size</vt:lpstr>
      <vt:lpstr>Hot_Cutoff</vt:lpstr>
      <vt:lpstr>Profile_Inputs</vt:lpstr>
      <vt:lpstr>Takeaway_MinN</vt:lpstr>
      <vt:lpstr>Total_Buyers</vt:lpstr>
      <vt:lpstr>Total_Customers</vt:lpstr>
      <vt:lpstr>Warm_Cutoff</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Who Buys Bikes? A Customer Targeting Analysis</dc:title>
  <dc:subject>Excel portfolio project</dc:subject>
  <dc:creator>Malachy Ugwu</dc:creator>
  <cp:lastModifiedBy>malachy ugwu</cp:lastModifiedBy>
  <dcterms:created xsi:type="dcterms:W3CDTF">2026-10-06T21:38:15Z</dcterms:created>
  <dcterms:modified xsi:type="dcterms:W3CDTF">2026-10-19T00:11:09Z</dcterms:modified>
</cp:coreProperties>
</file>